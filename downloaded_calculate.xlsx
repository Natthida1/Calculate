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5.xml" ContentType="application/vnd.openxmlformats-officedocument.spreadsheetml.worksheet+xml"/>
  <Override PartName="/xl/worksheets/sheet18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6080"/>
  </bookViews>
  <sheets>
    <sheet sheetId="12" name="Sem1-2" state="visible" r:id="rId4"/>
    <sheet sheetId="10" name="CGPA2" state="visible" r:id="rId5"/>
    <sheet sheetId="13" name="Sem3-4 " state="visible" r:id="rId6"/>
    <sheet sheetId="16" name="CGPA4" state="visible" r:id="rId7"/>
    <sheet sheetId="14" name="Sem5-6" state="visible" r:id="rId8"/>
    <sheet sheetId="17" name="CGPA6" state="visible" r:id="rId9"/>
    <sheet sheetId="15" name="Sem7-8" state="visible" r:id="rId10"/>
    <sheet sheetId="18" name="CGPA8" state="visible" r:id="rId11"/>
    <sheet sheetId="21" name="Lao_transcript(year1)" state="visible" r:id="rId12"/>
    <sheet sheetId="22" name="Eng_transcript(year1)" state="visible" r:id="rId13"/>
    <sheet sheetId="26" name="Lao_transcript(year2) " state="visible" r:id="rId14"/>
    <sheet sheetId="27" name="Eng_transcript(year2)" state="visible" r:id="rId15"/>
    <sheet sheetId="28" name="Lao_transcript(year3)" state="visible" r:id="rId16"/>
    <sheet sheetId="29" name="Eng_transcript(year3)" state="visible" r:id="rId17"/>
    <sheet sheetId="24" name="Lao_transcript(year4)" state="visible" r:id="rId18"/>
    <sheet sheetId="25" name="Eng_transcript(year4)" state="visible" r:id="rId19"/>
  </sheets>
  <definedNames>
    <definedName name="_xlnm.Print_Area" localSheetId="0">'Sem1-2'!$A1:$CA28</definedName>
    <definedName name="_xlnm.Print_Titles" localSheetId="0">'Sem1-2'!$2:$6</definedName>
    <definedName name="_xlnm.Print_Area" localSheetId="2">'Sem3-4 '!$A1:$CG32</definedName>
    <definedName name="_xlnm.Print_Titles" localSheetId="2">'Sem3-4 '!$2:$6</definedName>
    <definedName name="_xlnm.Print_Area" localSheetId="4">'Sem5-6'!$A1:$BX32</definedName>
    <definedName name="_xlnm.Print_Titles" localSheetId="4">'Sem5-6'!$2:$6</definedName>
    <definedName name="_xlnm.Print_Area" localSheetId="6">'Sem7-8'!$A1:$AY32</definedName>
    <definedName name="_xlnm.Print_Titles" localSheetId="6">'Sem7-8'!$2:$6</definedName>
    <definedName name="_xlnm.Print_Area" localSheetId="8">'Lao_transcript(year1)'!$A1:$L44</definedName>
    <definedName name="_xlnm.Print_Area" localSheetId="9">'Eng_transcript(year1)'!$A1:$L46</definedName>
  </definedNames>
  <calcPr calcId="171027"/>
</workbook>
</file>

<file path=xl/sharedStrings.xml><?xml version="1.0" encoding="utf-8"?>
<sst xmlns="http://schemas.openxmlformats.org/spreadsheetml/2006/main" count="3239" uniqueCount="771">
  <si>
    <t>ຜົນການຮຽນສົກຮຽນ2022 - 2023 ນັກສຶກສາຮຸ່ນທີ19  ພາກວິຊາພາສາຍີ່ປຸ່ນ</t>
  </si>
  <si>
    <t>ຜົນການຮຽນສົກຮຽນ2022 - 2023 ນັກສຶກສາຮຸ່ນທີ 20  ພາກວິຊາພາສາຍີ່ປຸ່ນ</t>
  </si>
  <si>
    <t>ລ/ດ</t>
  </si>
  <si>
    <t>ລະຫັດນສ</t>
  </si>
  <si>
    <t>ເພດ</t>
  </si>
  <si>
    <t>ຊື່ພາສາລາວ</t>
  </si>
  <si>
    <t>ນາມສະກຸນພາສາລາວ</t>
  </si>
  <si>
    <t>ຊື່ພາສາອັງກິດ</t>
  </si>
  <si>
    <t>ນາມສະກຸນພາສາອັງກິດ</t>
  </si>
  <si>
    <t>ວ.ດ.ປີເກີດ</t>
  </si>
  <si>
    <t>ແຂວງເກີດ</t>
  </si>
  <si>
    <t>ຫ້ອງ</t>
  </si>
  <si>
    <t>ພາກຮຽນທີ 1 (17 ໜ່ວຍກິດ)</t>
  </si>
  <si>
    <t>GPA (ພາກຮຽນ 1)</t>
  </si>
  <si>
    <t>ຄ່າລະດັບ</t>
  </si>
  <si>
    <t>ລະດັບ</t>
  </si>
  <si>
    <t>ຄະແນນລວມ</t>
  </si>
  <si>
    <t>ພາກຮຽນທີ2(16ໜ່ວຍກິດ)</t>
  </si>
  <si>
    <t>GPA</t>
  </si>
  <si>
    <t>CGPA</t>
  </si>
  <si>
    <t>Rank</t>
  </si>
  <si>
    <t>ໝາຍເຫດ</t>
  </si>
  <si>
    <t>ພາສາຍີ່ປຸ່ນ 1 (3)</t>
  </si>
  <si>
    <t>ໄວຍາກອນຍີ່ປຸ່ນ 1 (2)</t>
  </si>
  <si>
    <t>ຄັນຈິ 1 (1)</t>
  </si>
  <si>
    <t xml:space="preserve">ຟັງ-ເວົ້າພາສາຍີ່ປຸ່ນ 1 (2) </t>
  </si>
  <si>
    <t>ສຽງ-ຕົວອັກສອນ (1)</t>
  </si>
  <si>
    <t>ພາສາອັງກິດ 1 (2)</t>
  </si>
  <si>
    <t>ລາວສຶກສາ1 (2)</t>
  </si>
  <si>
    <t xml:space="preserve">ຈິດຕະວິທະຍາທົ່ວໄປ (2) </t>
  </si>
  <si>
    <t>ທັກສະພື້ນຖານການນຳໃຊ້ຂໍ້ມູນຂ່າວສານເທັກໂນໂລຊີ (2)</t>
  </si>
  <si>
    <t>ພາສາຍີ່ປຸ່ນ2(3)</t>
  </si>
  <si>
    <t>ການຟັງ-ການເວົ້າພາສາຍີ່ປຸ່ນ2 (2)</t>
  </si>
  <si>
    <t>ຄັນຈິ2(1)</t>
  </si>
  <si>
    <t>ໄວຍາກອນ2(2)</t>
  </si>
  <si>
    <t>ການອ່ານພາສາຍີ່ປຸ່ນ1(1)</t>
  </si>
  <si>
    <t>ການຂຽນພາສາຍີ່ປຸ່ນ1(1)</t>
  </si>
  <si>
    <t>ຄອມພິວເຕີ(2)</t>
  </si>
  <si>
    <t>ລາວສຶກສາ2(2)</t>
  </si>
  <si>
    <t>ການເມືອງ(2)</t>
  </si>
  <si>
    <t>GPA (ພາກຮຽນ 2)</t>
  </si>
  <si>
    <t>ພາສາຍີ່ປຸ່ນ 2 (3)</t>
  </si>
  <si>
    <t>125Q0007/23</t>
  </si>
  <si>
    <t>ທ້າວ</t>
  </si>
  <si>
    <t>ວາຍຸ</t>
  </si>
  <si>
    <t>ສິງຫາລາດ</t>
  </si>
  <si>
    <t>Mr.Vayou</t>
  </si>
  <si>
    <t>SINGHALATH</t>
  </si>
  <si>
    <t>27/09/2005</t>
  </si>
  <si>
    <t>ນະຄອນຫຼວງວຽງຈັນ</t>
  </si>
  <si>
    <t>125Q0009/23</t>
  </si>
  <si>
    <t>ນາງ</t>
  </si>
  <si>
    <t>ກັນລະຍາ</t>
  </si>
  <si>
    <t>ໃບຫຼວງລາດ</t>
  </si>
  <si>
    <t>Ms.Kunlaya</t>
  </si>
  <si>
    <t>BAILUANELATH</t>
  </si>
  <si>
    <t>ຄຳມ່ວນ</t>
  </si>
  <si>
    <t>125Q0031/23</t>
  </si>
  <si>
    <t>ມົວຈີລໍ່</t>
  </si>
  <si>
    <t>ໄຟຈົງ</t>
  </si>
  <si>
    <t>Mr.Mouacheelor</t>
  </si>
  <si>
    <t>FAICHONG</t>
  </si>
  <si>
    <t>125Q0041/23</t>
  </si>
  <si>
    <t>ເຊຍນາຢ່າງ</t>
  </si>
  <si>
    <t>ຊາວາ</t>
  </si>
  <si>
    <t>Ms.Xianayang</t>
  </si>
  <si>
    <t>ZAVA</t>
  </si>
  <si>
    <t>21/12/2006</t>
  </si>
  <si>
    <t>ໄຊສົມບູນ</t>
  </si>
  <si>
    <t>125Q0047/23</t>
  </si>
  <si>
    <t>ວິໄລພອນ</t>
  </si>
  <si>
    <t>ຈັນທະແສງ</t>
  </si>
  <si>
    <t>Ms.Vilaiphone</t>
  </si>
  <si>
    <t>CHANTHASENG</t>
  </si>
  <si>
    <t>125N0615/23</t>
  </si>
  <si>
    <t>ທິບພະກອນ</t>
  </si>
  <si>
    <t>ຫຼວງລາດ</t>
  </si>
  <si>
    <t>Ms.Thipphakone</t>
  </si>
  <si>
    <t>LOUANGRATH</t>
  </si>
  <si>
    <t>125N0616/23</t>
  </si>
  <si>
    <t>ວິລັດດາ</t>
  </si>
  <si>
    <t>ເພຍຄຳ</t>
  </si>
  <si>
    <t>Ms.Vilatda</t>
  </si>
  <si>
    <t>PHIAKHAM</t>
  </si>
  <si>
    <t>28/08/2005</t>
  </si>
  <si>
    <t>ບໍລິຄຳໄຊ</t>
  </si>
  <si>
    <t>125N0617/23</t>
  </si>
  <si>
    <t>ເຄືອເງິນ</t>
  </si>
  <si>
    <t>ຈັນລິວົງ</t>
  </si>
  <si>
    <t>Ms.Khueangern</t>
  </si>
  <si>
    <t>CHANLIVONG</t>
  </si>
  <si>
    <t>27/01/2005</t>
  </si>
  <si>
    <t>125N0618/23</t>
  </si>
  <si>
    <t>ສຸກສາຄອນ</t>
  </si>
  <si>
    <t>ສີຫາໂຄດ</t>
  </si>
  <si>
    <t>Mr.Souksakhone</t>
  </si>
  <si>
    <t>SIHAKHOTH</t>
  </si>
  <si>
    <t>28/10/2002</t>
  </si>
  <si>
    <t>125N0619/23</t>
  </si>
  <si>
    <t>ຕຸລາກອນ</t>
  </si>
  <si>
    <t>ມະໄລລັກ</t>
  </si>
  <si>
    <t>Mr.Toulakone</t>
  </si>
  <si>
    <t>MALAYLUCK</t>
  </si>
  <si>
    <t>19/10/2003</t>
  </si>
  <si>
    <t>125N0620/23</t>
  </si>
  <si>
    <t>ພອນພະທິບ</t>
  </si>
  <si>
    <t>ຄູນປະເສີດ</t>
  </si>
  <si>
    <t>Ms.Phonephathip</t>
  </si>
  <si>
    <t>KHOUNPASID</t>
  </si>
  <si>
    <t>19/10/2005</t>
  </si>
  <si>
    <t>125N0621/23</t>
  </si>
  <si>
    <t>ເຢັງ</t>
  </si>
  <si>
    <t>ທໍ່</t>
  </si>
  <si>
    <t>Mr.Yeng</t>
  </si>
  <si>
    <t>THOR</t>
  </si>
  <si>
    <t>16/07/2002</t>
  </si>
  <si>
    <t>ຫຼວງພະບາງ</t>
  </si>
  <si>
    <t>125N0622/23</t>
  </si>
  <si>
    <t>ໂລແລັນ</t>
  </si>
  <si>
    <t>ສີວິໄຊ</t>
  </si>
  <si>
    <t>Mr.Loland</t>
  </si>
  <si>
    <t>SIVIXAY</t>
  </si>
  <si>
    <t>20/09/2005</t>
  </si>
  <si>
    <t>125N0623/23</t>
  </si>
  <si>
    <t>ແດນສຸກສັນ</t>
  </si>
  <si>
    <t>ວິລາວົງ</t>
  </si>
  <si>
    <t>Mr.Dansouksan</t>
  </si>
  <si>
    <t>VILAVONG</t>
  </si>
  <si>
    <t>18/09/2005</t>
  </si>
  <si>
    <t>125N0624/23</t>
  </si>
  <si>
    <t>ອັກຄະສອນ</t>
  </si>
  <si>
    <t>ແພງມະນີ</t>
  </si>
  <si>
    <t>Mr.Akkhasone</t>
  </si>
  <si>
    <t>PHANGMANY</t>
  </si>
  <si>
    <t>26/08/2005</t>
  </si>
  <si>
    <t>125N0627/23</t>
  </si>
  <si>
    <t>ໂຊກໄຊ</t>
  </si>
  <si>
    <t>ແປງມະນີວົງ</t>
  </si>
  <si>
    <t>Mr.Sokxay</t>
  </si>
  <si>
    <t>PENGMANIVONG</t>
  </si>
  <si>
    <t>29/10/2005</t>
  </si>
  <si>
    <t>125N0630/23</t>
  </si>
  <si>
    <t>ໂຕມອນ</t>
  </si>
  <si>
    <t>ແກ້ວມຸກດາ</t>
  </si>
  <si>
    <t>Mr.Tomone</t>
  </si>
  <si>
    <t>KEOMOUKDA</t>
  </si>
  <si>
    <t>125N0631/23</t>
  </si>
  <si>
    <t>ລະອອງຄຳ</t>
  </si>
  <si>
    <t>ມົວຫວ່າງຢ່າ</t>
  </si>
  <si>
    <t>Ms.Laongkham</t>
  </si>
  <si>
    <t>MOAVONGYA</t>
  </si>
  <si>
    <t>13/12/2005</t>
  </si>
  <si>
    <t>ຊຽງຂວາງ</t>
  </si>
  <si>
    <t>125N0632/23</t>
  </si>
  <si>
    <t>ທິບພາວັນ</t>
  </si>
  <si>
    <t>ດວງບຸດດີ</t>
  </si>
  <si>
    <t>Ms.Thippavanh</t>
  </si>
  <si>
    <t>DOUANGBOUDDY</t>
  </si>
  <si>
    <t>16/11/2005</t>
  </si>
  <si>
    <t>125N0634/23</t>
  </si>
  <si>
    <t>ທັນທະວຸດ</t>
  </si>
  <si>
    <t>ເພັດທານີ</t>
  </si>
  <si>
    <t>Mr.Thanthawut</t>
  </si>
  <si>
    <t>PHETTHANY</t>
  </si>
  <si>
    <t>27/12/2005</t>
  </si>
  <si>
    <t>125N0635/23</t>
  </si>
  <si>
    <t>ພິມມະສອນ</t>
  </si>
  <si>
    <t>ວໍລະຂຸນ</t>
  </si>
  <si>
    <t>Ms.Phimmasone</t>
  </si>
  <si>
    <t>VORLAKHOUN</t>
  </si>
  <si>
    <t>125N0636/23</t>
  </si>
  <si>
    <t>ກາເຊຍ</t>
  </si>
  <si>
    <t>ຈ້າງ</t>
  </si>
  <si>
    <t>Ms.Kashia</t>
  </si>
  <si>
    <t>CHANG</t>
  </si>
  <si>
    <t>125N0637/23</t>
  </si>
  <si>
    <t>ໄຊຊະນະ</t>
  </si>
  <si>
    <t>ພົມມາວິເສດ</t>
  </si>
  <si>
    <t>Mr.Saysana</t>
  </si>
  <si>
    <t>PHOMMAVISED</t>
  </si>
  <si>
    <t>14/11/2005</t>
  </si>
  <si>
    <t>125N0638/23</t>
  </si>
  <si>
    <t>ມາກາແລັດ</t>
  </si>
  <si>
    <t>ວົງຄຳຊາວ</t>
  </si>
  <si>
    <t>Ms.Margaret</t>
  </si>
  <si>
    <t>VONGKHAMSAO</t>
  </si>
  <si>
    <t>13/11/2004</t>
  </si>
  <si>
    <t>125N0639/23</t>
  </si>
  <si>
    <t>ພອນທິດາ</t>
  </si>
  <si>
    <t>ດວງອາໄພມະນີ</t>
  </si>
  <si>
    <t>Ms.Phonethida</t>
  </si>
  <si>
    <t>DOUANGAPHAYMANY</t>
  </si>
  <si>
    <t>125N0640/23</t>
  </si>
  <si>
    <t>ອູ່ພັນໄຊ</t>
  </si>
  <si>
    <t>ອິນທານຸງວົງ</t>
  </si>
  <si>
    <t>Mr.Ouphansay</t>
  </si>
  <si>
    <t>INGTHANOUNGVONG</t>
  </si>
  <si>
    <t>15/01/2006</t>
  </si>
  <si>
    <t>125N0826/23</t>
  </si>
  <si>
    <t>ວິຣະໄຊ</t>
  </si>
  <si>
    <t>ພວນນະວົງ</t>
  </si>
  <si>
    <t>Mr.Viraxay</t>
  </si>
  <si>
    <t>PHOUANAVONG</t>
  </si>
  <si>
    <t>125N0982/23</t>
  </si>
  <si>
    <t>ແກ້ວລະຄອນ</t>
  </si>
  <si>
    <t>ສັກດາວົງ</t>
  </si>
  <si>
    <t>Mr.Keolakhone</t>
  </si>
  <si>
    <t>SAKDAVONG</t>
  </si>
  <si>
    <t>21/10/2005</t>
  </si>
  <si>
    <t>ໄຊຍະບູລີ</t>
  </si>
  <si>
    <t>125N0983/23</t>
  </si>
  <si>
    <t>ຈັນທະກອນ</t>
  </si>
  <si>
    <t>ມູນລາສີ</t>
  </si>
  <si>
    <t>Mr.Chanthakone</t>
  </si>
  <si>
    <t>MOUNLASY</t>
  </si>
  <si>
    <t>14/04/2005</t>
  </si>
  <si>
    <t>ສາລະວັນ</t>
  </si>
  <si>
    <t>125N0990/23</t>
  </si>
  <si>
    <t>ນາເດຍ</t>
  </si>
  <si>
    <t>ພູມມາວົງ</t>
  </si>
  <si>
    <t>Ms.Nadia</t>
  </si>
  <si>
    <t>PHOUMMAVONG</t>
  </si>
  <si>
    <t>ຊາຍ</t>
  </si>
  <si>
    <t>ມະຫາວິທະຍາໄລແຫ່ງຊາດ, ວັນທີ 26 ສິງຫາ 2024</t>
  </si>
  <si>
    <t>ຫົວໜ້າພາກວິຊາ</t>
  </si>
  <si>
    <t>ຄະແນນສະເລ່ຍ2ພາກຮຽນ(2023-2024)ນັກສຶກສາຮຸ່ນ 20 (ພາກວິຊາພາສາຍີ່ປຸ່ນ)</t>
  </si>
  <si>
    <t>ຊື່</t>
  </si>
  <si>
    <t>ນາມສະກຸນ</t>
  </si>
  <si>
    <t>GPA1</t>
  </si>
  <si>
    <t>GPA2</t>
  </si>
  <si>
    <t>CGPA2</t>
  </si>
  <si>
    <t>ອອກ</t>
  </si>
  <si>
    <t>ຮຽນຄືນ</t>
  </si>
  <si>
    <t>ພາກວິຊາພາສາຍີ່ປຸ່ນ</t>
  </si>
  <si>
    <t>ຜົນການຮຽນສົກຮຽນ2022 - 2024 ນັກສຶກສາຮຸ່ນທີ 20  ພາກວິຊາພາສາຍີ່ປຸ່ນ</t>
  </si>
  <si>
    <t>ພາກຮຽນທີ3 (21 ໜ່ວຍກິດ)</t>
  </si>
  <si>
    <t>ພາກຮຽນທີ4(16ໜ່ວຍກິດ)</t>
  </si>
  <si>
    <t>ພາສາຍີ່ປຸ່ນ 3 (3)</t>
  </si>
  <si>
    <t>ການຟັງ-ການເວົ້າ 3 (2)</t>
  </si>
  <si>
    <t>ຄັນຈິ 3 (1)</t>
  </si>
  <si>
    <t>ໄວຍາກອນ 3(2)</t>
  </si>
  <si>
    <t>ການອ່ານພາສາຍີ່ປຸ່ນ 2(1)</t>
  </si>
  <si>
    <t>ການຂຽນພາສາຍີ່ປຸ່ນ 2(1)</t>
  </si>
  <si>
    <t>ພາສາສາດຍີ່ປຸ່ນ(2)</t>
  </si>
  <si>
    <t>ພາສາອັງກິດ 2(2)</t>
  </si>
  <si>
    <t>ວິຊາສຶກສາປ້ອງກັນຕົວ (3)</t>
  </si>
  <si>
    <t>ທັກສະພື້ນຖານການນຳໃຊ້ຂໍ້ມູນຂ່າວສານເທັກໂນໂລຊີ(2)</t>
  </si>
  <si>
    <t>ທັກສະຈຳເປັນສຳລັບການເຮັດວຽກ(2)</t>
  </si>
  <si>
    <t>ພາສາຍີ່ປຸ່ນ4(3)</t>
  </si>
  <si>
    <t>ການຟັງ-ການເວົ້າ 4(2)</t>
  </si>
  <si>
    <t>ຄັນຈິ4(1)</t>
  </si>
  <si>
    <t>ໄວຍາກອນ4(2)</t>
  </si>
  <si>
    <t>ການອ່ານພາສາຍີ່ປຸ່ນ3(1)</t>
  </si>
  <si>
    <t>ການຂຽນພາສາຍີ່ປຸ່ນ 3(1)</t>
  </si>
  <si>
    <t>ຍີ່ປຸ່ນສຶກສາ 1(2)</t>
  </si>
  <si>
    <t>ພາສາອັງກິດ 3(2)</t>
  </si>
  <si>
    <t>ວັດທະນະທໍາລາວ(2)</t>
  </si>
  <si>
    <t>GPA (ພາກຮຽນ 3)</t>
  </si>
  <si>
    <t>GPA (ພາກຮຽນ 4)</t>
  </si>
  <si>
    <t>ຄັນຈິ 4 (1)</t>
  </si>
  <si>
    <t>125Q0009/22</t>
  </si>
  <si>
    <t>Vayou</t>
  </si>
  <si>
    <t>21/3/2004</t>
  </si>
  <si>
    <t>125N0602/23</t>
  </si>
  <si>
    <t>Kunlaya</t>
  </si>
  <si>
    <t>125N0603/23</t>
  </si>
  <si>
    <t>Mouacheelor</t>
  </si>
  <si>
    <t>125N0604/23</t>
  </si>
  <si>
    <t>ເຊບນາຢ່າງ</t>
  </si>
  <si>
    <t>125N0605/23</t>
  </si>
  <si>
    <t>125N0606/23</t>
  </si>
  <si>
    <t>Thipphakone</t>
  </si>
  <si>
    <t>125N0607/23</t>
  </si>
  <si>
    <t>Vilatda</t>
  </si>
  <si>
    <t>125N0608/23</t>
  </si>
  <si>
    <t>ເຄືອເງີນ</t>
  </si>
  <si>
    <t>ຈັນລິວິງ</t>
  </si>
  <si>
    <t>Khueangern</t>
  </si>
  <si>
    <t>125N0609/23</t>
  </si>
  <si>
    <t>Souksakhone</t>
  </si>
  <si>
    <t>125N0610/23</t>
  </si>
  <si>
    <t>Toulakone</t>
  </si>
  <si>
    <t>125N0611/23</t>
  </si>
  <si>
    <t>Phonepathip</t>
  </si>
  <si>
    <t>KHOUNPASRID</t>
  </si>
  <si>
    <t>125N0612/23</t>
  </si>
  <si>
    <t>Yeng</t>
  </si>
  <si>
    <t>125N0613/23</t>
  </si>
  <si>
    <t>Loland</t>
  </si>
  <si>
    <t>125N0614/23</t>
  </si>
  <si>
    <t>Dansouksan</t>
  </si>
  <si>
    <t>Akkhasone</t>
  </si>
  <si>
    <t>Sokxay</t>
  </si>
  <si>
    <t>Tomone</t>
  </si>
  <si>
    <t>Laongkham</t>
  </si>
  <si>
    <t>Thippavan</t>
  </si>
  <si>
    <t>DOUNGBUDY</t>
  </si>
  <si>
    <t>Thanthawut</t>
  </si>
  <si>
    <t>Phimmasone</t>
  </si>
  <si>
    <t>VORLAKHOON</t>
  </si>
  <si>
    <t>Kashia</t>
  </si>
  <si>
    <t>Saysana</t>
  </si>
  <si>
    <t>ວົງູຄຳຊາວ</t>
  </si>
  <si>
    <t>Margaret</t>
  </si>
  <si>
    <t>125N0625/23</t>
  </si>
  <si>
    <t>ດວງອາໂພມະນີ</t>
  </si>
  <si>
    <t>Phonethida</t>
  </si>
  <si>
    <t>125N0626/23</t>
  </si>
  <si>
    <t>Ouphansay</t>
  </si>
  <si>
    <t>ພວງນະວົງ</t>
  </si>
  <si>
    <t>Viraxay</t>
  </si>
  <si>
    <t>125N0628/23</t>
  </si>
  <si>
    <t>Keolakhone</t>
  </si>
  <si>
    <t>125N0629/23</t>
  </si>
  <si>
    <t>Chanthakone</t>
  </si>
  <si>
    <t>Nadia</t>
  </si>
  <si>
    <t>ມະຫາວິທະຍາໄລແຫ່ງຊາດ, ວັນທີ24 ກໍລະກົດ 2023</t>
  </si>
  <si>
    <t>ຮ. ຫົວໜ້າພາກວິຊາ</t>
  </si>
  <si>
    <t>ຄະແນນສະເລ່ຍ4ພາກຮຽນ(2022-2024)ນັກສຶກສາຮຸ່ນ19(ພາກວິຊາພາສາຍີ່ປຸ່ນ)</t>
  </si>
  <si>
    <t>GPA3</t>
  </si>
  <si>
    <t>GPA4</t>
  </si>
  <si>
    <t>CGPA4</t>
  </si>
  <si>
    <t>ຜົນການຮຽນສົກຮຽນ2022 - 2024 ນັກສຶກສາຮຸ່ນທີ19  ພາກວິຊາພາສາຍີ່ປຸ່ນ</t>
  </si>
  <si>
    <t>ພາກຮຽນທີ5(20ໜ່ວຍກິດ)</t>
  </si>
  <si>
    <t>GPA (ພາກຮຽນ 5)</t>
  </si>
  <si>
    <t>ພາກຮຽນທີ6 (17ໜ່ວຍກິດ)</t>
  </si>
  <si>
    <t>ພາສາຍີ່ປຸ່ນ 5(3)</t>
  </si>
  <si>
    <t>ການອ່ານພາສາຍີ່ປຸ່ນ 4(1)</t>
  </si>
  <si>
    <t>ການຂຽນພາສາຍີ່ປຸ່ນ 4 (1)</t>
  </si>
  <si>
    <t>ຄັນຈິ 5(1)</t>
  </si>
  <si>
    <t>ພາສາຍີ່ປຸ່ນສຳລັບທຸລະກິດ 1 (1)</t>
  </si>
  <si>
    <t>ໄວຍາກອນຍີ່ປຸ່ນ5(2)</t>
  </si>
  <si>
    <t>ອາຊີສຶກສາ ແລະ ການບໍລິຫານຂອງຍີ່ປຸ່ນ(2)</t>
  </si>
  <si>
    <t>ວິຊາເລືອກ 1(2)</t>
  </si>
  <si>
    <t>ພາສາຍີ່ປຸ່ນເພື່ອການສື່ສານ 1 (2)</t>
  </si>
  <si>
    <t>ວັນນະຄະດີລາວ (3)</t>
  </si>
  <si>
    <t>ພາສາອັງກິດ 4(2)</t>
  </si>
  <si>
    <t>ພາສາຍີ່ປຸ່ນ 6(3)</t>
  </si>
  <si>
    <t>ການອ່ານພາສາຍີ່ປຸ່ນ 5(1)</t>
  </si>
  <si>
    <t>ການຂຽນພາສາຍີ່ປຸ່ນ 5 (1)</t>
  </si>
  <si>
    <t>ໄວຍາກອນຍີ່ປຸ່ນ6(2)</t>
  </si>
  <si>
    <t>ຄັນຈິ 6(1)</t>
  </si>
  <si>
    <t>ພາສາຍີ່ປຸ່ນເພື່ອການສື່ສານ 2(2)</t>
  </si>
  <si>
    <t>ວິຊາເລືອກ 2(2)</t>
  </si>
  <si>
    <t>ພາສາຍີ່ປຸ່ນສຳລັບທຸລະກິດ 2(1)</t>
  </si>
  <si>
    <t>ການສອນພາສາຍີ່ປຸ່ນ(2)</t>
  </si>
  <si>
    <t>ພາສາອັງກິດ5(2)</t>
  </si>
  <si>
    <t>GPA (ພາກຮຽນ 6)</t>
  </si>
  <si>
    <t>ພາສາຍີ່ປຸ່ນ 6 (3)</t>
  </si>
  <si>
    <t>125N0601/23</t>
  </si>
  <si>
    <t>ຄະແນນສະເລ່ຍ6ພາກຮຽນ(2022-2025)ນັກສຶກສາຮຸ່ນ19(ພາກວິຊາພາສາຍີ່ປຸ່ນ)</t>
  </si>
  <si>
    <t>GPA5</t>
  </si>
  <si>
    <t>GPA6</t>
  </si>
  <si>
    <t>CGPA6</t>
  </si>
  <si>
    <t>ຜົນການຮຽນສົກຮຽນ2022 - 2026 ນັກສຶກສາຮຸ່ນທີ 20  ພາກວິຊາພາສາຍີ່ປຸ່ນ</t>
  </si>
  <si>
    <t>ພາກຮຽນທີ7(15ໜ່ວຍກິດ)</t>
  </si>
  <si>
    <t>GPA (ພາກຮຽນ 7)</t>
  </si>
  <si>
    <t>ພາກຮຽນທີ8(15 ໜ່ວຍກິດ)</t>
  </si>
  <si>
    <t>ການອ່ານພາສາຍີ່ປຸ່ນ 6(2)</t>
  </si>
  <si>
    <t>ການຂຽນພາສາຍີ່ປຸ່ນ 6(2)</t>
  </si>
  <si>
    <t>ການແປ 1(2)</t>
  </si>
  <si>
    <t>ຍີ່ປຸ່ນສຶກສາ 2(3)</t>
  </si>
  <si>
    <t>ລົງຝຶກງານໂຕຈິງ(3)</t>
  </si>
  <si>
    <t>ວິທີວິທະຍາການຄົ້ນຄວ້າ(3)</t>
  </si>
  <si>
    <t>ພາສາຍີ່ປຸ່ນສຳລັບການທ່ອງທ່ຽວ(2)</t>
  </si>
  <si>
    <t>ການນຳສະເໜີພາສາຍີ່ປຸ່ນ(2)</t>
  </si>
  <si>
    <t>ການແປ 2(2)</t>
  </si>
  <si>
    <t>ຂຽນບົດ ແລະ ປ້ອງກັນ(9)</t>
  </si>
  <si>
    <t>GPA (ພາກຮຽນ 8)</t>
  </si>
  <si>
    <t>ພາສາຍີ່ປຸ່ນສຳຫຼັບການທ່ອງທ່ຽວ (2)</t>
  </si>
  <si>
    <t>ຄະແນນສະເລ່ຍ8ພາກຮຽນ(2022-2026)ນັກສຶກສາຮຸ່ນ19(ພາກວິຊາພາສາຍີ່ປຸ່ນ)</t>
  </si>
  <si>
    <t>GPA7</t>
  </si>
  <si>
    <t>GPA8</t>
  </si>
  <si>
    <t>CGPA8</t>
  </si>
  <si>
    <t>ສາທາລະນະລັດ ປະຊາທິປະໄຕ ປະຊາຊົນລາວ</t>
  </si>
  <si>
    <t>ສັນຕິພາບ ເອກະລາດ ປະຊາທິປະໄຕ ເອກະພາບ ວັດທະນະຖາວອນ</t>
  </si>
  <si>
    <t>ມະຫາວິທະຍາໄລແຫ່ງຊາດ</t>
  </si>
  <si>
    <t xml:space="preserve">ຄະນະອັກສອນສາດ   </t>
  </si>
  <si>
    <t xml:space="preserve">   </t>
  </si>
  <si>
    <r>
      <rPr>
        <b/>
        <sz val="12"/>
        <rFont val="Phetsarath OT"/>
      </rPr>
      <t>ເລກທີ</t>
    </r>
    <r>
      <rPr>
        <b/>
        <family val="1"/>
        <sz val="12"/>
        <rFont val="Times New Roman"/>
      </rPr>
      <t xml:space="preserve">  .............../</t>
    </r>
    <r>
      <rPr>
        <b/>
        <sz val="12"/>
        <rFont val="Phetsarath OT"/>
      </rPr>
      <t>ຄອສ</t>
    </r>
    <r>
      <rPr>
        <b/>
        <family val="1"/>
        <sz val="12"/>
        <rFont val="Times New Roman"/>
      </rPr>
      <t>/.............</t>
    </r>
  </si>
  <si>
    <t>ໃບຕິດຕາມຜົນການຮຽນ</t>
  </si>
  <si>
    <t>ຊື່ ແລະນາມສະກຸນ</t>
  </si>
  <si>
    <t xml:space="preserve">: </t>
  </si>
  <si>
    <r>
      <t xml:space="preserve">: </t>
    </r>
    <r>
      <rPr>
        <b/>
        <sz val="12"/>
        <rFont val="Phetsarath OT"/>
      </rPr>
      <t>ປະລິນຍາຕີ</t>
    </r>
  </si>
  <si>
    <t>ວັນ/ເດືອນ/ປີເກີດ</t>
  </si>
  <si>
    <t>ສາຂາ</t>
  </si>
  <si>
    <r>
      <t xml:space="preserve">: </t>
    </r>
    <r>
      <rPr>
        <b/>
        <sz val="12"/>
        <rFont val="Phetsarath OT"/>
      </rPr>
      <t>ພາສາຍີ່ປຸ່ນ</t>
    </r>
  </si>
  <si>
    <t>ເລກທະບຽນ</t>
  </si>
  <si>
    <t>ຈຳນວນໜ່ວຍກິດ</t>
  </si>
  <si>
    <t>ພາກວິຊາ</t>
  </si>
  <si>
    <t>ພາສາຍີ່ປຸ່ນ</t>
  </si>
  <si>
    <t>ໄລຍະຮຽນ</t>
  </si>
  <si>
    <t>: 2023-2024</t>
  </si>
  <si>
    <t>ສົກສຶກສາ</t>
  </si>
  <si>
    <t>125JP121</t>
  </si>
  <si>
    <t>ພາສາຍີ່ປຸ່ນ 1</t>
  </si>
  <si>
    <t>ຄສພ</t>
  </si>
  <si>
    <t>ຄສສ</t>
  </si>
  <si>
    <t>125JG121</t>
  </si>
  <si>
    <t>ໄວຍາກອນຍີ່ປຸ່ນ 1</t>
  </si>
  <si>
    <t>125KJ111</t>
  </si>
  <si>
    <t>ຄັັນຈິ 1</t>
  </si>
  <si>
    <t>125LS121</t>
  </si>
  <si>
    <t>ການຟັງ-ການເວົ້າ 1</t>
  </si>
  <si>
    <t>125PL111</t>
  </si>
  <si>
    <t>ສຽງ ແລະ ຕົວອັກສອນ</t>
  </si>
  <si>
    <t>125GE111</t>
  </si>
  <si>
    <t>ພາສາອັງກິດ 1</t>
  </si>
  <si>
    <t>135LS101</t>
  </si>
  <si>
    <t>ລາວສຶກສາ 1</t>
  </si>
  <si>
    <t>145PY101</t>
  </si>
  <si>
    <t>ຈິດຕະວິທະຍາທົ່ວໄປ</t>
  </si>
  <si>
    <t>125IT101</t>
  </si>
  <si>
    <t>ທັກສະພື້ນຖານການນຳໃຊ້ຂໍ້ມູນຂ່າວສານເທັກໂນໂລຊີ</t>
  </si>
  <si>
    <t>ປີທີ1 (2023-2024)</t>
  </si>
  <si>
    <t>ພາກຮຽນທີ 1</t>
  </si>
  <si>
    <t>125JP122</t>
  </si>
  <si>
    <t>ພາສາຍີ່ປຸ່ນ 2</t>
  </si>
  <si>
    <t>125JG122</t>
  </si>
  <si>
    <t>ໄວຍາກອນຍີ່ປຸ່ນ 2</t>
  </si>
  <si>
    <t>125KJ112</t>
  </si>
  <si>
    <t>ຄັນຈິ 2</t>
  </si>
  <si>
    <t>125LS122</t>
  </si>
  <si>
    <t>ການເວົ້າ-ການຟັງ 2</t>
  </si>
  <si>
    <t>125JR121</t>
  </si>
  <si>
    <t>ການອ່ານພາສາຍີ່ປຸ່ນ 1</t>
  </si>
  <si>
    <t>12JW121</t>
  </si>
  <si>
    <t>ການຂຽນພາສາຍີ່ປຸ່ນ 1</t>
  </si>
  <si>
    <t>125GE112</t>
  </si>
  <si>
    <t>ພາສາອັງກິດ 2</t>
  </si>
  <si>
    <t>ພາສາລາວ</t>
  </si>
  <si>
    <t>135LS102</t>
  </si>
  <si>
    <t>ລາວສຶກສາ 2</t>
  </si>
  <si>
    <t>ພາກຮຽນທີ 2</t>
  </si>
  <si>
    <t>115PO101</t>
  </si>
  <si>
    <t>ການເມືອງ</t>
  </si>
  <si>
    <t>015ND201</t>
  </si>
  <si>
    <t>ວິຊາສຶກສາປ້ອງກັນຕົວ</t>
  </si>
  <si>
    <t>ຄ່າສະເລ່ຍສະສົມທັງໝົດ</t>
  </si>
  <si>
    <r>
      <rPr>
        <b/>
        <family val="1"/>
        <sz val="11"/>
        <rFont val="Times New Roman"/>
      </rPr>
      <t>A</t>
    </r>
    <r>
      <rPr>
        <family val="1"/>
        <sz val="11"/>
        <rFont val="Times New Roman"/>
      </rPr>
      <t xml:space="preserve"> = 4.00 (91-100),  </t>
    </r>
    <r>
      <rPr>
        <b/>
        <family val="1"/>
        <sz val="11"/>
        <rFont val="Times New Roman"/>
      </rPr>
      <t>B+</t>
    </r>
    <r>
      <rPr>
        <family val="1"/>
        <sz val="11"/>
        <rFont val="Times New Roman"/>
      </rPr>
      <t xml:space="preserve"> = 3.50 (81-90),  </t>
    </r>
    <r>
      <rPr>
        <b/>
        <family val="1"/>
        <sz val="11"/>
        <rFont val="Times New Roman"/>
      </rPr>
      <t>B</t>
    </r>
    <r>
      <rPr>
        <family val="1"/>
        <sz val="11"/>
        <rFont val="Times New Roman"/>
      </rPr>
      <t xml:space="preserve"> = 3.00 (70-80), </t>
    </r>
    <r>
      <rPr>
        <b/>
        <family val="1"/>
        <sz val="11"/>
        <rFont val="Times New Roman"/>
      </rPr>
      <t xml:space="preserve"> C+</t>
    </r>
    <r>
      <rPr>
        <family val="1"/>
        <sz val="11"/>
        <rFont val="Times New Roman"/>
      </rPr>
      <t xml:space="preserve"> = 2.50 (65-69),  </t>
    </r>
    <r>
      <rPr>
        <b/>
        <family val="1"/>
        <sz val="11"/>
        <rFont val="Times New Roman"/>
      </rPr>
      <t>C</t>
    </r>
    <r>
      <rPr>
        <family val="1"/>
        <sz val="11"/>
        <rFont val="Times New Roman"/>
      </rPr>
      <t xml:space="preserve">= 2.00 (60-64), </t>
    </r>
  </si>
  <si>
    <r>
      <rPr>
        <b/>
        <family val="1"/>
        <sz val="11"/>
        <rFont val="Times New Roman"/>
      </rPr>
      <t>D+</t>
    </r>
    <r>
      <rPr>
        <family val="1"/>
        <sz val="11"/>
        <rFont val="Times New Roman"/>
      </rPr>
      <t xml:space="preserve">=1.50 (55-59), </t>
    </r>
    <r>
      <rPr>
        <b/>
        <family val="1"/>
        <sz val="11"/>
        <rFont val="Times New Roman"/>
      </rPr>
      <t>D</t>
    </r>
    <r>
      <rPr>
        <family val="1"/>
        <sz val="11"/>
        <rFont val="Times New Roman"/>
      </rPr>
      <t xml:space="preserve"> = 1.00 (50-54), </t>
    </r>
    <r>
      <rPr>
        <b/>
        <family val="1"/>
        <sz val="11"/>
        <rFont val="Times New Roman"/>
      </rPr>
      <t>F</t>
    </r>
    <r>
      <rPr>
        <family val="1"/>
        <sz val="11"/>
        <rFont val="Times New Roman"/>
      </rPr>
      <t xml:space="preserve"> = 0.00 (0-49),</t>
    </r>
    <r>
      <rPr>
        <b/>
        <family val="1"/>
        <sz val="11"/>
        <rFont val="Times New Roman"/>
      </rPr>
      <t xml:space="preserve"> I </t>
    </r>
    <r>
      <rPr>
        <family val="1"/>
        <sz val="11"/>
        <rFont val="Times New Roman"/>
      </rPr>
      <t>= Incomplete</t>
    </r>
  </si>
  <si>
    <r>
      <t>ວັນທີ:</t>
    </r>
    <r>
      <rPr>
        <family val="1"/>
        <sz val="8"/>
        <rFont val="Times New Roman"/>
      </rPr>
      <t xml:space="preserve"> ....................................</t>
    </r>
  </si>
  <si>
    <r>
      <t>ວັນທີ:</t>
    </r>
    <r>
      <rPr>
        <sz val="8"/>
        <rFont val="Phetsarath OT"/>
      </rPr>
      <t xml:space="preserve"> </t>
    </r>
    <r>
      <rPr>
        <family val="1"/>
        <sz val="8"/>
        <rFont val="Times New Roman"/>
      </rPr>
      <t>…................................</t>
    </r>
  </si>
  <si>
    <t>ຄະນະບໍດີຄະນະອັກສອນສາດ</t>
  </si>
  <si>
    <t>ຫົວໜ້າພາກວິຊາພາສາຍີ່ປຸ່ນ</t>
  </si>
  <si>
    <t>Lao People's Democratic Republic</t>
  </si>
  <si>
    <t>Peace Independence Democracy Unity Prosperity</t>
  </si>
  <si>
    <t xml:space="preserve">National University of Laos </t>
  </si>
  <si>
    <t>Faculty of Letters</t>
  </si>
  <si>
    <t>Serial No. ....../FLE/.........</t>
  </si>
  <si>
    <t>ACADEMIC TRANSCRIPT</t>
  </si>
  <si>
    <t>Full Name</t>
  </si>
  <si>
    <t>Degree</t>
  </si>
  <si>
    <t>: Bachelor</t>
  </si>
  <si>
    <r>
      <rPr>
        <b/>
        <family val="1"/>
        <sz val="11"/>
        <rFont val="Times New Roman"/>
      </rPr>
      <t>Date of Birth</t>
    </r>
    <r>
      <rPr>
        <family val="1"/>
        <sz val="11"/>
        <rFont val="Times New Roman"/>
      </rPr>
      <t xml:space="preserve">   </t>
    </r>
  </si>
  <si>
    <t>Major</t>
  </si>
  <si>
    <t>: Japanese Language</t>
  </si>
  <si>
    <t>Student ID</t>
  </si>
  <si>
    <t>No. of Credits</t>
  </si>
  <si>
    <t>Institute</t>
  </si>
  <si>
    <t>Department of Japanese Language</t>
  </si>
  <si>
    <t>Period of study</t>
  </si>
  <si>
    <t>Academic Year</t>
  </si>
  <si>
    <t>Japanese 1</t>
  </si>
  <si>
    <t>Japanese Grammar 1</t>
  </si>
  <si>
    <t>Kanji 1</t>
  </si>
  <si>
    <t>Listening &amp; Speaking 1</t>
  </si>
  <si>
    <t>Phonetics &amp; Letters</t>
  </si>
  <si>
    <t>English 1</t>
  </si>
  <si>
    <t>Lao Studies 1</t>
  </si>
  <si>
    <t>General Psychology</t>
  </si>
  <si>
    <t>Basic Information Technology Skills</t>
  </si>
  <si>
    <t>YEAR 1 (2023-2024)</t>
  </si>
  <si>
    <t xml:space="preserve">FIRST SEMESTER </t>
  </si>
  <si>
    <t>Japanese 2</t>
  </si>
  <si>
    <t>Japanese Grammar 2</t>
  </si>
  <si>
    <t>Listening and Speaking 1</t>
  </si>
  <si>
    <t>Kanji 2</t>
  </si>
  <si>
    <t>Letters and Pronunciation</t>
  </si>
  <si>
    <t>Listening &amp; Speaking 2</t>
  </si>
  <si>
    <t>Japanese Reading 1</t>
  </si>
  <si>
    <t>Grammar 1</t>
  </si>
  <si>
    <t>Japanese Writing 1</t>
  </si>
  <si>
    <t>English 2</t>
  </si>
  <si>
    <t>Lao Language</t>
  </si>
  <si>
    <t>Lao Studies 2</t>
  </si>
  <si>
    <t>Phylosophy</t>
  </si>
  <si>
    <t>SECOND SEMESTER</t>
  </si>
  <si>
    <t>Politics</t>
  </si>
  <si>
    <t>National Defense Education</t>
  </si>
  <si>
    <t>Listening and Speaking 2</t>
  </si>
  <si>
    <t>Date …............</t>
  </si>
  <si>
    <t>Date: 28/03/2025</t>
  </si>
  <si>
    <t xml:space="preserve">Dean of Faculty of Letters </t>
  </si>
  <si>
    <t>Department of Japanese</t>
  </si>
  <si>
    <t>: 2019-2023</t>
  </si>
  <si>
    <t>125JP223</t>
  </si>
  <si>
    <t>ພາສາຍີ່ປຸ່ນ 3</t>
  </si>
  <si>
    <t>125JG223</t>
  </si>
  <si>
    <t>ໄວຍາກອນ 3</t>
  </si>
  <si>
    <t>125KJ213</t>
  </si>
  <si>
    <t>ຄັນຈິ 3</t>
  </si>
  <si>
    <t>125JW223</t>
  </si>
  <si>
    <t>ການຂຽນພາສາຍີ່ປຸ່ນ 2</t>
  </si>
  <si>
    <t>125JR222</t>
  </si>
  <si>
    <t>ການອ່ານພາສາຍີ່ປຸ່ນ 2</t>
  </si>
  <si>
    <t>125LS223</t>
  </si>
  <si>
    <t>ການຟັງ-ການເວົ້າ 3</t>
  </si>
  <si>
    <t>125JL223</t>
  </si>
  <si>
    <t>ພາສາສາດຍີ່ປຸ່ນ</t>
  </si>
  <si>
    <t>125GE212</t>
  </si>
  <si>
    <t>ພາສາອັງກິດ 3</t>
  </si>
  <si>
    <t>125SW201</t>
  </si>
  <si>
    <t>ທັກສະຈຳເປັນສຳລັບການເຮັດວຽກ</t>
  </si>
  <si>
    <t>ປີທີ1 (2019-2020)</t>
  </si>
  <si>
    <t>125JP224</t>
  </si>
  <si>
    <t>ພາສາຍີ່ປຸ່ນ 4</t>
  </si>
  <si>
    <t>125JG224</t>
  </si>
  <si>
    <t>ໄວຍາກອນ 4</t>
  </si>
  <si>
    <t>125KJ214</t>
  </si>
  <si>
    <t>ຄັນຈິ 4</t>
  </si>
  <si>
    <t>125JW224</t>
  </si>
  <si>
    <t>ການຂຽນພາສາຍີ່ປຸ່ນ 3</t>
  </si>
  <si>
    <t>125JR223</t>
  </si>
  <si>
    <t>ການອ່ານພາສາຍີ່ປຸ່ນ 3</t>
  </si>
  <si>
    <t>125LS224</t>
  </si>
  <si>
    <t>ການຟັງ-ການເວົ້າ 4</t>
  </si>
  <si>
    <t>125JA224</t>
  </si>
  <si>
    <t>ວັດທະນະທຳ ແລະ ສັງຄົມຍີ່ປຸ່ນ</t>
  </si>
  <si>
    <t>125GE213</t>
  </si>
  <si>
    <t>ພາສາອັງກິດ 4</t>
  </si>
  <si>
    <t>125EE201</t>
  </si>
  <si>
    <t>ຄວາມຮູ້ພື້ນຖານການເປັນຜູ້ປະກອບການ</t>
  </si>
  <si>
    <t xml:space="preserve">              </t>
  </si>
  <si>
    <t>115 PO 101</t>
  </si>
  <si>
    <t>ປີທີ2 (202o-2021)</t>
  </si>
  <si>
    <t>ພາກຮຽນທີ 3</t>
  </si>
  <si>
    <t>125 JP 223</t>
  </si>
  <si>
    <t>125 JW 223</t>
  </si>
  <si>
    <t>125 JR 222</t>
  </si>
  <si>
    <t>125 KJ 213</t>
  </si>
  <si>
    <t>125 JG 223</t>
  </si>
  <si>
    <t>125 LS 223</t>
  </si>
  <si>
    <t>125 LL102</t>
  </si>
  <si>
    <t>ພາສາລາວ 2</t>
  </si>
  <si>
    <t>125 GE 212</t>
  </si>
  <si>
    <t>205 IT 201</t>
  </si>
  <si>
    <t>ຄອມພິວເຕີ</t>
  </si>
  <si>
    <t>015 ND 201</t>
  </si>
  <si>
    <t>ວິຊາປ້ອງຕົວ</t>
  </si>
  <si>
    <t>ພາກຮຽນທີ 4</t>
  </si>
  <si>
    <t>125 JP 224</t>
  </si>
  <si>
    <t>125 KJ 214</t>
  </si>
  <si>
    <t>125 JR 223</t>
  </si>
  <si>
    <t>125 JG 224</t>
  </si>
  <si>
    <t>125 LS 224</t>
  </si>
  <si>
    <t>125 JS 211</t>
  </si>
  <si>
    <t>ການຂຽນ 3</t>
  </si>
  <si>
    <t>125 LW 224</t>
  </si>
  <si>
    <t>ຍີ່ປຸ່ນສຶກສາ 1</t>
  </si>
  <si>
    <t>125 GE 213</t>
  </si>
  <si>
    <t>135 LC 201</t>
  </si>
  <si>
    <t>ວັດທະນະທໍາລາວ</t>
  </si>
  <si>
    <t>: 2019-2024</t>
  </si>
  <si>
    <t>Japanese 3</t>
  </si>
  <si>
    <t xml:space="preserve">Number of credits </t>
  </si>
  <si>
    <t>Japanese Grammar 3</t>
  </si>
  <si>
    <t>Kanji 3</t>
  </si>
  <si>
    <t>Japanese Writing 2</t>
  </si>
  <si>
    <t>Japanese Reading 2</t>
  </si>
  <si>
    <t>Listening &amp; Speaking 3</t>
  </si>
  <si>
    <t>Japanese Linguistics</t>
  </si>
  <si>
    <t>English 3</t>
  </si>
  <si>
    <t>Essential Skills for Work</t>
  </si>
  <si>
    <t>YEAR 1 (2019-2020)</t>
  </si>
  <si>
    <t>Japanese 4</t>
  </si>
  <si>
    <t>Japanese Grammar 4</t>
  </si>
  <si>
    <t>Kanji 4</t>
  </si>
  <si>
    <t>Japanese Writing 3</t>
  </si>
  <si>
    <t>Japanese Reading 3</t>
  </si>
  <si>
    <t>Listening &amp; Speaking 4</t>
  </si>
  <si>
    <t>Japanese Culture &amp; Society</t>
  </si>
  <si>
    <t>English 4</t>
  </si>
  <si>
    <t>Basic Entrepreneurship</t>
  </si>
  <si>
    <t>Date …....................</t>
  </si>
  <si>
    <t>Department of…...</t>
  </si>
  <si>
    <t>YEAR 2 (2020-2021)</t>
  </si>
  <si>
    <t xml:space="preserve">THIRD SEMESTER </t>
  </si>
  <si>
    <t>Listening and Speaking 3</t>
  </si>
  <si>
    <t>Grammar 3</t>
  </si>
  <si>
    <t>Reading 2</t>
  </si>
  <si>
    <t>Lao Language 2</t>
  </si>
  <si>
    <t xml:space="preserve">Computer </t>
  </si>
  <si>
    <t>Military</t>
  </si>
  <si>
    <t xml:space="preserve">FOUTH SEMEMESTER </t>
  </si>
  <si>
    <t>Listening and Speaking 4</t>
  </si>
  <si>
    <t>Grammar 4</t>
  </si>
  <si>
    <t>Reading 3</t>
  </si>
  <si>
    <t>Lao Culture</t>
  </si>
  <si>
    <t>OVERALL PROGRAMME LEARNING ACHIEVEMENT</t>
  </si>
  <si>
    <t>125JP325</t>
  </si>
  <si>
    <t>ພາສາຍີ່ປຸ່ນ 5</t>
  </si>
  <si>
    <t>125JG325</t>
  </si>
  <si>
    <t>ໄວຍະກອນຍີ່ປຸ່ນ 5</t>
  </si>
  <si>
    <t>125KJ315</t>
  </si>
  <si>
    <t>ຄັນຈິ 5</t>
  </si>
  <si>
    <t>125JW325</t>
  </si>
  <si>
    <t>ການຂຽນພາສາຍີ່ປຸ່ນ 4</t>
  </si>
  <si>
    <t>125JR324</t>
  </si>
  <si>
    <t>ການອ່ານພາສາຍີ່ປຸ່ນ 4</t>
  </si>
  <si>
    <t>125LS325</t>
  </si>
  <si>
    <t>ການຟັງ-ການເວົ້າ 5</t>
  </si>
  <si>
    <t>125JC325</t>
  </si>
  <si>
    <t>ການສື່ສານຂ້າມວັດທະນະທຳ</t>
  </si>
  <si>
    <t>125RM301</t>
  </si>
  <si>
    <t>ວິທີວິທະຍາການວິໄຈ</t>
  </si>
  <si>
    <t>125EN311</t>
  </si>
  <si>
    <t>ພາສາອັງກິດ 5</t>
  </si>
  <si>
    <t>125PD301</t>
  </si>
  <si>
    <t>ການພັດທະນາບຸກຄະລິກະພາບ</t>
  </si>
  <si>
    <t>015PE101</t>
  </si>
  <si>
    <t>ພາລະສຶກສາ</t>
  </si>
  <si>
    <t>125JP326</t>
  </si>
  <si>
    <t>ພາສາຍີ່ປຸ່ນ 6</t>
  </si>
  <si>
    <t>125JG326</t>
  </si>
  <si>
    <t>ໄວຍະກອນຍີ່ປຸ່ນ 6</t>
  </si>
  <si>
    <t>125KJ316</t>
  </si>
  <si>
    <t>ຄັນຈິ 6</t>
  </si>
  <si>
    <t>125JW326</t>
  </si>
  <si>
    <t>ການຂຽນພາສາຍີ່ປຸ່ນ 5</t>
  </si>
  <si>
    <t>125JR325</t>
  </si>
  <si>
    <t>ການອ່ານພາສາຍີ່ປຸ່ນ 5</t>
  </si>
  <si>
    <t>125LS326</t>
  </si>
  <si>
    <t>ການຟັງ-ການເວົ້າ 6</t>
  </si>
  <si>
    <t>125BJ326</t>
  </si>
  <si>
    <t>ພາສາຍີ່ປຸ່ນທຸລະກິດ 1</t>
  </si>
  <si>
    <t>125EN312</t>
  </si>
  <si>
    <t>ພາສາອັງກິດ 6</t>
  </si>
  <si>
    <t>125CS301</t>
  </si>
  <si>
    <t>ການບໍລິການລູກຄ້າ</t>
  </si>
  <si>
    <t>125FS301</t>
  </si>
  <si>
    <t>ລົງຝຶກງານຕົວຈິງ</t>
  </si>
  <si>
    <t>ປີທີ3 (2021-2022)</t>
  </si>
  <si>
    <t xml:space="preserve">               ພາກຮຽນທີ 5</t>
  </si>
  <si>
    <t>125 LL301</t>
  </si>
  <si>
    <t>ວັນນະຄະດີລາວ</t>
  </si>
  <si>
    <t>125 GE 314</t>
  </si>
  <si>
    <t xml:space="preserve">          ພາກຮຽນທີ 6</t>
  </si>
  <si>
    <t>125 JR 326</t>
  </si>
  <si>
    <t>125 JR 325</t>
  </si>
  <si>
    <t>125 JW 325</t>
  </si>
  <si>
    <t>125 JG 326</t>
  </si>
  <si>
    <t>ການອ່ານ 5</t>
  </si>
  <si>
    <t>125 KJ 316</t>
  </si>
  <si>
    <t>ການຂຽນ 5</t>
  </si>
  <si>
    <t>125 JC 322</t>
  </si>
  <si>
    <t>ພາສາຍີ່ປຸ່ນເພື່ອການສື່ສານ 2</t>
  </si>
  <si>
    <t>125 XX 332</t>
  </si>
  <si>
    <t>ພາສາຍີ່ປຸ່ນສຳຫຼັບທຸລະກິດ 2</t>
  </si>
  <si>
    <t>125 JB 312</t>
  </si>
  <si>
    <t>ການສອນພາສາຍີ່ປຸ່່ນ</t>
  </si>
  <si>
    <t>125 TM 311</t>
  </si>
  <si>
    <t>ວິຊາເລືອກ(ພາສາຈີນ/ເກົາຫຼີ)</t>
  </si>
  <si>
    <t>125 GE 315</t>
  </si>
  <si>
    <t>125 JP 325</t>
  </si>
  <si>
    <r>
      <rPr>
        <sz val="11"/>
        <rFont val="Phetsarath OT"/>
      </rPr>
      <t>ພາສາຍີ່ປຸ່ນ</t>
    </r>
    <r>
      <rPr>
        <family val="1"/>
        <sz val="11"/>
        <rFont val="Times New Roman"/>
      </rPr>
      <t xml:space="preserve"> 5</t>
    </r>
  </si>
  <si>
    <t>125 JR 324</t>
  </si>
  <si>
    <t>125 JW 324</t>
  </si>
  <si>
    <t>125 KJ 315</t>
  </si>
  <si>
    <t>ການອ່ານ 4</t>
  </si>
  <si>
    <t>125 JB 311</t>
  </si>
  <si>
    <t xml:space="preserve">ການຂຽນ 4 </t>
  </si>
  <si>
    <t>125 JG 325</t>
  </si>
  <si>
    <t>ພາສາຍີ່ປຸ່ນເພື່ອການສື່ສານ 1</t>
  </si>
  <si>
    <t>125 AS 311</t>
  </si>
  <si>
    <t>ພາສາຍີ່ປຸ່ນສຳຫຼັບທຸລະກິດ 1</t>
  </si>
  <si>
    <t>125 XX 331</t>
  </si>
  <si>
    <t>ອາຊີສຶກສາ ແລະ ການບໍລິຫານຂອງຍີ່ປຸ່ນ</t>
  </si>
  <si>
    <t>125 JC 321</t>
  </si>
  <si>
    <t>Japanese 5</t>
  </si>
  <si>
    <t>Japanese Grammar 5</t>
  </si>
  <si>
    <t>Kanji 5</t>
  </si>
  <si>
    <t>Japanese Writing 4</t>
  </si>
  <si>
    <t>Japanese Reading 4</t>
  </si>
  <si>
    <t>Listening &amp; Speaking 5</t>
  </si>
  <si>
    <t>Cross-Cultural Communication</t>
  </si>
  <si>
    <t>Research Methodology</t>
  </si>
  <si>
    <t>English 5</t>
  </si>
  <si>
    <t>Personality Development</t>
  </si>
  <si>
    <t>Physical Education</t>
  </si>
  <si>
    <t>Japanese 6</t>
  </si>
  <si>
    <t>Japanese Grammar 6</t>
  </si>
  <si>
    <t>Kanji 6</t>
  </si>
  <si>
    <t>Japanese Writing 5</t>
  </si>
  <si>
    <t>Japanese Reading 5</t>
  </si>
  <si>
    <t>Listening &amp; Speaking 6</t>
  </si>
  <si>
    <t>Business Japanese 1</t>
  </si>
  <si>
    <t>English 6</t>
  </si>
  <si>
    <t>Customer Service</t>
  </si>
  <si>
    <t>Field Internship</t>
  </si>
  <si>
    <t>YEAR 3 (2021-2022)</t>
  </si>
  <si>
    <t>FIFTH SEMESTER</t>
  </si>
  <si>
    <t>Lao Literature</t>
  </si>
  <si>
    <t>SIXTH SEMESTER</t>
  </si>
  <si>
    <t>Grammar 6</t>
  </si>
  <si>
    <t>Reading 5</t>
  </si>
  <si>
    <t>Japanese for Communication 2</t>
  </si>
  <si>
    <t>Japanese for Business 2</t>
  </si>
  <si>
    <t>Teaching Methods of  Japanese</t>
  </si>
  <si>
    <t xml:space="preserve">Elective Subject (Chinese/Korean) </t>
  </si>
  <si>
    <t>Grammar 5</t>
  </si>
  <si>
    <t>Reading 4</t>
  </si>
  <si>
    <t>Japanese for Communication 1</t>
  </si>
  <si>
    <t>Japanese for Business 1</t>
  </si>
  <si>
    <t>Asia Studies and Japanese Business</t>
  </si>
  <si>
    <t>125JR426</t>
  </si>
  <si>
    <t>ການອ່ານພາສາຍີ່ປຸ່ນ 6</t>
  </si>
  <si>
    <t>ການຂຽນພາສາຍີ່ປຸ່ນ 6</t>
  </si>
  <si>
    <t>125TR421</t>
  </si>
  <si>
    <t>ການແປ 1</t>
  </si>
  <si>
    <t>125IN421</t>
  </si>
  <si>
    <t>ການແປປາກເປົ່າ 1</t>
  </si>
  <si>
    <t>125BJ422</t>
  </si>
  <si>
    <t>ພາສາຍີ່ປຸ່ນທຸລະກິດ 2</t>
  </si>
  <si>
    <t>125EN411</t>
  </si>
  <si>
    <t>ພາສາອັງກິດ 7</t>
  </si>
  <si>
    <t>125JT411</t>
  </si>
  <si>
    <t>ພາສາຍີ່ປຸ່ນສຳຫຼັບການທ່ອງທ່ຽວ</t>
  </si>
  <si>
    <t>125PR421</t>
  </si>
  <si>
    <t>ການນຳສະເໜີພາສາຍີ່ປຸ່ນ</t>
  </si>
  <si>
    <t>125TR422</t>
  </si>
  <si>
    <t>ການແປ 2</t>
  </si>
  <si>
    <t>125AR421</t>
  </si>
  <si>
    <t>ການຂຽນບົດຄົ້ນຄວ້າ</t>
  </si>
  <si>
    <t>ປີທີ4 (2022-2023)</t>
  </si>
  <si>
    <t>ພາກຮຽນທີ 7</t>
  </si>
  <si>
    <t>125 JR 426</t>
  </si>
  <si>
    <t>ການອ່ານ 6</t>
  </si>
  <si>
    <t>125 JW 326</t>
  </si>
  <si>
    <t>ການຂຽນ 6</t>
  </si>
  <si>
    <t>125 TR 421</t>
  </si>
  <si>
    <t>125 JS 422</t>
  </si>
  <si>
    <t>ຍີ່ປຸ່ນສຶກສາ 2</t>
  </si>
  <si>
    <t>125 IN 421</t>
  </si>
  <si>
    <t>ລົງຝຶກງານໂຕຈິງ</t>
  </si>
  <si>
    <t>125 RW 421</t>
  </si>
  <si>
    <t>ວິທີວິທະຍາການຄົ້ນຄວ້າ</t>
  </si>
  <si>
    <t>ພາກຮຽນທີ 8</t>
  </si>
  <si>
    <t>125 JT 411</t>
  </si>
  <si>
    <t>125 PR 421</t>
  </si>
  <si>
    <t>ການນຳສະເຫນີພາສາຍີ່ປຸ່ນ</t>
  </si>
  <si>
    <t>125 TR 422</t>
  </si>
  <si>
    <t>ຂຽນບົດ ແລະ ປ້ອງກັນ</t>
  </si>
  <si>
    <t>Japanese Reading 6</t>
  </si>
  <si>
    <t>Japanese Writing 6</t>
  </si>
  <si>
    <t>Translation 1</t>
  </si>
  <si>
    <t>Interpretation 1</t>
  </si>
  <si>
    <t>Business Japanese 2</t>
  </si>
  <si>
    <t>English 7</t>
  </si>
  <si>
    <t>Japanese for Tourism</t>
  </si>
  <si>
    <t>Japanese Presentation</t>
  </si>
  <si>
    <t>Translation 2</t>
  </si>
  <si>
    <t>Research Thesis Writing</t>
  </si>
  <si>
    <t>YEAR 4 (2023-2024)</t>
  </si>
  <si>
    <t>SEVENTH SEMESTER</t>
  </si>
  <si>
    <t>Reading 6</t>
  </si>
  <si>
    <t>Japanese Society 2</t>
  </si>
  <si>
    <t>Internship</t>
  </si>
  <si>
    <t>Methodology of Writing Thesis</t>
  </si>
  <si>
    <t>EIGHTH SEMESTER</t>
  </si>
  <si>
    <t>Thesis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</si>
</sst>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409]d-mmm-yyyy;@"/>
    <numFmt numFmtId="165" formatCode="dd/mm/yyyy;@"/>
    <numFmt numFmtId="166" formatCode="[$-10000]dd/mm/yyyy;@"/>
    <numFmt numFmtId="167" formatCode="d/m/yyyy;@"/>
    <numFmt numFmtId="168" formatCode="0.0"/>
  </numFmts>
  <fonts count="49" x14ac:knownFonts="1">
    <font>
      <color theme="1"/>
      <family val="2"/>
      <scheme val="minor"/>
      <sz val="11"/>
      <name val="Calibri"/>
    </font>
    <font>
      <family val="2"/>
      <sz val="9"/>
      <name val="Arial"/>
    </font>
    <font>
      <color theme="1"/>
      <sz val="10"/>
      <name val="Phetsarath OT"/>
    </font>
    <font>
      <b/>
      <color theme="8" tint="-0.249977111117893"/>
      <sz val="18"/>
      <name val="Phetsarath OT"/>
    </font>
    <font>
      <b/>
      <family val="2"/>
      <sz val="12"/>
      <name val="Saysettha OT"/>
    </font>
    <font>
      <b/>
      <color theme="1"/>
      <family val="2"/>
      <sz val="12"/>
      <name val="Saysettha OT"/>
    </font>
    <font>
      <b/>
      <color theme="8" tint="-0.249977111117893"/>
      <sz val="20"/>
      <name val="Phetsarath OT"/>
    </font>
    <font>
      <b/>
      <sz val="10"/>
      <name val="Phetsarath OT"/>
    </font>
    <font>
      <b/>
      <color theme="1"/>
      <sz val="10"/>
      <name val="Phetsarath OT"/>
    </font>
    <font>
      <b/>
      <color theme="1"/>
      <sz val="11"/>
      <name val="Phetsarath OT"/>
    </font>
    <font>
      <b/>
      <family val="2"/>
      <sz val="12"/>
      <name val="Arial"/>
    </font>
    <font>
      <b/>
      <family val="2"/>
      <sz val="10"/>
      <name val="Saysettha OT"/>
    </font>
    <font>
      <family val="2"/>
      <scheme val="minor"/>
      <sz val="11"/>
      <name val="Calibri"/>
    </font>
    <font>
      <b/>
      <name val="Saysettha OT"/>
    </font>
    <font>
      <family val="1"/>
      <sz val="12"/>
      <name val="Times New Roman"/>
    </font>
    <font>
      <sz val="12"/>
      <name val="Phetsarath OT"/>
    </font>
    <font>
      <family val="1"/>
      <sz val="10"/>
      <name val="Times New Roman"/>
    </font>
    <font>
      <b/>
      <family val="1"/>
      <sz val="11"/>
      <name val="Times New Roman"/>
    </font>
    <font>
      <family val="1"/>
      <sz val="11"/>
      <name val="Times New Roman"/>
    </font>
    <font>
      <b/>
      <name val="Arial"/>
    </font>
    <font>
      <sz val="10"/>
      <name val="Phetsarath OT"/>
    </font>
    <font>
      <b/>
      <sz val="11"/>
      <name val="Phetsarath OT"/>
    </font>
    <font>
      <sz val="11"/>
      <name val="Phetsarath OT"/>
    </font>
    <font>
      <b/>
      <color theme="1"/>
      <sz val="12"/>
      <name val="Phetsarath OT"/>
    </font>
    <font>
      <b/>
      <u/>
      <color theme="1"/>
      <sz val="12"/>
      <name val="Phetsarath OT"/>
    </font>
    <font>
      <b/>
      <color theme="1"/>
      <sz val="20"/>
      <name val="Phetsarath OT"/>
    </font>
    <font>
      <b/>
      <family val="2"/>
      <sz val="11"/>
      <name val="Saysettha OT"/>
    </font>
    <font>
      <b/>
      <color theme="1"/>
      <family val="2"/>
      <sz val="11"/>
      <name val="Saysettha OT"/>
    </font>
    <font>
      <b/>
      <color theme="1"/>
      <family val="1"/>
      <sz val="11"/>
      <name val="Times New Roman"/>
    </font>
    <font>
      <color theme="1"/>
      <family val="1"/>
      <sz val="12"/>
      <name val="Times New Roman"/>
    </font>
    <font>
      <color theme="1"/>
      <sz val="12"/>
      <name val="Phetsarath OT"/>
    </font>
    <font>
      <b/>
      <color theme="1"/>
      <sz val="14"/>
      <name val="Phetsarath OT"/>
    </font>
    <font>
      <b/>
      <sz val="18"/>
      <name val="Phetsarath OT"/>
    </font>
    <font>
      <b/>
      <sz val="20"/>
      <name val="Phetsarath OT"/>
    </font>
    <font>
      <b/>
      <sz val="9"/>
      <name val="Phetsarath OT"/>
    </font>
    <font>
      <b/>
      <family val="1"/>
      <sz val="10"/>
      <name val="Times New Roman"/>
    </font>
    <font>
      <b/>
      <sz val="12"/>
      <name val="Phetsarath OT"/>
    </font>
    <font>
      <b/>
      <u/>
      <sz val="12"/>
      <name val="Phetsarath OT"/>
    </font>
    <font>
      <b/>
      <color theme="1"/>
      <family val="2"/>
      <sz val="10"/>
      <name val="Saysettha OT"/>
    </font>
    <font>
      <color theme="1"/>
      <family val="1"/>
      <sz val="11"/>
      <name val="Times New Roman"/>
    </font>
    <font>
      <b/>
      <family val="1"/>
      <sz val="12"/>
      <name val="Times New Roman"/>
    </font>
    <font>
      <b/>
      <family val="1"/>
      <sz val="18"/>
      <name val="Times New Roman"/>
    </font>
    <font>
      <b/>
      <family val="1"/>
      <sz val="13"/>
      <name val="Times New Roman"/>
    </font>
    <font>
      <b/>
      <color theme="1"/>
      <sz val="13"/>
      <name val="Phetsarath OT"/>
    </font>
    <font>
      <family val="2"/>
      <sz val="10"/>
      <name val="Arial"/>
    </font>
    <font>
      <b/>
      <u/>
      <color rgb="FFC00000"/>
      <family val="1"/>
      <sz val="10"/>
      <name val="Times New Roman"/>
    </font>
    <font>
      <b/>
      <u/>
      <color rgb="FFC00000"/>
      <family val="1"/>
      <sz val="11"/>
      <name val="Times New Roman"/>
    </font>
    <font>
      <b/>
      <family val="1"/>
      <sz val="9"/>
      <name val="Times New Roman"/>
    </font>
    <font>
      <family val="2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gray0625"/>
    </fill>
    <fill>
      <patternFill patternType="solid">
        <fgColor theme="0" tint="-0.14996795556505021"/>
        <bgColor indexed="64"/>
      </patternFill>
    </fill>
    <fill>
      <patternFill patternType="solid">
        <fgColor indexed="6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9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textRotation="43"/>
    </xf>
    <xf numFmtId="0" fontId="5" fillId="3" borderId="1" xfId="0" applyFont="1" applyFill="1" applyBorder="1" applyAlignment="1">
      <alignment horizontal="center" vertical="center" textRotation="45"/>
    </xf>
    <xf numFmtId="164" fontId="5" fillId="3" borderId="1" xfId="0" applyNumberFormat="1" applyFont="1" applyFill="1" applyBorder="1" applyAlignment="1">
      <alignment horizontal="center" vertical="center" textRotation="45"/>
    </xf>
    <xf numFmtId="0" fontId="4" fillId="4" borderId="1" xfId="0" applyFont="1" applyFill="1" applyBorder="1" applyAlignment="1">
      <alignment horizontal="center" vertical="center" textRotation="90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textRotation="45"/>
    </xf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textRotation="45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5" xfId="0" applyFont="1" applyBorder="1"/>
    <xf numFmtId="0" fontId="11" fillId="5" borderId="1" xfId="0" applyFont="1" applyFill="1" applyBorder="1" applyAlignment="1">
      <alignment horizontal="center" vertical="center" textRotation="90"/>
    </xf>
    <xf numFmtId="0" fontId="11" fillId="5" borderId="6" xfId="0" applyFont="1" applyFill="1" applyBorder="1" applyAlignment="1">
      <alignment horizontal="center" vertical="center" textRotation="90"/>
    </xf>
    <xf numFmtId="0" fontId="7" fillId="2" borderId="0" xfId="0" applyFont="1" applyFill="1" applyAlignment="1">
      <alignment horizont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0" fillId="2" borderId="5" xfId="0" applyFill="1" applyBorder="1"/>
    <xf numFmtId="0" fontId="11" fillId="5" borderId="7" xfId="0" applyFont="1" applyFill="1" applyBorder="1" applyAlignment="1">
      <alignment horizontal="center" vertical="center" textRotation="90"/>
    </xf>
    <xf numFmtId="0" fontId="11" fillId="5" borderId="8" xfId="0" applyFont="1" applyFill="1" applyBorder="1" applyAlignment="1">
      <alignment horizontal="center" vertical="center" textRotation="90"/>
    </xf>
    <xf numFmtId="0" fontId="12" fillId="0" borderId="5" xfId="0" applyFont="1" applyBorder="1"/>
    <xf numFmtId="2" fontId="13" fillId="0" borderId="1" xfId="0" applyNumberFormat="1" applyFont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2" fontId="13" fillId="0" borderId="1" xfId="0" applyNumberFormat="1" applyFont="1" applyBorder="1" applyAlignment="1">
      <alignment horizontal="right"/>
    </xf>
    <xf numFmtId="2" fontId="14" fillId="0" borderId="1" xfId="0" applyNumberFormat="1" applyFont="1" applyBorder="1" applyAlignment="1">
      <alignment horizontal="center"/>
    </xf>
    <xf numFmtId="14" fontId="13" fillId="0" borderId="1" xfId="0" applyNumberFormat="1" applyFont="1" applyBorder="1" applyAlignment="1">
      <alignment horizontal="center"/>
    </xf>
    <xf numFmtId="2" fontId="15" fillId="2" borderId="1" xfId="0" applyNumberFormat="1" applyFont="1" applyFill="1" applyBorder="1" applyAlignment="1">
      <alignment horizontal="right"/>
    </xf>
    <xf numFmtId="2" fontId="16" fillId="0" borderId="1" xfId="0" applyNumberFormat="1" applyFont="1" applyBorder="1" applyAlignment="1">
      <alignment horizontal="right"/>
    </xf>
    <xf numFmtId="2" fontId="17" fillId="0" borderId="0" xfId="0" applyNumberFormat="1" applyFont="1" applyAlignment="1">
      <alignment horizontal="right"/>
    </xf>
    <xf numFmtId="2" fontId="18" fillId="0" borderId="1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2" fontId="18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2" fontId="20" fillId="0" borderId="0" xfId="0" applyNumberFormat="1" applyFont="1" applyAlignment="1">
      <alignment horizontal="right"/>
    </xf>
    <xf numFmtId="0" fontId="12" fillId="0" borderId="0" xfId="0" applyFont="1"/>
    <xf numFmtId="165" fontId="13" fillId="0" borderId="0" xfId="0" applyNumberFormat="1" applyFont="1" applyAlignment="1">
      <alignment horizontal="center"/>
    </xf>
    <xf numFmtId="2" fontId="16" fillId="7" borderId="1" xfId="0" applyNumberFormat="1" applyFont="1" applyFill="1" applyBorder="1" applyAlignment="1">
      <alignment horizontal="right"/>
    </xf>
    <xf numFmtId="2" fontId="16" fillId="7" borderId="1" xfId="0" applyNumberFormat="1" applyFont="1" applyFill="1" applyBorder="1" applyAlignment="1">
      <alignment horizontal="center"/>
    </xf>
    <xf numFmtId="0" fontId="13" fillId="7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2" fontId="18" fillId="7" borderId="1" xfId="0" applyNumberFormat="1" applyFont="1" applyFill="1" applyBorder="1" applyAlignment="1">
      <alignment horizontal="center"/>
    </xf>
    <xf numFmtId="2" fontId="13" fillId="7" borderId="1" xfId="0" applyNumberFormat="1" applyFont="1" applyFill="1" applyBorder="1" applyAlignment="1">
      <alignment horizontal="center"/>
    </xf>
    <xf numFmtId="2" fontId="14" fillId="7" borderId="1" xfId="0" applyNumberFormat="1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65" fontId="13" fillId="0" borderId="1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21" fillId="0" borderId="1" xfId="0" applyFont="1" applyBorder="1"/>
    <xf numFmtId="0" fontId="20" fillId="0" borderId="1" xfId="0" applyFont="1" applyBorder="1" applyAlignment="1">
      <alignment horizontal="center"/>
    </xf>
    <xf numFmtId="0" fontId="12" fillId="9" borderId="1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left" vertical="center"/>
    </xf>
    <xf numFmtId="0" fontId="22" fillId="9" borderId="1" xfId="0" applyFont="1" applyFill="1" applyBorder="1"/>
    <xf numFmtId="0" fontId="15" fillId="9" borderId="1" xfId="0" applyFont="1" applyFill="1" applyBorder="1" applyAlignment="1">
      <alignment horizontal="left" vertical="center"/>
    </xf>
    <xf numFmtId="0" fontId="14" fillId="9" borderId="1" xfId="0" applyFont="1" applyFill="1" applyBorder="1" applyAlignment="1">
      <alignment horizontal="left" vertical="center"/>
    </xf>
    <xf numFmtId="2" fontId="12" fillId="0" borderId="1" xfId="0" applyNumberFormat="1" applyFont="1" applyBorder="1" applyAlignment="1">
      <alignment horizontal="right"/>
    </xf>
    <xf numFmtId="166" fontId="13" fillId="0" borderId="1" xfId="0" applyNumberFormat="1" applyFont="1" applyBorder="1" applyAlignment="1">
      <alignment horizontal="center"/>
    </xf>
    <xf numFmtId="2" fontId="12" fillId="7" borderId="1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center"/>
    </xf>
    <xf numFmtId="0" fontId="13" fillId="0" borderId="0" xfId="0" applyFont="1" applyAlignment="1">
      <alignment horizontal="center"/>
    </xf>
    <xf numFmtId="2" fontId="13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right"/>
    </xf>
    <xf numFmtId="2" fontId="2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2" fontId="13" fillId="0" borderId="0" xfId="0" applyNumberFormat="1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9" xfId="0" applyFont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0" fontId="30" fillId="0" borderId="1" xfId="0" applyFont="1" applyBorder="1"/>
    <xf numFmtId="0" fontId="0" fillId="0" borderId="0" xfId="0" applyAlignment="1">
      <alignment horizontal="center"/>
    </xf>
    <xf numFmtId="0" fontId="31" fillId="0" borderId="0" xfId="0" applyFont="1"/>
    <xf numFmtId="0" fontId="12" fillId="0" borderId="0" xfId="0" applyFont="1" applyAlignment="1">
      <alignment horizontal="center" vertical="center"/>
    </xf>
    <xf numFmtId="0" fontId="20" fillId="2" borderId="0" xfId="0" applyFont="1" applyFill="1"/>
    <xf numFmtId="0" fontId="20" fillId="2" borderId="0" xfId="0" applyFont="1" applyFill="1" applyAlignment="1">
      <alignment horizontal="center"/>
    </xf>
    <xf numFmtId="0" fontId="12" fillId="2" borderId="0" xfId="0" applyFont="1" applyFill="1"/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0" fontId="33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textRotation="45"/>
    </xf>
    <xf numFmtId="0" fontId="21" fillId="2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/>
    </xf>
    <xf numFmtId="0" fontId="12" fillId="2" borderId="5" xfId="0" applyFont="1" applyFill="1" applyBorder="1"/>
    <xf numFmtId="0" fontId="13" fillId="0" borderId="1" xfId="0" applyFont="1" applyBorder="1" applyAlignment="1">
      <alignment horizontal="center"/>
    </xf>
    <xf numFmtId="2" fontId="15" fillId="0" borderId="1" xfId="0" applyNumberFormat="1" applyFont="1" applyBorder="1" applyAlignment="1">
      <alignment horizontal="right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2" fontId="35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right"/>
    </xf>
    <xf numFmtId="2" fontId="12" fillId="0" borderId="0" xfId="0" applyNumberFormat="1" applyFont="1" applyAlignment="1">
      <alignment horizontal="center"/>
    </xf>
    <xf numFmtId="2" fontId="20" fillId="2" borderId="0" xfId="0" applyNumberFormat="1" applyFont="1" applyFill="1" applyAlignment="1">
      <alignment horizontal="right"/>
    </xf>
    <xf numFmtId="2" fontId="20" fillId="2" borderId="0" xfId="0" applyNumberFormat="1" applyFont="1" applyFill="1" applyAlignment="1">
      <alignment horizontal="center"/>
    </xf>
    <xf numFmtId="0" fontId="36" fillId="0" borderId="0" xfId="0" applyFont="1"/>
    <xf numFmtId="0" fontId="37" fillId="0" borderId="0" xfId="0" applyFont="1"/>
    <xf numFmtId="0" fontId="23" fillId="0" borderId="9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8" fillId="3" borderId="1" xfId="0" applyFont="1" applyFill="1" applyBorder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6" fillId="0" borderId="8" xfId="0" applyFont="1" applyBorder="1" applyAlignment="1">
      <alignment horizontal="center"/>
    </xf>
    <xf numFmtId="2" fontId="39" fillId="0" borderId="1" xfId="0" applyNumberFormat="1" applyFont="1" applyBorder="1" applyAlignment="1">
      <alignment horizontal="center"/>
    </xf>
    <xf numFmtId="1" fontId="29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/>
    <xf numFmtId="0" fontId="9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22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3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0" fillId="0" borderId="0" xfId="0" applyFont="1" applyAlignment="1">
      <alignment horizontal="left" vertical="center"/>
    </xf>
    <xf numFmtId="0" fontId="14" fillId="0" borderId="0" xfId="0" applyFont="1"/>
    <xf numFmtId="0" fontId="41" fillId="0" borderId="0" xfId="0" applyFont="1" applyAlignment="1">
      <alignment horizontal="center" vertical="center"/>
    </xf>
    <xf numFmtId="0" fontId="40" fillId="0" borderId="0" xfId="0" applyFont="1"/>
    <xf numFmtId="0" fontId="15" fillId="0" borderId="0" xfId="0" applyFont="1"/>
    <xf numFmtId="0" fontId="36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36" fillId="0" borderId="0" xfId="0" applyFont="1" applyAlignment="1">
      <alignment horizontal="right" vertical="center" wrapText="1"/>
    </xf>
    <xf numFmtId="0" fontId="21" fillId="0" borderId="0" xfId="0" applyFont="1" applyAlignment="1">
      <alignment horizontal="left" vertical="center"/>
    </xf>
    <xf numFmtId="2" fontId="43" fillId="0" borderId="0" xfId="0" applyNumberFormat="1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4" fontId="17" fillId="0" borderId="0" xfId="0" applyNumberFormat="1" applyFont="1" applyAlignment="1">
      <alignment horizontal="left" vertical="center"/>
    </xf>
    <xf numFmtId="14" fontId="28" fillId="0" borderId="0" xfId="0" applyNumberFormat="1" applyFont="1" applyAlignment="1">
      <alignment horizontal="left" vertical="center"/>
    </xf>
    <xf numFmtId="0" fontId="18" fillId="0" borderId="0" xfId="0" applyFont="1" applyAlignment="1">
      <alignment vertical="center"/>
    </xf>
    <xf numFmtId="1" fontId="17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36" fillId="0" borderId="9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40" fillId="0" borderId="9" xfId="0" applyFont="1" applyBorder="1" applyAlignment="1">
      <alignment vertical="center"/>
    </xf>
    <xf numFmtId="0" fontId="36" fillId="0" borderId="9" xfId="0" applyFont="1" applyBorder="1" applyAlignment="1">
      <alignment vertical="center"/>
    </xf>
    <xf numFmtId="0" fontId="36" fillId="0" borderId="9" xfId="0" applyFont="1" applyBorder="1" applyAlignment="1">
      <alignment horizontal="right" vertical="center" wrapText="1"/>
    </xf>
    <xf numFmtId="0" fontId="40" fillId="0" borderId="9" xfId="0" applyFont="1" applyBorder="1" applyAlignment="1">
      <alignment horizontal="left" vertical="center"/>
    </xf>
    <xf numFmtId="167" fontId="21" fillId="0" borderId="0" xfId="0" applyNumberFormat="1" applyFont="1" applyAlignment="1">
      <alignment horizontal="left" vertical="center"/>
    </xf>
    <xf numFmtId="0" fontId="21" fillId="0" borderId="0" xfId="0" applyFont="1" applyAlignment="1">
      <alignment vertical="center"/>
    </xf>
    <xf numFmtId="0" fontId="9" fillId="1" borderId="10" xfId="0" applyFont="1" applyFill="1" applyBorder="1" applyAlignment="1">
      <alignment horizontal="center" vertical="center" wrapText="1"/>
    </xf>
    <xf numFmtId="0" fontId="9" fillId="1" borderId="11" xfId="0" applyFont="1" applyFill="1" applyBorder="1" applyAlignment="1">
      <alignment horizontal="center" vertical="center" wrapText="1"/>
    </xf>
    <xf numFmtId="0" fontId="21" fillId="1" borderId="10" xfId="0" applyFont="1" applyFill="1" applyBorder="1" applyAlignment="1">
      <alignment horizontal="center" vertical="center"/>
    </xf>
    <xf numFmtId="0" fontId="21" fillId="1" borderId="12" xfId="0" applyFont="1" applyFill="1" applyBorder="1" applyAlignment="1">
      <alignment horizontal="center" vertical="center"/>
    </xf>
    <xf numFmtId="0" fontId="21" fillId="1" borderId="11" xfId="0" applyFont="1" applyFill="1" applyBorder="1" applyAlignment="1">
      <alignment horizontal="center" vertical="center"/>
    </xf>
    <xf numFmtId="0" fontId="21" fillId="1" borderId="12" xfId="0" applyFont="1" applyFill="1" applyBorder="1" applyAlignment="1">
      <alignment horizontal="center" vertical="center" wrapText="1"/>
    </xf>
    <xf numFmtId="0" fontId="9" fillId="1" borderId="6" xfId="0" applyFont="1" applyFill="1" applyBorder="1" applyAlignment="1">
      <alignment horizontal="center" vertical="center" wrapText="1"/>
    </xf>
    <xf numFmtId="0" fontId="9" fillId="1" borderId="12" xfId="0" applyFont="1" applyFill="1" applyBorder="1" applyAlignment="1">
      <alignment horizontal="center" vertical="center" wrapText="1"/>
    </xf>
    <xf numFmtId="0" fontId="17" fillId="0" borderId="0" xfId="0" applyFont="1"/>
    <xf numFmtId="2" fontId="19" fillId="0" borderId="0" xfId="0" applyNumberFormat="1" applyFont="1" applyAlignment="1">
      <alignment horizontal="center"/>
    </xf>
    <xf numFmtId="0" fontId="18" fillId="0" borderId="9" xfId="0" applyFont="1" applyBorder="1"/>
    <xf numFmtId="0" fontId="9" fillId="1" borderId="13" xfId="0" applyFont="1" applyFill="1" applyBorder="1" applyAlignment="1">
      <alignment horizontal="center" vertical="center" wrapText="1"/>
    </xf>
    <xf numFmtId="0" fontId="9" fillId="1" borderId="14" xfId="0" applyFont="1" applyFill="1" applyBorder="1" applyAlignment="1">
      <alignment horizontal="center" vertical="center" wrapText="1"/>
    </xf>
    <xf numFmtId="0" fontId="21" fillId="1" borderId="13" xfId="0" applyFont="1" applyFill="1" applyBorder="1" applyAlignment="1">
      <alignment horizontal="center" vertical="center"/>
    </xf>
    <xf numFmtId="0" fontId="13" fillId="1" borderId="15" xfId="0" applyFont="1" applyFill="1" applyBorder="1" applyAlignment="1">
      <alignment horizontal="center"/>
    </xf>
    <xf numFmtId="0" fontId="21" fillId="1" borderId="14" xfId="0" applyFont="1" applyFill="1" applyBorder="1" applyAlignment="1">
      <alignment horizontal="center" vertical="center"/>
    </xf>
    <xf numFmtId="0" fontId="21" fillId="1" borderId="15" xfId="0" applyFont="1" applyFill="1" applyBorder="1" applyAlignment="1">
      <alignment horizontal="center" vertical="center" wrapText="1"/>
    </xf>
    <xf numFmtId="2" fontId="9" fillId="1" borderId="8" xfId="0" applyNumberFormat="1" applyFont="1" applyFill="1" applyBorder="1" applyAlignment="1">
      <alignment horizontal="right"/>
    </xf>
    <xf numFmtId="2" fontId="9" fillId="1" borderId="15" xfId="0" applyNumberFormat="1" applyFont="1" applyFill="1" applyBorder="1" applyAlignment="1">
      <alignment horizontal="center"/>
    </xf>
    <xf numFmtId="0" fontId="21" fillId="1" borderId="15" xfId="0" applyFont="1" applyFill="1" applyBorder="1" applyAlignment="1">
      <alignment horizontal="center" vertical="center"/>
    </xf>
    <xf numFmtId="0" fontId="18" fillId="0" borderId="16" xfId="0" applyFont="1" applyBorder="1" applyAlignment="1">
      <alignment vertical="center"/>
    </xf>
    <xf numFmtId="0" fontId="22" fillId="0" borderId="6" xfId="0" applyFont="1" applyBorder="1" applyAlignment="1">
      <alignment horizontal="center" vertical="center" textRotation="90"/>
    </xf>
    <xf numFmtId="2" fontId="19" fillId="0" borderId="12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22" fillId="0" borderId="17" xfId="0" applyFont="1" applyBorder="1" applyAlignment="1">
      <alignment horizontal="left" vertical="center" wrapText="1"/>
    </xf>
    <xf numFmtId="0" fontId="22" fillId="0" borderId="18" xfId="0" applyFont="1" applyBorder="1" applyAlignment="1">
      <alignment horizontal="left" vertical="center" wrapText="1"/>
    </xf>
    <xf numFmtId="2" fontId="18" fillId="0" borderId="6" xfId="0" applyNumberFormat="1" applyFont="1" applyBorder="1" applyAlignment="1">
      <alignment horizontal="right"/>
    </xf>
    <xf numFmtId="2" fontId="13" fillId="0" borderId="10" xfId="0" applyNumberFormat="1" applyFont="1" applyBorder="1" applyAlignment="1">
      <alignment horizontal="center"/>
    </xf>
    <xf numFmtId="2" fontId="17" fillId="0" borderId="6" xfId="0" applyNumberFormat="1" applyFont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8" fillId="0" borderId="19" xfId="0" applyFont="1" applyBorder="1" applyAlignment="1">
      <alignment vertical="center"/>
    </xf>
    <xf numFmtId="0" fontId="22" fillId="0" borderId="7" xfId="0" applyFont="1" applyBorder="1" applyAlignment="1">
      <alignment horizontal="center" vertical="center" textRotation="90"/>
    </xf>
    <xf numFmtId="2" fontId="19" fillId="0" borderId="20" xfId="0" applyNumberFormat="1" applyFont="1" applyBorder="1" applyAlignment="1">
      <alignment horizontal="center"/>
    </xf>
    <xf numFmtId="2" fontId="16" fillId="0" borderId="20" xfId="0" applyNumberFormat="1" applyFont="1" applyBorder="1" applyAlignment="1">
      <alignment horizontal="center"/>
    </xf>
    <xf numFmtId="0" fontId="22" fillId="2" borderId="21" xfId="0" applyFont="1" applyFill="1" applyBorder="1" applyAlignment="1">
      <alignment horizontal="left" vertical="center" wrapText="1"/>
    </xf>
    <xf numFmtId="0" fontId="22" fillId="2" borderId="22" xfId="0" applyFont="1" applyFill="1" applyBorder="1" applyAlignment="1">
      <alignment horizontal="left" vertical="center" wrapText="1"/>
    </xf>
    <xf numFmtId="2" fontId="13" fillId="0" borderId="20" xfId="0" applyNumberFormat="1" applyFont="1" applyBorder="1" applyAlignment="1">
      <alignment horizontal="right"/>
    </xf>
    <xf numFmtId="2" fontId="17" fillId="0" borderId="7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2" fillId="0" borderId="25" xfId="0" applyFont="1" applyBorder="1" applyAlignment="1">
      <alignment horizontal="left" vertical="center" wrapText="1"/>
    </xf>
    <xf numFmtId="2" fontId="13" fillId="0" borderId="26" xfId="0" applyNumberFormat="1" applyFont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22" fillId="0" borderId="27" xfId="0" applyFont="1" applyBorder="1" applyAlignment="1">
      <alignment horizontal="left" vertical="center" wrapText="1"/>
    </xf>
    <xf numFmtId="0" fontId="22" fillId="0" borderId="28" xfId="0" applyFont="1" applyBorder="1" applyAlignment="1">
      <alignment horizontal="left" vertical="center" wrapText="1"/>
    </xf>
    <xf numFmtId="2" fontId="18" fillId="0" borderId="8" xfId="0" applyNumberFormat="1" applyFont="1" applyBorder="1" applyAlignment="1">
      <alignment horizontal="center"/>
    </xf>
    <xf numFmtId="0" fontId="22" fillId="0" borderId="29" xfId="0" applyFont="1" applyBorder="1" applyAlignment="1">
      <alignment horizontal="left" vertical="center" wrapText="1"/>
    </xf>
    <xf numFmtId="0" fontId="22" fillId="0" borderId="30" xfId="0" applyFont="1" applyBorder="1" applyAlignment="1">
      <alignment horizontal="left" vertical="center" wrapText="1"/>
    </xf>
    <xf numFmtId="2" fontId="13" fillId="0" borderId="23" xfId="0" applyNumberFormat="1" applyFont="1" applyBorder="1" applyAlignment="1">
      <alignment horizontal="center"/>
    </xf>
    <xf numFmtId="0" fontId="36" fillId="10" borderId="2" xfId="0" applyFont="1" applyFill="1" applyBorder="1" applyAlignment="1">
      <alignment horizontal="center" vertical="center"/>
    </xf>
    <xf numFmtId="0" fontId="36" fillId="10" borderId="3" xfId="0" applyFont="1" applyFill="1" applyBorder="1" applyAlignment="1">
      <alignment horizontal="center" vertical="center"/>
    </xf>
    <xf numFmtId="0" fontId="36" fillId="10" borderId="4" xfId="0" applyFont="1" applyFill="1" applyBorder="1" applyAlignment="1">
      <alignment horizontal="center" vertical="center"/>
    </xf>
    <xf numFmtId="2" fontId="17" fillId="10" borderId="1" xfId="0" applyNumberFormat="1" applyFont="1" applyFill="1" applyBorder="1" applyAlignment="1">
      <alignment horizontal="center"/>
    </xf>
    <xf numFmtId="2" fontId="13" fillId="10" borderId="1" xfId="0" applyNumberFormat="1" applyFont="1" applyFill="1" applyBorder="1" applyAlignment="1">
      <alignment horizontal="center"/>
    </xf>
    <xf numFmtId="2" fontId="17" fillId="10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44" fillId="0" borderId="0" xfId="0" applyFont="1"/>
    <xf numFmtId="0" fontId="1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22" fillId="0" borderId="0" xfId="0" applyFont="1" applyAlignment="1">
      <alignment horizontal="left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2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9" xfId="0" applyFont="1" applyBorder="1" applyAlignment="1">
      <alignment horizontal="left" vertical="center"/>
    </xf>
    <xf numFmtId="0" fontId="18" fillId="0" borderId="9" xfId="0" applyFont="1" applyBorder="1" applyAlignment="1">
      <alignment horizontal="left" vertical="center"/>
    </xf>
    <xf numFmtId="0" fontId="17" fillId="0" borderId="9" xfId="0" applyFont="1" applyBorder="1" applyAlignment="1">
      <alignment vertical="center" wrapText="1"/>
    </xf>
    <xf numFmtId="0" fontId="17" fillId="0" borderId="9" xfId="0" applyFont="1" applyBorder="1" applyAlignment="1">
      <alignment vertical="center"/>
    </xf>
    <xf numFmtId="0" fontId="17" fillId="11" borderId="10" xfId="0" applyFont="1" applyFill="1" applyBorder="1" applyAlignment="1">
      <alignment horizontal="center" vertical="center" wrapText="1"/>
    </xf>
    <xf numFmtId="0" fontId="17" fillId="11" borderId="11" xfId="0" applyFont="1" applyFill="1" applyBorder="1" applyAlignment="1">
      <alignment horizontal="center" vertical="center" wrapText="1"/>
    </xf>
    <xf numFmtId="0" fontId="17" fillId="11" borderId="10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/>
    </xf>
    <xf numFmtId="0" fontId="17" fillId="11" borderId="11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 vertical="center" wrapText="1"/>
    </xf>
    <xf numFmtId="0" fontId="17" fillId="11" borderId="6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 wrapText="1"/>
    </xf>
    <xf numFmtId="0" fontId="17" fillId="11" borderId="14" xfId="0" applyFont="1" applyFill="1" applyBorder="1" applyAlignment="1">
      <alignment horizontal="center" vertical="center" wrapText="1"/>
    </xf>
    <xf numFmtId="0" fontId="17" fillId="11" borderId="13" xfId="0" applyFont="1" applyFill="1" applyBorder="1" applyAlignment="1">
      <alignment horizontal="center" vertical="center"/>
    </xf>
    <xf numFmtId="0" fontId="19" fillId="11" borderId="15" xfId="0" applyFont="1" applyFill="1" applyBorder="1" applyAlignment="1">
      <alignment horizontal="center"/>
    </xf>
    <xf numFmtId="0" fontId="17" fillId="11" borderId="14" xfId="0" applyFont="1" applyFill="1" applyBorder="1" applyAlignment="1">
      <alignment horizontal="center" vertical="center"/>
    </xf>
    <xf numFmtId="2" fontId="17" fillId="11" borderId="15" xfId="0" applyNumberFormat="1" applyFont="1" applyFill="1" applyBorder="1" applyAlignment="1">
      <alignment horizontal="center"/>
    </xf>
    <xf numFmtId="2" fontId="17" fillId="11" borderId="8" xfId="0" applyNumberFormat="1" applyFont="1" applyFill="1" applyBorder="1" applyAlignment="1">
      <alignment horizontal="right"/>
    </xf>
    <xf numFmtId="0" fontId="17" fillId="11" borderId="15" xfId="0" applyFont="1" applyFill="1" applyBorder="1" applyAlignment="1">
      <alignment horizontal="center" vertical="center"/>
    </xf>
    <xf numFmtId="0" fontId="17" fillId="11" borderId="15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textRotation="90"/>
    </xf>
    <xf numFmtId="0" fontId="16" fillId="0" borderId="1" xfId="0" applyFont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 wrapText="1"/>
    </xf>
    <xf numFmtId="2" fontId="17" fillId="0" borderId="12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textRotation="90"/>
    </xf>
    <xf numFmtId="2" fontId="17" fillId="0" borderId="20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textRotation="90"/>
    </xf>
    <xf numFmtId="2" fontId="17" fillId="0" borderId="8" xfId="0" applyNumberFormat="1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left" vertical="center" wrapText="1"/>
    </xf>
    <xf numFmtId="2" fontId="46" fillId="0" borderId="12" xfId="0" applyNumberFormat="1" applyFont="1" applyBorder="1" applyAlignment="1">
      <alignment horizontal="center" vertical="center"/>
    </xf>
    <xf numFmtId="2" fontId="46" fillId="0" borderId="20" xfId="0" applyNumberFormat="1" applyFont="1" applyBorder="1" applyAlignment="1">
      <alignment horizontal="center" vertical="center"/>
    </xf>
    <xf numFmtId="0" fontId="18" fillId="0" borderId="0" xfId="0" applyFont="1" applyAlignment="1">
      <alignment horizontal="left"/>
    </xf>
    <xf numFmtId="2" fontId="18" fillId="0" borderId="0" xfId="0" applyNumberFormat="1" applyFont="1" applyAlignment="1">
      <alignment horizontal="center"/>
    </xf>
    <xf numFmtId="0" fontId="22" fillId="0" borderId="0" xfId="0" applyFont="1" applyAlignment="1">
      <alignment horizontal="left"/>
    </xf>
    <xf numFmtId="0" fontId="36" fillId="0" borderId="0" xfId="0" applyFont="1" applyAlignment="1">
      <alignment horizontal="left" vertical="center" wrapText="1"/>
    </xf>
    <xf numFmtId="0" fontId="22" fillId="0" borderId="10" xfId="0" applyFont="1" applyBorder="1" applyAlignment="1">
      <alignment horizontal="center" vertical="center" textRotation="90"/>
    </xf>
    <xf numFmtId="2" fontId="13" fillId="0" borderId="31" xfId="0" applyNumberFormat="1" applyFont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8" fillId="0" borderId="32" xfId="0" applyFont="1" applyBorder="1" applyAlignment="1">
      <alignment horizontal="center" vertical="center" textRotation="90"/>
    </xf>
    <xf numFmtId="2" fontId="18" fillId="0" borderId="20" xfId="0" applyNumberFormat="1" applyFont="1" applyBorder="1" applyAlignment="1">
      <alignment horizontal="center"/>
    </xf>
    <xf numFmtId="2" fontId="17" fillId="0" borderId="26" xfId="0" applyNumberFormat="1" applyFont="1" applyBorder="1" applyAlignment="1">
      <alignment horizontal="center" vertical="center"/>
    </xf>
    <xf numFmtId="2" fontId="13" fillId="0" borderId="15" xfId="0" applyNumberFormat="1" applyFont="1" applyBorder="1" applyAlignment="1">
      <alignment horizontal="center"/>
    </xf>
    <xf numFmtId="2" fontId="18" fillId="0" borderId="15" xfId="0" applyNumberFormat="1" applyFont="1" applyBorder="1" applyAlignment="1">
      <alignment horizontal="right"/>
    </xf>
    <xf numFmtId="2" fontId="17" fillId="0" borderId="15" xfId="0" applyNumberFormat="1" applyFont="1" applyBorder="1" applyAlignment="1">
      <alignment horizontal="center" vertical="center"/>
    </xf>
    <xf numFmtId="2" fontId="18" fillId="0" borderId="12" xfId="0" applyNumberFormat="1" applyFont="1" applyBorder="1" applyAlignment="1">
      <alignment horizontal="center"/>
    </xf>
    <xf numFmtId="0" fontId="36" fillId="10" borderId="33" xfId="0" applyFont="1" applyFill="1" applyBorder="1" applyAlignment="1">
      <alignment horizontal="center" vertical="center"/>
    </xf>
    <xf numFmtId="0" fontId="36" fillId="10" borderId="34" xfId="0" applyFont="1" applyFill="1" applyBorder="1" applyAlignment="1">
      <alignment horizontal="center" vertical="center"/>
    </xf>
    <xf numFmtId="0" fontId="36" fillId="10" borderId="35" xfId="0" applyFont="1" applyFill="1" applyBorder="1" applyAlignment="1">
      <alignment horizontal="center" vertical="center"/>
    </xf>
    <xf numFmtId="2" fontId="17" fillId="10" borderId="36" xfId="0" applyNumberFormat="1" applyFont="1" applyFill="1" applyBorder="1" applyAlignment="1">
      <alignment horizontal="center"/>
    </xf>
    <xf numFmtId="1" fontId="40" fillId="10" borderId="36" xfId="0" applyNumberFormat="1" applyFont="1" applyFill="1" applyBorder="1" applyAlignment="1">
      <alignment horizontal="center" vertical="center"/>
    </xf>
    <xf numFmtId="2" fontId="13" fillId="10" borderId="36" xfId="0" applyNumberFormat="1" applyFont="1" applyFill="1" applyBorder="1" applyAlignment="1">
      <alignment horizontal="center"/>
    </xf>
    <xf numFmtId="2" fontId="17" fillId="10" borderId="37" xfId="0" applyNumberFormat="1" applyFont="1" applyFill="1" applyBorder="1" applyAlignment="1">
      <alignment horizontal="center" vertical="center"/>
    </xf>
    <xf numFmtId="2" fontId="17" fillId="10" borderId="38" xfId="0" applyNumberFormat="1" applyFont="1" applyFill="1" applyBorder="1" applyAlignment="1">
      <alignment horizontal="center" vertical="center"/>
    </xf>
    <xf numFmtId="0" fontId="18" fillId="0" borderId="39" xfId="0" applyFont="1" applyBorder="1"/>
    <xf numFmtId="0" fontId="22" fillId="0" borderId="10" xfId="0" applyFont="1" applyBorder="1" applyAlignment="1">
      <alignment horizontal="left" vertical="center" wrapText="1"/>
    </xf>
    <xf numFmtId="0" fontId="22" fillId="0" borderId="11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textRotation="90"/>
    </xf>
    <xf numFmtId="0" fontId="16" fillId="0" borderId="15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2" fontId="17" fillId="0" borderId="23" xfId="0" applyNumberFormat="1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 textRotation="90"/>
    </xf>
    <xf numFmtId="0" fontId="16" fillId="0" borderId="2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 textRotation="90"/>
    </xf>
    <xf numFmtId="0" fontId="17" fillId="1" borderId="10" xfId="0" applyFont="1" applyFill="1" applyBorder="1" applyAlignment="1">
      <alignment horizontal="center" vertical="center" wrapText="1"/>
    </xf>
    <xf numFmtId="0" fontId="17" fillId="1" borderId="11" xfId="0" applyFont="1" applyFill="1" applyBorder="1" applyAlignment="1">
      <alignment horizontal="center" vertical="center" wrapText="1"/>
    </xf>
    <xf numFmtId="0" fontId="17" fillId="1" borderId="10" xfId="0" applyFont="1" applyFill="1" applyBorder="1" applyAlignment="1">
      <alignment horizontal="center" vertical="center"/>
    </xf>
    <xf numFmtId="0" fontId="17" fillId="1" borderId="11" xfId="0" applyFont="1" applyFill="1" applyBorder="1" applyAlignment="1">
      <alignment horizontal="center" vertical="center"/>
    </xf>
    <xf numFmtId="0" fontId="17" fillId="1" borderId="12" xfId="0" applyFont="1" applyFill="1" applyBorder="1" applyAlignment="1">
      <alignment horizontal="center" vertical="center" wrapText="1"/>
    </xf>
    <xf numFmtId="0" fontId="17" fillId="1" borderId="6" xfId="0" applyFont="1" applyFill="1" applyBorder="1" applyAlignment="1">
      <alignment horizontal="center" vertical="center" wrapText="1"/>
    </xf>
    <xf numFmtId="0" fontId="17" fillId="1" borderId="12" xfId="0" applyFont="1" applyFill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7" fillId="1" borderId="13" xfId="0" applyFont="1" applyFill="1" applyBorder="1" applyAlignment="1">
      <alignment horizontal="center" vertical="center" wrapText="1"/>
    </xf>
    <xf numFmtId="0" fontId="17" fillId="1" borderId="14" xfId="0" applyFont="1" applyFill="1" applyBorder="1" applyAlignment="1">
      <alignment horizontal="center" vertical="center" wrapText="1"/>
    </xf>
    <xf numFmtId="0" fontId="17" fillId="1" borderId="32" xfId="0" applyFont="1" applyFill="1" applyBorder="1" applyAlignment="1">
      <alignment horizontal="center" vertical="center"/>
    </xf>
    <xf numFmtId="0" fontId="17" fillId="1" borderId="40" xfId="0" applyFont="1" applyFill="1" applyBorder="1" applyAlignment="1">
      <alignment horizontal="center" vertical="center"/>
    </xf>
    <xf numFmtId="2" fontId="17" fillId="1" borderId="26" xfId="0" applyNumberFormat="1" applyFont="1" applyFill="1" applyBorder="1" applyAlignment="1">
      <alignment horizontal="right"/>
    </xf>
    <xf numFmtId="0" fontId="17" fillId="1" borderId="7" xfId="0" applyFont="1" applyFill="1" applyBorder="1" applyAlignment="1">
      <alignment horizontal="center" vertical="center" wrapText="1"/>
    </xf>
    <xf numFmtId="2" fontId="17" fillId="1" borderId="26" xfId="0" applyNumberFormat="1" applyFont="1" applyFill="1" applyBorder="1" applyAlignment="1">
      <alignment horizontal="center"/>
    </xf>
    <xf numFmtId="0" fontId="19" fillId="1" borderId="15" xfId="0" applyFont="1" applyFill="1" applyBorder="1" applyAlignment="1">
      <alignment horizontal="center"/>
    </xf>
    <xf numFmtId="0" fontId="17" fillId="1" borderId="26" xfId="0" applyFont="1" applyFill="1" applyBorder="1" applyAlignment="1">
      <alignment horizontal="center" vertical="center" wrapText="1"/>
    </xf>
    <xf numFmtId="0" fontId="17" fillId="1" borderId="15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textRotation="90"/>
    </xf>
    <xf numFmtId="0" fontId="18" fillId="2" borderId="41" xfId="0" applyFont="1" applyFill="1" applyBorder="1" applyAlignment="1">
      <alignment horizontal="left" vertical="center" wrapText="1"/>
    </xf>
    <xf numFmtId="0" fontId="18" fillId="2" borderId="42" xfId="0" applyFont="1" applyFill="1" applyBorder="1" applyAlignment="1">
      <alignment horizontal="left" vertical="center" wrapText="1"/>
    </xf>
    <xf numFmtId="2" fontId="19" fillId="0" borderId="18" xfId="0" applyNumberFormat="1" applyFont="1" applyBorder="1" applyAlignment="1">
      <alignment horizontal="center"/>
    </xf>
    <xf numFmtId="0" fontId="17" fillId="0" borderId="32" xfId="0" applyFont="1" applyBorder="1" applyAlignment="1">
      <alignment horizontal="center" vertical="center" textRotation="90"/>
    </xf>
    <xf numFmtId="0" fontId="18" fillId="2" borderId="43" xfId="0" applyFont="1" applyFill="1" applyBorder="1" applyAlignment="1">
      <alignment horizontal="left" vertical="center" wrapText="1"/>
    </xf>
    <xf numFmtId="0" fontId="18" fillId="2" borderId="44" xfId="0" applyFont="1" applyFill="1" applyBorder="1" applyAlignment="1">
      <alignment horizontal="left" vertical="center" wrapText="1"/>
    </xf>
    <xf numFmtId="2" fontId="19" fillId="0" borderId="22" xfId="0" applyNumberFormat="1" applyFont="1" applyBorder="1" applyAlignment="1">
      <alignment horizontal="center"/>
    </xf>
    <xf numFmtId="0" fontId="18" fillId="0" borderId="43" xfId="0" applyFont="1" applyBorder="1" applyAlignment="1">
      <alignment horizontal="left" vertical="center" wrapText="1"/>
    </xf>
    <xf numFmtId="0" fontId="18" fillId="0" borderId="44" xfId="0" applyFont="1" applyBorder="1" applyAlignment="1">
      <alignment horizontal="left" vertical="center" wrapText="1"/>
    </xf>
    <xf numFmtId="2" fontId="19" fillId="0" borderId="25" xfId="0" applyNumberFormat="1" applyFont="1" applyBorder="1" applyAlignment="1">
      <alignment horizontal="center"/>
    </xf>
    <xf numFmtId="0" fontId="18" fillId="2" borderId="45" xfId="0" applyFont="1" applyFill="1" applyBorder="1" applyAlignment="1">
      <alignment horizontal="left" vertical="center" wrapText="1"/>
    </xf>
    <xf numFmtId="0" fontId="18" fillId="2" borderId="46" xfId="0" applyFont="1" applyFill="1" applyBorder="1" applyAlignment="1">
      <alignment horizontal="left" vertical="center" wrapText="1"/>
    </xf>
    <xf numFmtId="2" fontId="19" fillId="0" borderId="28" xfId="0" applyNumberFormat="1" applyFont="1" applyBorder="1" applyAlignment="1">
      <alignment horizontal="center"/>
    </xf>
    <xf numFmtId="2" fontId="18" fillId="0" borderId="12" xfId="0" applyNumberFormat="1" applyFont="1" applyBorder="1" applyAlignment="1">
      <alignment horizontal="right"/>
    </xf>
    <xf numFmtId="2" fontId="19" fillId="0" borderId="30" xfId="0" applyNumberFormat="1" applyFont="1" applyBorder="1" applyAlignment="1">
      <alignment horizontal="center"/>
    </xf>
    <xf numFmtId="2" fontId="40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7" fillId="0" borderId="13" xfId="0" applyFont="1" applyBorder="1" applyAlignment="1">
      <alignment horizontal="center" vertical="center" textRotation="90"/>
    </xf>
    <xf numFmtId="0" fontId="18" fillId="0" borderId="45" xfId="0" applyFont="1" applyBorder="1" applyAlignment="1">
      <alignment horizontal="left" vertical="center" wrapText="1"/>
    </xf>
    <xf numFmtId="0" fontId="18" fillId="0" borderId="46" xfId="0" applyFont="1" applyBorder="1" applyAlignment="1">
      <alignment horizontal="left" vertical="center" wrapText="1"/>
    </xf>
    <xf numFmtId="0" fontId="47" fillId="10" borderId="33" xfId="0" applyFont="1" applyFill="1" applyBorder="1" applyAlignment="1">
      <alignment horizontal="center" vertical="center"/>
    </xf>
    <xf numFmtId="0" fontId="47" fillId="10" borderId="34" xfId="0" applyFont="1" applyFill="1" applyBorder="1" applyAlignment="1">
      <alignment horizontal="center" vertical="center"/>
    </xf>
    <xf numFmtId="0" fontId="47" fillId="10" borderId="35" xfId="0" applyFont="1" applyFill="1" applyBorder="1" applyAlignment="1">
      <alignment horizontal="center" vertical="center"/>
    </xf>
    <xf numFmtId="0" fontId="18" fillId="2" borderId="7" xfId="0" applyFont="1" applyFill="1" applyBorder="1" applyAlignment="1">
      <alignment horizontal="center" vertical="center" textRotation="90"/>
    </xf>
    <xf numFmtId="2" fontId="17" fillId="0" borderId="40" xfId="0" applyNumberFormat="1" applyFont="1" applyBorder="1" applyAlignment="1">
      <alignment horizontal="center" vertical="center"/>
    </xf>
    <xf numFmtId="0" fontId="48" fillId="2" borderId="0" xfId="0" applyFont="1" applyFill="1"/>
    <xf numFmtId="168" fontId="18" fillId="0" borderId="8" xfId="0" applyNumberFormat="1" applyFont="1" applyBorder="1" applyAlignment="1">
      <alignment horizontal="center" vertical="center"/>
    </xf>
    <xf numFmtId="2" fontId="17" fillId="0" borderId="14" xfId="0" applyNumberFormat="1" applyFont="1" applyBorder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6" fillId="0" borderId="7" xfId="0" applyFont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 textRotation="90"/>
    </xf>
    <xf numFmtId="0" fontId="22" fillId="2" borderId="6" xfId="0" applyFont="1" applyFill="1" applyBorder="1" applyAlignment="1">
      <alignment horizontal="center" vertical="center" textRotation="90"/>
    </xf>
    <xf numFmtId="0" fontId="18" fillId="0" borderId="17" xfId="0" applyFont="1" applyBorder="1" applyAlignment="1">
      <alignment horizontal="left" vertical="center" wrapText="1"/>
    </xf>
    <xf numFmtId="0" fontId="18" fillId="0" borderId="18" xfId="0" applyFont="1" applyBorder="1" applyAlignment="1">
      <alignment horizontal="left" vertical="center" wrapText="1"/>
    </xf>
    <xf numFmtId="2" fontId="17" fillId="0" borderId="11" xfId="0" applyNumberFormat="1" applyFont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 textRotation="90"/>
    </xf>
    <xf numFmtId="0" fontId="17" fillId="2" borderId="7" xfId="0" applyFont="1" applyFill="1" applyBorder="1" applyAlignment="1">
      <alignment horizontal="center" vertical="center" textRotation="90"/>
    </xf>
    <xf numFmtId="0" fontId="48" fillId="2" borderId="0" xfId="0" applyFont="1" applyFill="1" applyAlignment="1">
      <alignment vertical="center"/>
    </xf>
    <xf numFmtId="0" fontId="17" fillId="2" borderId="6" xfId="0" applyFont="1" applyFill="1" applyBorder="1" applyAlignment="1">
      <alignment horizontal="center" vertical="center" textRotation="90"/>
    </xf>
    <xf numFmtId="168" fontId="18" fillId="0" borderId="23" xfId="0" applyNumberFormat="1" applyFont="1" applyBorder="1" applyAlignment="1">
      <alignment horizontal="center" vertical="center"/>
    </xf>
    <xf numFmtId="2" fontId="17" fillId="12" borderId="7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textRotation="90"/>
    </xf>
    <xf numFmtId="0" fontId="18" fillId="0" borderId="12" xfId="0" applyFont="1" applyBorder="1" applyAlignment="1">
      <alignment horizontal="left" vertical="top"/>
    </xf>
    <xf numFmtId="0" fontId="18" fillId="0" borderId="23" xfId="0" applyFont="1" applyBorder="1" applyAlignment="1">
      <alignment horizontal="center"/>
    </xf>
    <xf numFmtId="2" fontId="17" fillId="12" borderId="6" xfId="0" applyNumberFormat="1" applyFont="1" applyFill="1" applyBorder="1" applyAlignment="1">
      <alignment horizontal="center" vertical="center"/>
    </xf>
    <xf numFmtId="0" fontId="18" fillId="0" borderId="20" xfId="0" applyFont="1" applyBorder="1" applyAlignment="1">
      <alignment horizontal="left" vertical="top"/>
    </xf>
    <xf numFmtId="0" fontId="18" fillId="0" borderId="20" xfId="0" applyFont="1" applyBorder="1" applyAlignment="1">
      <alignment horizontal="center"/>
    </xf>
    <xf numFmtId="0" fontId="18" fillId="0" borderId="26" xfId="0" applyFont="1" applyBorder="1" applyAlignment="1">
      <alignment horizontal="center"/>
    </xf>
    <xf numFmtId="0" fontId="18" fillId="0" borderId="26" xfId="0" applyFont="1" applyBorder="1" applyAlignment="1">
      <alignment horizontal="left"/>
    </xf>
    <xf numFmtId="0" fontId="18" fillId="0" borderId="8" xfId="0" applyFont="1" applyBorder="1" applyAlignment="1">
      <alignment horizontal="center"/>
    </xf>
    <xf numFmtId="2" fontId="18" fillId="0" borderId="7" xfId="0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textRotation="90"/>
    </xf>
    <xf numFmtId="0" fontId="35" fillId="0" borderId="10" xfId="0" applyFont="1" applyBorder="1" applyAlignment="1">
      <alignment horizontal="center" vertical="center" textRotation="90"/>
    </xf>
    <xf numFmtId="0" fontId="18" fillId="0" borderId="41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2" fontId="17" fillId="12" borderId="11" xfId="0" applyNumberFormat="1" applyFont="1" applyFill="1" applyBorder="1" applyAlignment="1">
      <alignment horizontal="center" vertical="center"/>
    </xf>
    <xf numFmtId="0" fontId="17" fillId="0" borderId="40" xfId="0" applyFont="1" applyBorder="1" applyAlignment="1">
      <alignment horizontal="center" vertical="center" textRotation="90"/>
    </xf>
    <xf numFmtId="0" fontId="35" fillId="0" borderId="32" xfId="0" applyFont="1" applyBorder="1" applyAlignment="1">
      <alignment horizontal="center" vertical="center" textRotation="90"/>
    </xf>
    <xf numFmtId="2" fontId="17" fillId="12" borderId="40" xfId="0" applyNumberFormat="1" applyFont="1" applyFill="1" applyBorder="1" applyAlignment="1">
      <alignment horizontal="center" vertical="center"/>
    </xf>
    <xf numFmtId="0" fontId="18" fillId="0" borderId="29" xfId="0" applyFont="1" applyBorder="1" applyAlignment="1">
      <alignment horizontal="left" vertical="center" wrapText="1"/>
    </xf>
    <xf numFmtId="0" fontId="18" fillId="0" borderId="30" xfId="0" applyFont="1" applyBorder="1" applyAlignment="1">
      <alignment horizontal="left" vertical="center" wrapText="1"/>
    </xf>
    <xf numFmtId="0" fontId="18" fillId="0" borderId="21" xfId="0" applyFont="1" applyBorder="1" applyAlignment="1">
      <alignment horizontal="left" vertical="center" wrapText="1"/>
    </xf>
    <xf numFmtId="0" fontId="18" fillId="0" borderId="22" xfId="0" applyFont="1" applyBorder="1" applyAlignment="1">
      <alignment horizontal="left" vertical="center" wrapText="1"/>
    </xf>
    <xf numFmtId="0" fontId="17" fillId="0" borderId="47" xfId="0" applyFont="1" applyBorder="1" applyAlignment="1">
      <alignment horizontal="center" vertical="center" textRotation="90"/>
    </xf>
    <xf numFmtId="0" fontId="18" fillId="0" borderId="48" xfId="0" applyFont="1" applyBorder="1" applyAlignment="1">
      <alignment horizontal="left" vertical="center" wrapText="1"/>
    </xf>
    <xf numFmtId="0" fontId="18" fillId="0" borderId="49" xfId="0" applyFont="1" applyBorder="1" applyAlignment="1">
      <alignment horizontal="left" vertical="center" wrapText="1"/>
    </xf>
    <xf numFmtId="0" fontId="18" fillId="0" borderId="50" xfId="0" applyFont="1" applyBorder="1" applyAlignment="1">
      <alignment horizontal="center" vertical="center"/>
    </xf>
    <xf numFmtId="168" fontId="18" fillId="0" borderId="50" xfId="0" applyNumberFormat="1" applyFont="1" applyBorder="1" applyAlignment="1">
      <alignment horizontal="center" vertical="center"/>
    </xf>
    <xf numFmtId="2" fontId="18" fillId="0" borderId="50" xfId="0" applyNumberFormat="1" applyFont="1" applyBorder="1" applyAlignment="1">
      <alignment horizontal="center" vertical="center"/>
    </xf>
  </cellXfs>
  <cellStyles count="1">
    <cellStyle name="Normal" xfId="0" builtinId="0"/>
  </cellStyles>
  <dxfs count="12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10.xml"/><Relationship Id="rId6" Type="http://schemas.openxmlformats.org/officeDocument/2006/relationships/worksheet" Target="worksheets/sheet13.xml"/><Relationship Id="rId7" Type="http://schemas.openxmlformats.org/officeDocument/2006/relationships/worksheet" Target="worksheets/sheet16.xml"/><Relationship Id="rId8" Type="http://schemas.openxmlformats.org/officeDocument/2006/relationships/worksheet" Target="worksheets/sheet14.xml"/><Relationship Id="rId9" Type="http://schemas.openxmlformats.org/officeDocument/2006/relationships/worksheet" Target="worksheets/sheet17.xml"/><Relationship Id="rId10" Type="http://schemas.openxmlformats.org/officeDocument/2006/relationships/worksheet" Target="worksheets/sheet15.xml"/><Relationship Id="rId11" Type="http://schemas.openxmlformats.org/officeDocument/2006/relationships/worksheet" Target="worksheets/sheet18.xml"/><Relationship Id="rId12" Type="http://schemas.openxmlformats.org/officeDocument/2006/relationships/worksheet" Target="worksheets/sheet21.xml"/><Relationship Id="rId13" Type="http://schemas.openxmlformats.org/officeDocument/2006/relationships/worksheet" Target="worksheets/sheet22.xml"/><Relationship Id="rId14" Type="http://schemas.openxmlformats.org/officeDocument/2006/relationships/worksheet" Target="worksheets/sheet26.xml"/><Relationship Id="rId15" Type="http://schemas.openxmlformats.org/officeDocument/2006/relationships/worksheet" Target="worksheets/sheet27.xml"/><Relationship Id="rId16" Type="http://schemas.openxmlformats.org/officeDocument/2006/relationships/worksheet" Target="worksheets/sheet28.xml"/><Relationship Id="rId17" Type="http://schemas.openxmlformats.org/officeDocument/2006/relationships/worksheet" Target="worksheets/sheet29.xml"/><Relationship Id="rId18" Type="http://schemas.openxmlformats.org/officeDocument/2006/relationships/worksheet" Target="worksheets/sheet24.xml"/><Relationship Id="rId19" Type="http://schemas.openxmlformats.org/officeDocument/2006/relationships/worksheet" Target="worksheets/sheet2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Relationship Id="rId2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1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1304925</xdr:colOff>
      <xdr:row>0</xdr:row>
      <xdr:rowOff>85725</xdr:rowOff>
    </xdr:from>
    <xdr:to>
      <xdr:col>7</xdr:col>
      <xdr:colOff>190500</xdr:colOff>
      <xdr:row>3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180975</xdr:rowOff>
    </xdr:from>
    <xdr:to>
      <xdr:col>0</xdr:col>
      <xdr:colOff>400050</xdr:colOff>
      <xdr:row>8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1009650</xdr:colOff>
      <xdr:row>0</xdr:row>
      <xdr:rowOff>95250</xdr:rowOff>
    </xdr:from>
    <xdr:to>
      <xdr:col>6</xdr:col>
      <xdr:colOff>285750</xdr:colOff>
      <xdr:row>4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1190625</xdr:colOff>
      <xdr:row>0</xdr:row>
      <xdr:rowOff>76200</xdr:rowOff>
    </xdr:from>
    <xdr:to>
      <xdr:col>6</xdr:col>
      <xdr:colOff>533400</xdr:colOff>
      <xdr:row>3</xdr:row>
      <xdr:rowOff>95250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0</xdr:row>
      <xdr:rowOff>85725</xdr:rowOff>
    </xdr:from>
    <xdr:to>
      <xdr:col>6</xdr:col>
      <xdr:colOff>0</xdr:colOff>
      <xdr:row>3</xdr:row>
      <xdr:rowOff>47625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</xdr:row>
      <xdr:rowOff>38100</xdr:rowOff>
    </xdr:from>
    <xdr:to>
      <xdr:col>0</xdr:col>
      <xdr:colOff>409575</xdr:colOff>
      <xdr:row>7</xdr:row>
      <xdr:rowOff>190500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1333499</xdr:colOff>
      <xdr:row>0</xdr:row>
      <xdr:rowOff>57150</xdr:rowOff>
    </xdr:from>
    <xdr:to>
      <xdr:col>5</xdr:col>
      <xdr:colOff>561974</xdr:colOff>
      <xdr:row>3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1190625</xdr:colOff>
      <xdr:row>0</xdr:row>
      <xdr:rowOff>76200</xdr:rowOff>
    </xdr:from>
    <xdr:to>
      <xdr:col>6</xdr:col>
      <xdr:colOff>533400</xdr:colOff>
      <xdr:row>3</xdr:row>
      <xdr:rowOff>95250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0</xdr:row>
      <xdr:rowOff>95250</xdr:rowOff>
    </xdr:from>
    <xdr:to>
      <xdr:col>7</xdr:col>
      <xdr:colOff>133350</xdr:colOff>
      <xdr:row>3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0</xdr:row>
      <xdr:rowOff>85725</xdr:rowOff>
    </xdr:from>
    <xdr:to>
      <xdr:col>6</xdr:col>
      <xdr:colOff>0</xdr:colOff>
      <xdr:row>3</xdr:row>
      <xdr:rowOff>47625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</xdr:row>
      <xdr:rowOff>38100</xdr:rowOff>
    </xdr:from>
    <xdr:to>
      <xdr:col>0</xdr:col>
      <xdr:colOff>409575</xdr:colOff>
      <xdr:row>7</xdr:row>
      <xdr:rowOff>190500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1333499</xdr:colOff>
      <xdr:row>0</xdr:row>
      <xdr:rowOff>57150</xdr:rowOff>
    </xdr:from>
    <xdr:to>
      <xdr:col>5</xdr:col>
      <xdr:colOff>561974</xdr:colOff>
      <xdr:row>3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1190625</xdr:colOff>
      <xdr:row>0</xdr:row>
      <xdr:rowOff>76200</xdr:rowOff>
    </xdr:from>
    <xdr:to>
      <xdr:col>6</xdr:col>
      <xdr:colOff>533400</xdr:colOff>
      <xdr:row>3</xdr:row>
      <xdr:rowOff>95250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257175</xdr:colOff>
      <xdr:row>0</xdr:row>
      <xdr:rowOff>95250</xdr:rowOff>
    </xdr:from>
    <xdr:to>
      <xdr:col>7</xdr:col>
      <xdr:colOff>133350</xdr:colOff>
      <xdr:row>3</xdr:row>
      <xdr:rowOff>57150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1419225</xdr:colOff>
      <xdr:row>0</xdr:row>
      <xdr:rowOff>85725</xdr:rowOff>
    </xdr:from>
    <xdr:to>
      <xdr:col>6</xdr:col>
      <xdr:colOff>0</xdr:colOff>
      <xdr:row>3</xdr:row>
      <xdr:rowOff>47625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5</xdr:row>
      <xdr:rowOff>38100</xdr:rowOff>
    </xdr:from>
    <xdr:to>
      <xdr:col>0</xdr:col>
      <xdr:colOff>409575</xdr:colOff>
      <xdr:row>7</xdr:row>
      <xdr:rowOff>190500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1333499</xdr:colOff>
      <xdr:row>0</xdr:row>
      <xdr:rowOff>57150</xdr:rowOff>
    </xdr:from>
    <xdr:to>
      <xdr:col>5</xdr:col>
      <xdr:colOff>561974</xdr:colOff>
      <xdr:row>3</xdr:row>
      <xdr:rowOff>76200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4"/>
  <sheetViews>
    <sheetView workbookViewId="0">
      <selection activeCell="A1" sqref="A1"/>
    </sheetView>
  </sheetViews>
  <sheetFormatPr defaultRowHeight="15" outlineLevelRow="0" outlineLevelCol="0" x14ac:dyDescent="0" defaultColWidth="8.83203125"/>
  <cols>
    <col min="1" max="1" width="5.1640625" customWidth="1"/>
    <col min="2" max="2" width="13.6640625" customWidth="1"/>
    <col min="3" max="3" width="5.5" customWidth="1"/>
    <col min="4" max="4" width="11.5" customWidth="1"/>
    <col min="5" max="5" width="13" customWidth="1"/>
    <col min="6" max="6" width="16.33203125" customWidth="1"/>
    <col min="7" max="7" width="25.6640625" customWidth="1"/>
    <col min="8" max="8" width="8.83203125" customWidth="1"/>
    <col min="9" max="9" width="6.5" customWidth="1"/>
    <col min="10" max="10" width="8.1640625" customWidth="1"/>
    <col min="11" max="11" width="6" customWidth="1"/>
    <col min="12" max="12" width="9.33203125" customWidth="1"/>
  </cols>
  <sheetData>
    <row r="1" ht="28.5" customHeight="1" spans="1:12" x14ac:dyDescent="0.25">
      <c r="A1" s="87" t="s">
        <v>225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</row>
    <row r="2" spans="1:12" x14ac:dyDescent="0.25">
      <c r="A2" s="88" t="s">
        <v>2</v>
      </c>
      <c r="B2" s="89" t="s">
        <v>3</v>
      </c>
      <c r="C2" s="89" t="s">
        <v>4</v>
      </c>
      <c r="D2" s="89" t="s">
        <v>226</v>
      </c>
      <c r="E2" s="90" t="s">
        <v>227</v>
      </c>
      <c r="F2" s="90" t="s">
        <v>7</v>
      </c>
      <c r="G2" s="90" t="s">
        <v>8</v>
      </c>
      <c r="H2" s="91" t="s">
        <v>228</v>
      </c>
      <c r="I2" s="91" t="s">
        <v>229</v>
      </c>
      <c r="J2" s="91" t="s">
        <v>230</v>
      </c>
      <c r="K2" s="91" t="s">
        <v>20</v>
      </c>
      <c r="L2" s="92" t="s">
        <v>21</v>
      </c>
    </row>
    <row r="3" ht="20" customHeight="1" spans="1:12" x14ac:dyDescent="0.25">
      <c r="A3" s="93">
        <v>1</v>
      </c>
      <c r="B3" s="65">
        <f>'Sem1-2'!B7</f>
      </c>
      <c r="C3" s="40">
        <f>'Sem1-2'!C7</f>
      </c>
      <c r="D3" s="42">
        <f>'Sem1-2'!D7</f>
      </c>
      <c r="E3" s="42">
        <f>'Sem1-2'!E7</f>
      </c>
      <c r="F3" s="43" t="s">
        <v>46</v>
      </c>
      <c r="G3" s="43" t="s">
        <v>47</v>
      </c>
      <c r="H3" s="43">
        <f>'Sem1-2'!AL7</f>
      </c>
      <c r="I3" s="43">
        <f>'Sem1-2'!BQ7</f>
      </c>
      <c r="J3" s="40">
        <f>ROUND((H3+I3)/2, 2)</f>
      </c>
      <c r="K3" s="94">
        <f>RANK(J3,$J$3:$J$32)</f>
        <v>1</v>
      </c>
      <c r="L3" s="95"/>
    </row>
    <row r="4" ht="20" customHeight="1" spans="1:12" x14ac:dyDescent="0.25">
      <c r="A4" s="93">
        <v>2</v>
      </c>
      <c r="B4" s="65">
        <f>'Sem1-2'!B8</f>
      </c>
      <c r="C4" s="40">
        <f>'Sem1-2'!C8</f>
      </c>
      <c r="D4" s="42">
        <f>'Sem1-2'!D8</f>
      </c>
      <c r="E4" s="42">
        <f>'Sem1-2'!E8</f>
      </c>
      <c r="F4" s="43" t="s">
        <v>54</v>
      </c>
      <c r="G4" s="43" t="s">
        <v>55</v>
      </c>
      <c r="H4" s="43">
        <f>'Sem1-2'!AL8</f>
      </c>
      <c r="I4" s="43">
        <f>'Sem1-2'!BQ8</f>
      </c>
      <c r="J4" s="40">
        <f>ROUND((H4+I4)/2, 2)</f>
      </c>
      <c r="K4" s="94">
        <f>RANK(J4,$J$3:$J$32)</f>
        <v>15</v>
      </c>
      <c r="L4" s="95"/>
    </row>
    <row r="5" ht="20" customHeight="1" spans="1:12" x14ac:dyDescent="0.25">
      <c r="A5" s="93">
        <v>3</v>
      </c>
      <c r="B5" s="65">
        <f>'Sem1-2'!B9</f>
      </c>
      <c r="C5" s="40">
        <f>'Sem1-2'!C9</f>
      </c>
      <c r="D5" s="42">
        <f>'Sem1-2'!D9</f>
      </c>
      <c r="E5" s="42">
        <f>'Sem1-2'!E9</f>
      </c>
      <c r="F5" s="43" t="s">
        <v>60</v>
      </c>
      <c r="G5" s="43" t="s">
        <v>61</v>
      </c>
      <c r="H5" s="43">
        <f>'Sem1-2'!AL9</f>
      </c>
      <c r="I5" s="43">
        <f>'Sem1-2'!BQ9</f>
      </c>
      <c r="J5" s="40">
        <f>ROUND((H5+I5)/2, 2)</f>
      </c>
      <c r="K5" s="94">
        <f>RANK(J5,$J$3:$J$32)</f>
        <v>30</v>
      </c>
      <c r="L5" s="95" t="s">
        <v>231</v>
      </c>
    </row>
    <row r="6" ht="20" customHeight="1" spans="1:12" x14ac:dyDescent="0.25">
      <c r="A6" s="93">
        <v>4</v>
      </c>
      <c r="B6" s="65">
        <f>'Sem1-2'!B10</f>
      </c>
      <c r="C6" s="40">
        <f>'Sem1-2'!C10</f>
      </c>
      <c r="D6" s="42">
        <f>'Sem1-2'!D10</f>
      </c>
      <c r="E6" s="42">
        <f>'Sem1-2'!E10</f>
      </c>
      <c r="F6" s="43" t="s">
        <v>65</v>
      </c>
      <c r="G6" s="43" t="s">
        <v>66</v>
      </c>
      <c r="H6" s="43">
        <f>'Sem1-2'!AL10</f>
      </c>
      <c r="I6" s="43">
        <f>'Sem1-2'!BQ10</f>
      </c>
      <c r="J6" s="40">
        <f>ROUND((H6+I6)/2, 2)</f>
      </c>
      <c r="K6" s="94">
        <f>RANK(J6,$J$3:$J$32)</f>
        <v>19</v>
      </c>
      <c r="L6" s="95"/>
    </row>
    <row r="7" ht="20" customHeight="1" spans="1:12" x14ac:dyDescent="0.25">
      <c r="A7" s="93">
        <v>5</v>
      </c>
      <c r="B7" s="65">
        <f>'Sem1-2'!B11</f>
      </c>
      <c r="C7" s="40">
        <f>'Sem1-2'!C11</f>
      </c>
      <c r="D7" s="42">
        <f>'Sem1-2'!D11</f>
      </c>
      <c r="E7" s="42">
        <f>'Sem1-2'!E11</f>
      </c>
      <c r="F7" s="43" t="s">
        <v>72</v>
      </c>
      <c r="G7" s="43" t="s">
        <v>73</v>
      </c>
      <c r="H7" s="43">
        <f>'Sem1-2'!AL11</f>
      </c>
      <c r="I7" s="43">
        <f>'Sem1-2'!BQ11</f>
      </c>
      <c r="J7" s="40">
        <f>ROUND((H7+I7)/2, 2)</f>
      </c>
      <c r="K7" s="94">
        <f>RANK(J7,$J$3:$J$32)</f>
        <v>28</v>
      </c>
      <c r="L7" s="95" t="s">
        <v>232</v>
      </c>
    </row>
    <row r="8" ht="20" customHeight="1" spans="1:12" x14ac:dyDescent="0.25">
      <c r="A8" s="93">
        <v>6</v>
      </c>
      <c r="B8" s="65">
        <f>'Sem1-2'!B12</f>
      </c>
      <c r="C8" s="40">
        <f>'Sem1-2'!C12</f>
      </c>
      <c r="D8" s="42">
        <f>'Sem1-2'!D12</f>
      </c>
      <c r="E8" s="42">
        <f>'Sem1-2'!E12</f>
      </c>
      <c r="F8" s="43" t="s">
        <v>77</v>
      </c>
      <c r="G8" s="43" t="s">
        <v>78</v>
      </c>
      <c r="H8" s="43">
        <f>'Sem1-2'!AL12</f>
      </c>
      <c r="I8" s="43">
        <f>'Sem1-2'!BQ12</f>
      </c>
      <c r="J8" s="40">
        <f>ROUND((H8+I8)/2, 2)</f>
      </c>
      <c r="K8" s="94">
        <f>RANK(J8,$J$3:$J$32)</f>
        <v>3</v>
      </c>
      <c r="L8" s="95"/>
    </row>
    <row r="9" ht="20" customHeight="1" spans="1:12" x14ac:dyDescent="0.25">
      <c r="A9" s="93">
        <v>7</v>
      </c>
      <c r="B9" s="65">
        <f>'Sem1-2'!B13</f>
      </c>
      <c r="C9" s="40">
        <f>'Sem1-2'!C13</f>
      </c>
      <c r="D9" s="42">
        <f>'Sem1-2'!D13</f>
      </c>
      <c r="E9" s="42">
        <f>'Sem1-2'!E13</f>
      </c>
      <c r="F9" s="43" t="s">
        <v>82</v>
      </c>
      <c r="G9" s="43" t="s">
        <v>83</v>
      </c>
      <c r="H9" s="43">
        <f>'Sem1-2'!AL13</f>
      </c>
      <c r="I9" s="43">
        <f>'Sem1-2'!BQ13</f>
      </c>
      <c r="J9" s="40">
        <f>ROUND((H9+I9)/2, 2)</f>
      </c>
      <c r="K9" s="94">
        <f>RANK(J9,$J$3:$J$32)</f>
        <v>7</v>
      </c>
      <c r="L9" s="95"/>
    </row>
    <row r="10" ht="20" customHeight="1" spans="1:12" x14ac:dyDescent="0.25">
      <c r="A10" s="93">
        <v>8</v>
      </c>
      <c r="B10" s="65">
        <f>'Sem1-2'!B14</f>
      </c>
      <c r="C10" s="40">
        <f>'Sem1-2'!C14</f>
      </c>
      <c r="D10" s="42">
        <f>'Sem1-2'!D14</f>
      </c>
      <c r="E10" s="42">
        <f>'Sem1-2'!E14</f>
      </c>
      <c r="F10" s="43" t="s">
        <v>89</v>
      </c>
      <c r="G10" s="43" t="s">
        <v>90</v>
      </c>
      <c r="H10" s="43">
        <f>'Sem1-2'!AL14</f>
      </c>
      <c r="I10" s="43">
        <f>'Sem1-2'!BQ14</f>
      </c>
      <c r="J10" s="40">
        <f>ROUND((H10+I10)/2, 2)</f>
      </c>
      <c r="K10" s="94">
        <f>RANK(J10,$J$3:$J$32)</f>
        <v>4</v>
      </c>
      <c r="L10" s="95"/>
    </row>
    <row r="11" ht="20" customHeight="1" spans="1:12" x14ac:dyDescent="0.25">
      <c r="A11" s="93">
        <v>9</v>
      </c>
      <c r="B11" s="65">
        <f>'Sem1-2'!B15</f>
      </c>
      <c r="C11" s="40">
        <f>'Sem1-2'!C15</f>
      </c>
      <c r="D11" s="42">
        <f>'Sem1-2'!D15</f>
      </c>
      <c r="E11" s="42">
        <f>'Sem1-2'!E15</f>
      </c>
      <c r="F11" s="43" t="s">
        <v>95</v>
      </c>
      <c r="G11" s="43" t="s">
        <v>96</v>
      </c>
      <c r="H11" s="43">
        <f>'Sem1-2'!AL15</f>
      </c>
      <c r="I11" s="43">
        <f>'Sem1-2'!BQ15</f>
      </c>
      <c r="J11" s="40">
        <f>ROUND((H11+I11)/2, 2)</f>
      </c>
      <c r="K11" s="94">
        <f>RANK(J11,$J$3:$J$32)</f>
        <v>14</v>
      </c>
      <c r="L11" s="95"/>
    </row>
    <row r="12" ht="20" customHeight="1" spans="1:12" x14ac:dyDescent="0.25">
      <c r="A12" s="93">
        <v>10</v>
      </c>
      <c r="B12" s="65">
        <f>'Sem1-2'!B16</f>
      </c>
      <c r="C12" s="40">
        <f>'Sem1-2'!C16</f>
      </c>
      <c r="D12" s="42">
        <f>'Sem1-2'!D16</f>
      </c>
      <c r="E12" s="42">
        <f>'Sem1-2'!E16</f>
      </c>
      <c r="F12" s="43" t="s">
        <v>101</v>
      </c>
      <c r="G12" s="43" t="s">
        <v>102</v>
      </c>
      <c r="H12" s="43">
        <f>'Sem1-2'!AL16</f>
      </c>
      <c r="I12" s="43">
        <f>'Sem1-2'!BQ16</f>
      </c>
      <c r="J12" s="40">
        <f>ROUND((H12+I12)/2, 2)</f>
      </c>
      <c r="K12" s="94">
        <f>RANK(J12,$J$3:$J$32)</f>
        <v>12</v>
      </c>
      <c r="L12" s="95"/>
    </row>
    <row r="13" ht="20" customHeight="1" spans="1:12" x14ac:dyDescent="0.25">
      <c r="A13" s="93">
        <v>11</v>
      </c>
      <c r="B13" s="65">
        <f>'Sem1-2'!B17</f>
      </c>
      <c r="C13" s="40">
        <f>'Sem1-2'!C17</f>
      </c>
      <c r="D13" s="42">
        <f>'Sem1-2'!D17</f>
      </c>
      <c r="E13" s="42">
        <f>'Sem1-2'!E17</f>
      </c>
      <c r="F13" s="43" t="s">
        <v>107</v>
      </c>
      <c r="G13" s="43" t="s">
        <v>108</v>
      </c>
      <c r="H13" s="43">
        <f>'Sem1-2'!AL17</f>
      </c>
      <c r="I13" s="43">
        <f>'Sem1-2'!BQ17</f>
      </c>
      <c r="J13" s="40">
        <f>ROUND((H13+I13)/2, 2)</f>
      </c>
      <c r="K13" s="94">
        <f>RANK(J13,$J$3:$J$32)</f>
        <v>21</v>
      </c>
      <c r="L13" s="95" t="s">
        <v>232</v>
      </c>
    </row>
    <row r="14" ht="20" customHeight="1" spans="1:12" x14ac:dyDescent="0.25">
      <c r="A14" s="93">
        <v>12</v>
      </c>
      <c r="B14" s="65">
        <f>'Sem1-2'!B18</f>
      </c>
      <c r="C14" s="40">
        <f>'Sem1-2'!C18</f>
      </c>
      <c r="D14" s="42">
        <f>'Sem1-2'!D18</f>
      </c>
      <c r="E14" s="42">
        <f>'Sem1-2'!E18</f>
      </c>
      <c r="F14" s="43" t="s">
        <v>113</v>
      </c>
      <c r="G14" s="43" t="s">
        <v>114</v>
      </c>
      <c r="H14" s="43">
        <f>'Sem1-2'!AL18</f>
      </c>
      <c r="I14" s="43">
        <f>'Sem1-2'!BQ18</f>
      </c>
      <c r="J14" s="40">
        <f>ROUND((H14+I14)/2, 2)</f>
      </c>
      <c r="K14" s="94">
        <f>RANK(J14,$J$3:$J$32)</f>
        <v>16</v>
      </c>
      <c r="L14" s="95"/>
    </row>
    <row r="15" ht="20" customHeight="1" spans="1:12" x14ac:dyDescent="0.25">
      <c r="A15" s="93">
        <v>13</v>
      </c>
      <c r="B15" s="65">
        <f>'Sem1-2'!B19</f>
      </c>
      <c r="C15" s="40">
        <f>'Sem1-2'!C19</f>
      </c>
      <c r="D15" s="42">
        <f>'Sem1-2'!D19</f>
      </c>
      <c r="E15" s="42">
        <f>'Sem1-2'!E19</f>
      </c>
      <c r="F15" s="43" t="s">
        <v>120</v>
      </c>
      <c r="G15" s="43" t="s">
        <v>121</v>
      </c>
      <c r="H15" s="43">
        <f>'Sem1-2'!AL19</f>
      </c>
      <c r="I15" s="43">
        <f>'Sem1-2'!BQ19</f>
      </c>
      <c r="J15" s="40">
        <f>ROUND((H15+I15)/2, 2)</f>
      </c>
      <c r="K15" s="94">
        <f>RANK(J15,$J$3:$J$32)</f>
        <v>9</v>
      </c>
      <c r="L15" s="95"/>
    </row>
    <row r="16" ht="20" customHeight="1" spans="1:12" x14ac:dyDescent="0.25">
      <c r="A16" s="93">
        <v>14</v>
      </c>
      <c r="B16" s="65">
        <f>'Sem1-2'!B20</f>
      </c>
      <c r="C16" s="40">
        <f>'Sem1-2'!C20</f>
      </c>
      <c r="D16" s="42">
        <f>'Sem1-2'!D20</f>
      </c>
      <c r="E16" s="42">
        <f>'Sem1-2'!E20</f>
      </c>
      <c r="F16" s="43" t="s">
        <v>126</v>
      </c>
      <c r="G16" s="43" t="s">
        <v>127</v>
      </c>
      <c r="H16" s="43">
        <f>'Sem1-2'!AL20</f>
      </c>
      <c r="I16" s="43">
        <f>'Sem1-2'!BQ20</f>
      </c>
      <c r="J16" s="40">
        <f>ROUND((H16+I16)/2, 2)</f>
      </c>
      <c r="K16" s="94">
        <f>RANK(J16,$J$3:$J$32)</f>
        <v>25</v>
      </c>
      <c r="L16" s="95" t="s">
        <v>232</v>
      </c>
    </row>
    <row r="17" ht="20" customHeight="1" spans="1:12" x14ac:dyDescent="0.25">
      <c r="A17" s="93">
        <v>15</v>
      </c>
      <c r="B17" s="65">
        <f>'Sem1-2'!B21</f>
      </c>
      <c r="C17" s="40">
        <f>'Sem1-2'!C21</f>
      </c>
      <c r="D17" s="42">
        <f>'Sem1-2'!D21</f>
      </c>
      <c r="E17" s="42">
        <f>'Sem1-2'!E21</f>
      </c>
      <c r="F17" s="43" t="s">
        <v>132</v>
      </c>
      <c r="G17" s="43" t="s">
        <v>133</v>
      </c>
      <c r="H17" s="43">
        <f>'Sem1-2'!AL21</f>
      </c>
      <c r="I17" s="43">
        <f>'Sem1-2'!BQ21</f>
      </c>
      <c r="J17" s="40">
        <f>ROUND((H17+I17)/2, 2)</f>
      </c>
      <c r="K17" s="94">
        <f>RANK(J17,$J$3:$J$32)</f>
        <v>13</v>
      </c>
      <c r="L17" s="95"/>
    </row>
    <row r="18" ht="20" customHeight="1" spans="1:12" x14ac:dyDescent="0.25">
      <c r="A18" s="93">
        <v>16</v>
      </c>
      <c r="B18" s="65">
        <f>'Sem1-2'!B22</f>
      </c>
      <c r="C18" s="40">
        <f>'Sem1-2'!C22</f>
      </c>
      <c r="D18" s="42">
        <f>'Sem1-2'!D22</f>
      </c>
      <c r="E18" s="42">
        <f>'Sem1-2'!E22</f>
      </c>
      <c r="F18" s="43" t="s">
        <v>138</v>
      </c>
      <c r="G18" s="43" t="s">
        <v>139</v>
      </c>
      <c r="H18" s="43">
        <f>'Sem1-2'!AL22</f>
      </c>
      <c r="I18" s="43">
        <f>'Sem1-2'!BQ22</f>
      </c>
      <c r="J18" s="40">
        <f>ROUND((H18+I18)/2, 2)</f>
      </c>
      <c r="K18" s="94">
        <f>RANK(J18,$J$3:$J$32)</f>
        <v>2</v>
      </c>
      <c r="L18" s="95"/>
    </row>
    <row r="19" ht="20" customHeight="1" spans="1:12" x14ac:dyDescent="0.25">
      <c r="A19" s="93">
        <v>17</v>
      </c>
      <c r="B19" s="65">
        <f>'Sem1-2'!B23</f>
      </c>
      <c r="C19" s="40">
        <f>'Sem1-2'!C23</f>
      </c>
      <c r="D19" s="42">
        <f>'Sem1-2'!D23</f>
      </c>
      <c r="E19" s="42">
        <f>'Sem1-2'!E23</f>
      </c>
      <c r="F19" s="43" t="s">
        <v>144</v>
      </c>
      <c r="G19" s="43" t="s">
        <v>145</v>
      </c>
      <c r="H19" s="43">
        <f>'Sem1-2'!AL23</f>
      </c>
      <c r="I19" s="43">
        <f>'Sem1-2'!BQ23</f>
      </c>
      <c r="J19" s="40">
        <f>ROUND((H19+I19)/2, 2)</f>
      </c>
      <c r="K19" s="94">
        <f>RANK(J19,$J$3:$J$32)</f>
        <v>26</v>
      </c>
      <c r="L19" s="95" t="s">
        <v>232</v>
      </c>
    </row>
    <row r="20" ht="20" customHeight="1" spans="1:12" x14ac:dyDescent="0.25">
      <c r="A20" s="93">
        <v>18</v>
      </c>
      <c r="B20" s="65">
        <f>'Sem1-2'!B24</f>
      </c>
      <c r="C20" s="40">
        <f>'Sem1-2'!C24</f>
      </c>
      <c r="D20" s="42">
        <f>'Sem1-2'!D24</f>
      </c>
      <c r="E20" s="42">
        <f>'Sem1-2'!E24</f>
      </c>
      <c r="F20" s="43" t="s">
        <v>149</v>
      </c>
      <c r="G20" s="43" t="s">
        <v>150</v>
      </c>
      <c r="H20" s="43">
        <f>'Sem1-2'!AL24</f>
      </c>
      <c r="I20" s="43">
        <f>'Sem1-2'!BQ24</f>
      </c>
      <c r="J20" s="40">
        <f>ROUND((H20+I20)/2, 2)</f>
      </c>
      <c r="K20" s="94">
        <f>RANK(J20,$J$3:$J$32)</f>
        <v>11</v>
      </c>
      <c r="L20" s="95"/>
    </row>
    <row r="21" ht="20" customHeight="1" spans="1:12" x14ac:dyDescent="0.25">
      <c r="A21" s="93">
        <v>19</v>
      </c>
      <c r="B21" s="65">
        <f>'Sem1-2'!B25</f>
      </c>
      <c r="C21" s="40">
        <f>'Sem1-2'!C25</f>
      </c>
      <c r="D21" s="42">
        <f>'Sem1-2'!D25</f>
      </c>
      <c r="E21" s="42">
        <f>'Sem1-2'!E25</f>
      </c>
      <c r="F21" s="43" t="s">
        <v>156</v>
      </c>
      <c r="G21" s="43" t="s">
        <v>157</v>
      </c>
      <c r="H21" s="43">
        <f>'Sem1-2'!AL25</f>
      </c>
      <c r="I21" s="43">
        <f>'Sem1-2'!BQ25</f>
      </c>
      <c r="J21" s="40">
        <f>ROUND((H21+I21)/2, 2)</f>
      </c>
      <c r="K21" s="94">
        <f>RANK(J21,$J$3:$J$32)</f>
        <v>5</v>
      </c>
      <c r="L21" s="95"/>
    </row>
    <row r="22" ht="20" customHeight="1" spans="1:12" x14ac:dyDescent="0.25">
      <c r="A22" s="93">
        <v>20</v>
      </c>
      <c r="B22" s="65">
        <f>'Sem1-2'!B26</f>
      </c>
      <c r="C22" s="40">
        <f>'Sem1-2'!C26</f>
      </c>
      <c r="D22" s="42">
        <f>'Sem1-2'!D26</f>
      </c>
      <c r="E22" s="42">
        <f>'Sem1-2'!E26</f>
      </c>
      <c r="F22" s="43" t="s">
        <v>162</v>
      </c>
      <c r="G22" s="43" t="s">
        <v>163</v>
      </c>
      <c r="H22" s="43">
        <f>'Sem1-2'!AL26</f>
      </c>
      <c r="I22" s="43">
        <f>'Sem1-2'!BQ26</f>
      </c>
      <c r="J22" s="40">
        <f>ROUND((H22+I22)/2, 2)</f>
      </c>
      <c r="K22" s="94">
        <f>RANK(J22,$J$3:$J$32)</f>
        <v>6</v>
      </c>
      <c r="L22" s="95"/>
    </row>
    <row r="23" ht="20" customHeight="1" spans="1:12" x14ac:dyDescent="0.25">
      <c r="A23" s="93">
        <v>21</v>
      </c>
      <c r="B23" s="65">
        <f>'Sem1-2'!B27</f>
      </c>
      <c r="C23" s="40">
        <f>'Sem1-2'!C27</f>
      </c>
      <c r="D23" s="42">
        <f>'Sem1-2'!D27</f>
      </c>
      <c r="E23" s="42">
        <f>'Sem1-2'!E27</f>
      </c>
      <c r="F23" s="43" t="s">
        <v>168</v>
      </c>
      <c r="G23" s="43" t="s">
        <v>169</v>
      </c>
      <c r="H23" s="43">
        <f>'Sem1-2'!AL27</f>
      </c>
      <c r="I23" s="43">
        <f>'Sem1-2'!BQ27</f>
      </c>
      <c r="J23" s="40">
        <f>ROUND((H23+I23)/2, 2)</f>
      </c>
      <c r="K23" s="94">
        <f>RANK(J23,$J$3:$J$32)</f>
        <v>18</v>
      </c>
      <c r="L23" s="95"/>
    </row>
    <row r="24" ht="20" customHeight="1" spans="1:12" x14ac:dyDescent="0.25">
      <c r="A24" s="93">
        <v>22</v>
      </c>
      <c r="B24" s="65">
        <f>'Sem1-2'!B28</f>
      </c>
      <c r="C24" s="40">
        <f>'Sem1-2'!C28</f>
      </c>
      <c r="D24" s="42">
        <f>'Sem1-2'!D28</f>
      </c>
      <c r="E24" s="42">
        <f>'Sem1-2'!E28</f>
      </c>
      <c r="F24" s="43" t="s">
        <v>173</v>
      </c>
      <c r="G24" s="43" t="s">
        <v>174</v>
      </c>
      <c r="H24" s="43">
        <f>'Sem1-2'!AL28</f>
      </c>
      <c r="I24" s="43">
        <f>'Sem1-2'!BQ28</f>
      </c>
      <c r="J24" s="40">
        <f>ROUND((H24+I24)/2, 2)</f>
      </c>
      <c r="K24" s="94">
        <f>RANK(J24,$J$3:$J$32)</f>
        <v>17</v>
      </c>
      <c r="L24" s="95"/>
    </row>
    <row r="25" ht="20" customHeight="1" spans="1:12" x14ac:dyDescent="0.25">
      <c r="A25" s="93">
        <v>23</v>
      </c>
      <c r="B25" s="65">
        <f>'Sem1-2'!B29</f>
      </c>
      <c r="C25" s="40">
        <f>'Sem1-2'!C29</f>
      </c>
      <c r="D25" s="42">
        <f>'Sem1-2'!D29</f>
      </c>
      <c r="E25" s="42">
        <f>'Sem1-2'!E29</f>
      </c>
      <c r="F25" s="43" t="s">
        <v>178</v>
      </c>
      <c r="G25" s="43" t="s">
        <v>179</v>
      </c>
      <c r="H25" s="43">
        <f>'Sem1-2'!AL29</f>
      </c>
      <c r="I25" s="43">
        <f>'Sem1-2'!BQ29</f>
      </c>
      <c r="J25" s="40">
        <f>ROUND((H25+I25)/2, 2)</f>
      </c>
      <c r="K25" s="94">
        <f>RANK(J25,$J$3:$J$32)</f>
        <v>10</v>
      </c>
      <c r="L25" s="95"/>
    </row>
    <row r="26" ht="20" customHeight="1" spans="1:12" x14ac:dyDescent="0.25">
      <c r="A26" s="93">
        <v>24</v>
      </c>
      <c r="B26" s="65">
        <f>'Sem1-2'!B30</f>
      </c>
      <c r="C26" s="40">
        <f>'Sem1-2'!C30</f>
      </c>
      <c r="D26" s="42">
        <f>'Sem1-2'!D30</f>
      </c>
      <c r="E26" s="42">
        <f>'Sem1-2'!E30</f>
      </c>
      <c r="F26" s="43" t="s">
        <v>184</v>
      </c>
      <c r="G26" s="43" t="s">
        <v>185</v>
      </c>
      <c r="H26" s="43">
        <f>'Sem1-2'!AL30</f>
      </c>
      <c r="I26" s="43">
        <f>'Sem1-2'!BQ30</f>
      </c>
      <c r="J26" s="40">
        <f>ROUND((H26+I26)/2, 2)</f>
      </c>
      <c r="K26" s="94">
        <f>RANK(J26,$J$3:$J$32)</f>
        <v>29</v>
      </c>
      <c r="L26" s="95" t="s">
        <v>231</v>
      </c>
    </row>
    <row r="27" ht="20" customHeight="1" spans="1:12" x14ac:dyDescent="0.25">
      <c r="A27" s="93">
        <v>25</v>
      </c>
      <c r="B27" s="65">
        <f>'Sem1-2'!B31</f>
      </c>
      <c r="C27" s="40">
        <f>'Sem1-2'!C31</f>
      </c>
      <c r="D27" s="42">
        <f>'Sem1-2'!D31</f>
      </c>
      <c r="E27" s="42">
        <f>'Sem1-2'!E31</f>
      </c>
      <c r="F27" s="43" t="s">
        <v>190</v>
      </c>
      <c r="G27" s="43" t="s">
        <v>191</v>
      </c>
      <c r="H27" s="43">
        <f>'Sem1-2'!AL31</f>
      </c>
      <c r="I27" s="43">
        <f>'Sem1-2'!BQ31</f>
      </c>
      <c r="J27" s="40">
        <f>ROUND((H27+I27)/2, 2)</f>
      </c>
      <c r="K27" s="94">
        <f>RANK(J27,$J$3:$J$32)</f>
        <v>8</v>
      </c>
      <c r="L27" s="95"/>
    </row>
    <row r="28" ht="20" customHeight="1" spans="1:12" x14ac:dyDescent="0.25">
      <c r="A28" s="93">
        <v>26</v>
      </c>
      <c r="B28" s="65">
        <f>'Sem1-2'!B32</f>
      </c>
      <c r="C28" s="40">
        <f>'Sem1-2'!C32</f>
      </c>
      <c r="D28" s="42">
        <f>'Sem1-2'!D32</f>
      </c>
      <c r="E28" s="42">
        <f>'Sem1-2'!E32</f>
      </c>
      <c r="F28" s="43" t="s">
        <v>195</v>
      </c>
      <c r="G28" s="43" t="s">
        <v>196</v>
      </c>
      <c r="H28" s="43">
        <f>'Sem1-2'!AL32</f>
      </c>
      <c r="I28" s="43">
        <f>'Sem1-2'!BQ32</f>
      </c>
      <c r="J28" s="40">
        <f>ROUND((H28+I28)/2, 2)</f>
      </c>
      <c r="K28" s="94">
        <f>RANK(J28,$J$3:$J$32)</f>
        <v>24</v>
      </c>
      <c r="L28" s="95" t="s">
        <v>232</v>
      </c>
    </row>
    <row r="29" ht="20" customHeight="1" spans="1:12" x14ac:dyDescent="0.25">
      <c r="A29" s="93">
        <v>27</v>
      </c>
      <c r="B29" s="65">
        <f>'Sem1-2'!B33</f>
      </c>
      <c r="C29" s="40">
        <f>'Sem1-2'!C33</f>
      </c>
      <c r="D29" s="42">
        <f>'Sem1-2'!D33</f>
      </c>
      <c r="E29" s="42">
        <f>'Sem1-2'!E33</f>
      </c>
      <c r="F29" s="43" t="s">
        <v>201</v>
      </c>
      <c r="G29" s="43" t="s">
        <v>202</v>
      </c>
      <c r="H29" s="43">
        <f>'Sem1-2'!AL33</f>
      </c>
      <c r="I29" s="43">
        <f>'Sem1-2'!BQ33</f>
      </c>
      <c r="J29" s="40">
        <f>ROUND((H29+I29)/2, 2)</f>
      </c>
      <c r="K29" s="94">
        <f>RANK(J29,$J$3:$J$32)</f>
        <v>27</v>
      </c>
      <c r="L29" s="95" t="s">
        <v>231</v>
      </c>
    </row>
    <row r="30" ht="20" customHeight="1" spans="1:12" x14ac:dyDescent="0.25">
      <c r="A30" s="93">
        <v>28</v>
      </c>
      <c r="B30" s="65">
        <f>'Sem1-2'!B34</f>
      </c>
      <c r="C30" s="40">
        <f>'Sem1-2'!C34</f>
      </c>
      <c r="D30" s="42">
        <f>'Sem1-2'!D34</f>
      </c>
      <c r="E30" s="42">
        <f>'Sem1-2'!E34</f>
      </c>
      <c r="F30" s="43" t="s">
        <v>206</v>
      </c>
      <c r="G30" s="43" t="s">
        <v>207</v>
      </c>
      <c r="H30" s="43">
        <f>'Sem1-2'!AL34</f>
      </c>
      <c r="I30" s="43">
        <f>'Sem1-2'!BQ34</f>
      </c>
      <c r="J30" s="40">
        <f>ROUND((H30+I30)/2, 2)</f>
      </c>
      <c r="K30" s="94">
        <f>RANK(J30,$J$3:$J$32)</f>
        <v>20</v>
      </c>
      <c r="L30" s="95" t="s">
        <v>232</v>
      </c>
    </row>
    <row r="31" ht="20" customHeight="1" spans="1:12" x14ac:dyDescent="0.25">
      <c r="A31" s="93">
        <v>29</v>
      </c>
      <c r="B31" s="65">
        <f>'Sem1-2'!B35</f>
      </c>
      <c r="C31" s="40">
        <f>'Sem1-2'!C35</f>
      </c>
      <c r="D31" s="42">
        <f>'Sem1-2'!D35</f>
      </c>
      <c r="E31" s="42">
        <f>'Sem1-2'!E35</f>
      </c>
      <c r="F31" s="43" t="s">
        <v>213</v>
      </c>
      <c r="G31" s="43" t="s">
        <v>214</v>
      </c>
      <c r="H31" s="43">
        <f>'Sem1-2'!AL35</f>
      </c>
      <c r="I31" s="43">
        <f>'Sem1-2'!BQ35</f>
      </c>
      <c r="J31" s="40">
        <f>ROUND((H31+I31)/2, 2)</f>
      </c>
      <c r="K31" s="94">
        <f>RANK(J31,$J$3:$J$32)</f>
        <v>23</v>
      </c>
      <c r="L31" s="95" t="s">
        <v>232</v>
      </c>
    </row>
    <row r="32" ht="20" customHeight="1" spans="1:12" x14ac:dyDescent="0.25">
      <c r="A32" s="93">
        <v>30</v>
      </c>
      <c r="B32" s="65">
        <f>'Sem1-2'!B36</f>
      </c>
      <c r="C32" s="40">
        <f>'Sem1-2'!C36</f>
      </c>
      <c r="D32" s="42">
        <f>'Sem1-2'!D36</f>
      </c>
      <c r="E32" s="42">
        <f>'Sem1-2'!E36</f>
      </c>
      <c r="F32" s="43" t="s">
        <v>220</v>
      </c>
      <c r="G32" s="43" t="s">
        <v>221</v>
      </c>
      <c r="H32" s="43">
        <f>'Sem1-2'!AL36</f>
      </c>
      <c r="I32" s="43">
        <f>'Sem1-2'!BQ36</f>
      </c>
      <c r="J32" s="40">
        <f>ROUND((H32+I32)/2, 2)</f>
      </c>
      <c r="K32" s="94">
        <f>RANK(J32,$J$3:$J$32)</f>
        <v>22</v>
      </c>
      <c r="L32" s="95" t="s">
        <v>232</v>
      </c>
    </row>
    <row r="33" ht="20" customHeight="1" spans="1:10" x14ac:dyDescent="0.25">
      <c r="A33" s="96">
        <v>31</v>
      </c>
      <c r="B33" s="96">
        <f>'Sem1-2'!B37</f>
      </c>
      <c r="C33" s="96">
        <f>'Sem1-2'!C37</f>
      </c>
      <c r="D33">
        <f>'Sem1-2'!D37</f>
      </c>
      <c r="E33">
        <f>'Sem1-2'!E37</f>
      </c>
      <c r="H33" s="78">
        <f>'Sem1-2'!AL37</f>
      </c>
      <c r="I33" s="78">
        <f>'Sem1-2'!BQ37</f>
      </c>
      <c r="J33" s="84">
        <f>ROUND((H33+I33)/2, 2)</f>
      </c>
    </row>
    <row r="34" ht="18" customHeight="1" spans="1:10" x14ac:dyDescent="0.25">
      <c r="H34" s="97" t="s">
        <v>233</v>
      </c>
      <c r="I34" s="97"/>
      <c r="J34" s="97"/>
    </row>
  </sheetData>
  <mergeCells count="1">
    <mergeCell ref="C1:L1"/>
  </mergeCells>
  <conditionalFormatting sqref="B7"/>
  <printOptions horizontalCentered="1"/>
  <pageMargins left="0.25" right="0.25" top="0.75" bottom="0.75" header="0.3" footer="0.3"/>
  <pageSetup paperSize="9" orientation="portrait" horizontalDpi="4294967293" verticalDpi="4294967295" scale="76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K40"/>
  <sheetViews>
    <sheetView workbookViewId="0">
      <selection activeCell="A1" sqref="A1"/>
    </sheetView>
  </sheetViews>
  <sheetFormatPr defaultRowHeight="15" outlineLevelRow="0" outlineLevelCol="0" x14ac:dyDescent="0" defaultColWidth="9"/>
  <cols>
    <col min="1" max="1" width="4.5" style="1" customWidth="1"/>
    <col min="2" max="2" width="16.1640625" style="2" customWidth="1"/>
    <col min="3" max="3" width="5.5" style="2" customWidth="1"/>
    <col min="4" max="4" width="13" customWidth="1"/>
    <col min="5" max="5" width="16.33203125" customWidth="1"/>
    <col min="6" max="6" width="17.83203125" customWidth="1"/>
    <col min="7" max="7" width="26.5" customWidth="1"/>
    <col min="8" max="8" width="14.1640625" customWidth="1"/>
    <col min="9" max="9" width="21" customWidth="1"/>
    <col min="10" max="10" width="4.33203125" style="1" customWidth="1"/>
    <col min="11" max="12" width="6.6640625" customWidth="1"/>
    <col min="13" max="13" width="5.5" style="1" customWidth="1"/>
    <col min="14" max="14" width="10.5" customWidth="1"/>
    <col min="15" max="15" width="12.5" customWidth="1"/>
    <col min="16" max="16" width="5.5" style="1" customWidth="1"/>
    <col min="17" max="17" width="8.33203125" customWidth="1"/>
    <col min="18" max="18" width="7.5" customWidth="1"/>
    <col min="19" max="19" width="7.5" style="1" customWidth="1"/>
    <col min="20" max="21" width="6.5" style="1" customWidth="1"/>
    <col min="22" max="22" width="17.33203125" style="1" customWidth="1"/>
    <col min="23" max="23" width="6.33203125" customWidth="1"/>
    <col min="24" max="24" width="7.33203125" customWidth="1"/>
    <col min="25" max="25" width="8.6640625" style="1" customWidth="1"/>
    <col min="26" max="27" width="6" customWidth="1"/>
    <col min="28" max="28" width="6" style="1" customWidth="1"/>
    <col min="29" max="29" width="6" customWidth="1"/>
    <col min="30" max="30" width="7.5" customWidth="1"/>
    <col min="31" max="31" width="12" style="1" customWidth="1"/>
    <col min="32" max="32" width="7.5" style="1" customWidth="1"/>
    <col min="33" max="33" width="7.33203125" style="1" customWidth="1"/>
    <col min="34" max="34" width="11.33203125" style="1" customWidth="1"/>
    <col min="35" max="35" width="19.5" style="1" customWidth="1"/>
    <col min="36" max="36" width="18.5" style="1" customWidth="1"/>
    <col min="37" max="37" width="17.1640625" style="1" customWidth="1"/>
    <col min="38" max="38" width="18.6640625" style="3" customWidth="1"/>
    <col min="39" max="39" width="94.33203125" style="3" customWidth="1"/>
    <col min="40" max="40" width="4.33203125" style="3" customWidth="1"/>
    <col min="41" max="41" width="15" style="3" customWidth="1"/>
    <col min="42" max="42" width="4.6640625" style="3" customWidth="1"/>
    <col min="43" max="43" width="13.5" style="3" customWidth="1"/>
    <col min="44" max="44" width="20.5" style="3" customWidth="1"/>
    <col min="45" max="45" width="0.1640625" style="3" customWidth="1"/>
    <col min="46" max="46" width="0.5" style="3" customWidth="1"/>
    <col min="47" max="47" width="14.83203125" style="3" hidden="1" customWidth="1"/>
    <col min="48" max="48" width="18.5" style="3" customWidth="1"/>
    <col min="49" max="50" width="6" customWidth="1"/>
    <col min="51" max="52" width="6" style="1" customWidth="1"/>
    <col min="53" max="53" width="8.83203125" style="1" customWidth="1"/>
    <col min="54" max="54" width="11" style="1" customWidth="1"/>
    <col min="55" max="57" width="6" style="1" customWidth="1"/>
    <col min="58" max="59" width="6" customWidth="1"/>
    <col min="60" max="60" width="6" style="1" customWidth="1"/>
    <col min="61" max="61" width="6" customWidth="1"/>
    <col min="62" max="62" width="6.6640625" customWidth="1"/>
    <col min="63" max="63" width="6" style="1" customWidth="1"/>
    <col min="64" max="64" width="7.33203125" customWidth="1"/>
    <col min="65" max="65" width="6" customWidth="1"/>
    <col min="66" max="66" width="6" style="1" customWidth="1"/>
    <col min="67" max="68" width="6" customWidth="1"/>
    <col min="69" max="75" width="6" style="1" customWidth="1"/>
    <col min="76" max="78" width="6.83203125" style="3" customWidth="1"/>
    <col min="79" max="79" width="11" style="4" customWidth="1"/>
    <col min="80" max="82" width="9" style="3" customWidth="1"/>
    <col min="83" max="16384" width="9" style="5" customWidth="1"/>
  </cols>
  <sheetData>
    <row r="1" ht="32.25" customHeight="1" spans="1:79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7"/>
      <c r="AN1" s="6" t="s">
        <v>1</v>
      </c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</row>
    <row r="2" ht="33.75" customHeight="1" spans="1:79" x14ac:dyDescent="0.25">
      <c r="A2" s="8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0" t="s">
        <v>10</v>
      </c>
      <c r="J2" s="12" t="s">
        <v>11</v>
      </c>
      <c r="K2" s="13" t="s">
        <v>12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5"/>
      <c r="AL2" s="16" t="s">
        <v>13</v>
      </c>
      <c r="AM2" s="17"/>
      <c r="AN2" s="8" t="s">
        <v>14</v>
      </c>
      <c r="AO2" s="9" t="s">
        <v>15</v>
      </c>
      <c r="AP2" s="9" t="s">
        <v>16</v>
      </c>
      <c r="AQ2" s="10" t="s">
        <v>14</v>
      </c>
      <c r="AR2" s="10" t="s">
        <v>15</v>
      </c>
      <c r="AS2" s="10" t="s">
        <v>16</v>
      </c>
      <c r="AT2" s="10" t="s">
        <v>14</v>
      </c>
      <c r="AU2" s="11" t="s">
        <v>15</v>
      </c>
      <c r="AV2" s="10" t="s">
        <v>16</v>
      </c>
      <c r="AW2" s="18" t="s">
        <v>17</v>
      </c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6" t="s">
        <v>18</v>
      </c>
      <c r="BY2" s="19" t="s">
        <v>19</v>
      </c>
      <c r="BZ2" s="19" t="s">
        <v>20</v>
      </c>
      <c r="CA2" s="19" t="s">
        <v>21</v>
      </c>
    </row>
    <row r="3" ht="24.75" customHeight="1" spans="1:79" x14ac:dyDescent="0.25">
      <c r="A3" s="8"/>
      <c r="B3" s="9"/>
      <c r="C3" s="9"/>
      <c r="D3" s="10"/>
      <c r="E3" s="10"/>
      <c r="F3" s="10"/>
      <c r="G3" s="10"/>
      <c r="H3" s="11"/>
      <c r="I3" s="10"/>
      <c r="J3" s="12"/>
      <c r="K3" s="20" t="s">
        <v>22</v>
      </c>
      <c r="L3" s="20"/>
      <c r="M3" s="20"/>
      <c r="N3" s="21" t="s">
        <v>23</v>
      </c>
      <c r="O3" s="21"/>
      <c r="P3" s="21"/>
      <c r="Q3" s="21" t="s">
        <v>24</v>
      </c>
      <c r="R3" s="21"/>
      <c r="S3" s="21"/>
      <c r="T3" s="21" t="s">
        <v>25</v>
      </c>
      <c r="U3" s="21"/>
      <c r="V3" s="21"/>
      <c r="W3" s="20" t="s">
        <v>26</v>
      </c>
      <c r="X3" s="20"/>
      <c r="Y3" s="20"/>
      <c r="Z3" s="21" t="s">
        <v>27</v>
      </c>
      <c r="AA3" s="21"/>
      <c r="AB3" s="21"/>
      <c r="AC3" s="21" t="s">
        <v>28</v>
      </c>
      <c r="AD3" s="21"/>
      <c r="AE3" s="21"/>
      <c r="AF3" s="21" t="s">
        <v>29</v>
      </c>
      <c r="AG3" s="21"/>
      <c r="AH3" s="21"/>
      <c r="AI3" s="22" t="s">
        <v>30</v>
      </c>
      <c r="AJ3" s="23"/>
      <c r="AK3" s="24"/>
      <c r="AL3" s="16"/>
      <c r="AM3" s="17"/>
      <c r="AN3" s="8"/>
      <c r="AO3" s="9"/>
      <c r="AP3" s="9"/>
      <c r="AQ3" s="10"/>
      <c r="AR3" s="10"/>
      <c r="AS3" s="10"/>
      <c r="AT3" s="10"/>
      <c r="AU3" s="11"/>
      <c r="AV3" s="10"/>
      <c r="AW3" s="25" t="s">
        <v>31</v>
      </c>
      <c r="AX3" s="25"/>
      <c r="AY3" s="25"/>
      <c r="AZ3" s="26" t="s">
        <v>32</v>
      </c>
      <c r="BA3" s="26"/>
      <c r="BB3" s="26"/>
      <c r="BC3" s="25" t="s">
        <v>33</v>
      </c>
      <c r="BD3" s="25"/>
      <c r="BE3" s="25"/>
      <c r="BF3" s="25" t="s">
        <v>34</v>
      </c>
      <c r="BG3" s="25"/>
      <c r="BH3" s="25"/>
      <c r="BI3" s="27" t="s">
        <v>35</v>
      </c>
      <c r="BJ3" s="27"/>
      <c r="BK3" s="27"/>
      <c r="BL3" s="26" t="s">
        <v>36</v>
      </c>
      <c r="BM3" s="26"/>
      <c r="BN3" s="26"/>
      <c r="BO3" s="25" t="s">
        <v>37</v>
      </c>
      <c r="BP3" s="25"/>
      <c r="BQ3" s="25"/>
      <c r="BR3" s="25" t="s">
        <v>38</v>
      </c>
      <c r="BS3" s="25"/>
      <c r="BT3" s="25"/>
      <c r="BU3" s="25" t="s">
        <v>39</v>
      </c>
      <c r="BV3" s="25"/>
      <c r="BW3" s="25"/>
      <c r="BX3" s="16"/>
      <c r="BY3" s="19"/>
      <c r="BZ3" s="19"/>
      <c r="CA3" s="19"/>
    </row>
    <row r="4" ht="24.75" customHeight="1" spans="1:193" s="28" customFormat="1" x14ac:dyDescent="0.25">
      <c r="A4" s="8"/>
      <c r="B4" s="9"/>
      <c r="C4" s="9"/>
      <c r="D4" s="10"/>
      <c r="E4" s="10"/>
      <c r="F4" s="10"/>
      <c r="G4" s="10"/>
      <c r="H4" s="11"/>
      <c r="I4" s="10"/>
      <c r="J4" s="12"/>
      <c r="K4" s="29" t="s">
        <v>16</v>
      </c>
      <c r="L4" s="29" t="s">
        <v>14</v>
      </c>
      <c r="M4" s="29" t="s">
        <v>15</v>
      </c>
      <c r="N4" s="29" t="s">
        <v>16</v>
      </c>
      <c r="O4" s="29" t="s">
        <v>14</v>
      </c>
      <c r="P4" s="29" t="s">
        <v>15</v>
      </c>
      <c r="Q4" s="29" t="s">
        <v>16</v>
      </c>
      <c r="R4" s="29" t="s">
        <v>14</v>
      </c>
      <c r="S4" s="29" t="s">
        <v>15</v>
      </c>
      <c r="T4" s="29" t="s">
        <v>16</v>
      </c>
      <c r="U4" s="29" t="s">
        <v>14</v>
      </c>
      <c r="V4" s="29" t="s">
        <v>15</v>
      </c>
      <c r="W4" s="29" t="s">
        <v>16</v>
      </c>
      <c r="X4" s="29" t="s">
        <v>14</v>
      </c>
      <c r="Y4" s="29" t="s">
        <v>15</v>
      </c>
      <c r="Z4" s="29" t="s">
        <v>16</v>
      </c>
      <c r="AA4" s="29" t="s">
        <v>14</v>
      </c>
      <c r="AB4" s="29" t="s">
        <v>15</v>
      </c>
      <c r="AC4" s="29" t="s">
        <v>16</v>
      </c>
      <c r="AD4" s="29" t="s">
        <v>14</v>
      </c>
      <c r="AE4" s="29" t="s">
        <v>15</v>
      </c>
      <c r="AF4" s="29" t="s">
        <v>16</v>
      </c>
      <c r="AG4" s="29" t="s">
        <v>14</v>
      </c>
      <c r="AH4" s="29" t="s">
        <v>15</v>
      </c>
      <c r="AI4" s="30" t="s">
        <v>16</v>
      </c>
      <c r="AJ4" s="30" t="s">
        <v>14</v>
      </c>
      <c r="AK4" s="30" t="s">
        <v>15</v>
      </c>
      <c r="AL4" s="16"/>
      <c r="AM4" s="17"/>
      <c r="AN4" s="8"/>
      <c r="AO4" s="9"/>
      <c r="AP4" s="9"/>
      <c r="AQ4" s="10"/>
      <c r="AR4" s="10"/>
      <c r="AS4" s="10"/>
      <c r="AT4" s="10"/>
      <c r="AU4" s="11"/>
      <c r="AV4" s="10"/>
      <c r="AW4" s="29" t="s">
        <v>14</v>
      </c>
      <c r="AX4" s="29" t="s">
        <v>15</v>
      </c>
      <c r="AY4" s="29" t="s">
        <v>16</v>
      </c>
      <c r="AZ4" s="29" t="s">
        <v>14</v>
      </c>
      <c r="BA4" s="29" t="s">
        <v>15</v>
      </c>
      <c r="BB4" s="29" t="s">
        <v>16</v>
      </c>
      <c r="BC4" s="29" t="s">
        <v>14</v>
      </c>
      <c r="BD4" s="29" t="s">
        <v>15</v>
      </c>
      <c r="BE4" s="29" t="s">
        <v>16</v>
      </c>
      <c r="BF4" s="29" t="s">
        <v>14</v>
      </c>
      <c r="BG4" s="29" t="s">
        <v>15</v>
      </c>
      <c r="BH4" s="29" t="s">
        <v>16</v>
      </c>
      <c r="BI4" s="29" t="s">
        <v>14</v>
      </c>
      <c r="BJ4" s="29" t="s">
        <v>15</v>
      </c>
      <c r="BK4" s="29" t="s">
        <v>16</v>
      </c>
      <c r="BL4" s="29" t="s">
        <v>14</v>
      </c>
      <c r="BM4" s="29" t="s">
        <v>15</v>
      </c>
      <c r="BN4" s="29" t="s">
        <v>16</v>
      </c>
      <c r="BO4" s="29" t="s">
        <v>14</v>
      </c>
      <c r="BP4" s="29" t="s">
        <v>15</v>
      </c>
      <c r="BQ4" s="29" t="s">
        <v>40</v>
      </c>
      <c r="BR4" s="29" t="s">
        <v>16</v>
      </c>
      <c r="BS4" s="29" t="s">
        <v>14</v>
      </c>
      <c r="BT4" s="29" t="s">
        <v>15</v>
      </c>
      <c r="BU4" s="29" t="s">
        <v>16</v>
      </c>
      <c r="BV4" s="29" t="s">
        <v>14</v>
      </c>
      <c r="BW4" s="29" t="s">
        <v>15</v>
      </c>
      <c r="BX4" s="16"/>
      <c r="BY4" s="19"/>
      <c r="BZ4" s="19"/>
      <c r="CA4" s="19"/>
      <c r="CB4" s="31"/>
      <c r="CC4" s="31"/>
      <c r="CD4" s="31"/>
      <c r="CE4" s="32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4"/>
      <c r="CQ4" s="34"/>
      <c r="CR4" s="33"/>
      <c r="CS4" s="33"/>
      <c r="CT4" s="34"/>
      <c r="CU4" s="34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</row>
    <row r="5" ht="24.75" customHeight="1" spans="1:193" s="36" customFormat="1" x14ac:dyDescent="0.25">
      <c r="A5" s="8"/>
      <c r="B5" s="9"/>
      <c r="C5" s="9"/>
      <c r="D5" s="10"/>
      <c r="E5" s="10"/>
      <c r="F5" s="10"/>
      <c r="G5" s="10"/>
      <c r="H5" s="11"/>
      <c r="I5" s="10"/>
      <c r="J5" s="12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37"/>
      <c r="AJ5" s="37"/>
      <c r="AK5" s="37"/>
      <c r="AL5" s="16"/>
      <c r="AM5" s="17" t="s">
        <v>41</v>
      </c>
      <c r="AN5" s="8"/>
      <c r="AO5" s="9"/>
      <c r="AP5" s="9"/>
      <c r="AQ5" s="10"/>
      <c r="AR5" s="10"/>
      <c r="AS5" s="10"/>
      <c r="AT5" s="10"/>
      <c r="AU5" s="11"/>
      <c r="AV5" s="10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16"/>
      <c r="BY5" s="19"/>
      <c r="BZ5" s="19"/>
      <c r="CA5" s="19"/>
      <c r="CB5" s="3"/>
      <c r="CC5" s="3"/>
      <c r="CD5" s="3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</row>
    <row r="6" ht="24.75" customHeight="1" spans="1:193" s="36" customFormat="1" x14ac:dyDescent="0.25">
      <c r="A6" s="8"/>
      <c r="B6" s="9"/>
      <c r="C6" s="9"/>
      <c r="D6" s="10"/>
      <c r="E6" s="10"/>
      <c r="F6" s="10"/>
      <c r="G6" s="10"/>
      <c r="H6" s="11"/>
      <c r="I6" s="10"/>
      <c r="J6" s="1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38"/>
      <c r="AJ6" s="38"/>
      <c r="AK6" s="38"/>
      <c r="AL6" s="16"/>
      <c r="AM6" s="17" t="s">
        <v>16</v>
      </c>
      <c r="AN6" s="8"/>
      <c r="AO6" s="9"/>
      <c r="AP6" s="9"/>
      <c r="AQ6" s="10"/>
      <c r="AR6" s="10"/>
      <c r="AS6" s="10"/>
      <c r="AT6" s="10"/>
      <c r="AU6" s="11"/>
      <c r="AV6" s="10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16"/>
      <c r="BY6" s="19"/>
      <c r="BZ6" s="19"/>
      <c r="CA6" s="19"/>
      <c r="CB6" s="3"/>
      <c r="CC6" s="3"/>
      <c r="CD6" s="3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</row>
    <row r="7" ht="20" customHeight="1" spans="1:193" s="39" customFormat="1" x14ac:dyDescent="0.25">
      <c r="A7" s="40">
        <v>1</v>
      </c>
      <c r="B7" s="41" t="s">
        <v>42</v>
      </c>
      <c r="C7" s="40" t="s">
        <v>43</v>
      </c>
      <c r="D7" s="42" t="s">
        <v>44</v>
      </c>
      <c r="E7" s="42" t="s">
        <v>45</v>
      </c>
      <c r="F7" s="43" t="s">
        <v>46</v>
      </c>
      <c r="G7" s="43" t="s">
        <v>47</v>
      </c>
      <c r="H7" s="44" t="s">
        <v>48</v>
      </c>
      <c r="I7" s="45" t="s">
        <v>49</v>
      </c>
      <c r="J7" s="40">
        <v>1</v>
      </c>
      <c r="K7" s="42">
        <v>87</v>
      </c>
      <c r="L7" s="40">
        <f>IF(K7&gt;=91, 4.00, IF(K7&gt;=81, 3.50, IF(K7&gt;=70, 3.00, IF(K7&gt;=65, 2.50, IF(K7&gt;=60, 2.00, IF(K7&gt;=55, 1.50, IF(K7&gt;=50, 1.00, 0.00)))))))</f>
      </c>
      <c r="M7" s="40">
        <f>IF(K7&gt;=91,"A",IF(K7&gt;=81,"B+",IF(K7&gt;=70,"B",IF(K7&gt;=65,"C+",IF(K7&gt;=60,"C",IF(K7&gt;=55,"D+",IF(K7&gt;=50,"D","F")))))))</f>
      </c>
      <c r="N7" s="42">
        <v>99</v>
      </c>
      <c r="O7" s="40">
        <f>IF(N7&gt;=91, 4.00, IF(N7&gt;=81, 3.50, IF(N7&gt;=70, 3.00, IF(N7&gt;=65, 2.50, IF(N7&gt;=60, 2.00, IF(N7&gt;=55, 1.50, IF(N7&gt;=50, 1.00, 0.00)))))))</f>
      </c>
      <c r="P7" s="40">
        <f>IF(N7&gt;=91,"A",IF(N7&gt;=81,"B+",IF(N7&gt;=70,"B",IF(N7&gt;=65,"C+",IF(N7&gt;=60,"C",IF(N7&gt;=55,"D+",IF(N7&gt;=50,"D","F")))))))</f>
      </c>
      <c r="Q7" s="42">
        <v>98</v>
      </c>
      <c r="R7" s="40">
        <f>IF(Q7&gt;=91, 4.00, IF(Q7&gt;=81, 3.50, IF(Q7&gt;=70, 3.00, IF(Q7&gt;=65, 2.50, IF(Q7&gt;=60, 2.00, IF(Q7&gt;=55, 1.50, IF(Q7&gt;=50, 1.00, 0.00)))))))</f>
      </c>
      <c r="S7" s="40">
        <f>IF(Q7&gt;=91,"A",IF(Q7&gt;=81,"B+",IF(Q7&gt;=70,"B",IF(Q7&gt;=65,"C+",IF(Q7&gt;=60,"C",IF(Q7&gt;=55,"D+",IF(Q7&gt;=50,"D","F")))))))</f>
      </c>
      <c r="T7" s="42">
        <v>80</v>
      </c>
      <c r="U7" s="40">
        <f>IF(T7&gt;=91, 4.00, IF(T7&gt;=81, 3.50, IF(T7&gt;=70, 3.00, IF(T7&gt;=65, 2.50, IF(T7&gt;=60, 2.00, IF(T7&gt;=55, 1.50, IF(T7&gt;=50, 1.00, 0.00)))))))</f>
      </c>
      <c r="V7" s="40">
        <f>IF(T7&gt;=91,"A",IF(T7&gt;=81,"B+",IF(T7&gt;=70,"B",IF(T7&gt;=65,"C+",IF(T7&gt;=60,"C",IF(T7&gt;=55,"D+",IF(T7&gt;=50,"D","F")))))))</f>
      </c>
      <c r="W7" s="42">
        <v>77</v>
      </c>
      <c r="X7" s="40">
        <f>IF(W7&gt;=91, 4.00, IF(W7&gt;=81, 3.50, IF(W7&gt;=70, 3.00, IF(W7&gt;=65, 2.50, IF(W7&gt;=60, 2.00, IF(W7&gt;=55, 1.50, IF(W7&gt;=50, 1.00, 0.00)))))))</f>
      </c>
      <c r="Y7" s="40">
        <f>IF(W7&gt;=91,"A",IF(W7&gt;=81,"B+",IF(W7&gt;=70,"B",IF(W7&gt;=65,"C+",IF(W7&gt;=60,"C",IF(W7&gt;=55,"D+",IF(W7&gt;=50,"D","F")))))))</f>
      </c>
      <c r="Z7" s="46">
        <v>90.52</v>
      </c>
      <c r="AA7" s="40">
        <f>IF(Z7&gt;=91, 4.00, IF(Z7&gt;=81, 3.50, IF(Z7&gt;=70, 3.00, IF(Z7&gt;=65, 2.50, IF(Z7&gt;=60, 2.00, IF(Z7&gt;=55, 1.50, IF(Z7&gt;=50, 1.00, 0.00)))))))</f>
      </c>
      <c r="AB7" s="40">
        <f>IF(Z7&gt;=91,"A",IF(Z7&gt;=81,"B+",IF(Z7&gt;=70,"B",IF(Z7&gt;=65,"C+",IF(Z7&gt;=60,"C",IF(Z7&gt;=55,"D+",IF(Z7&gt;=50,"D","F")))))))</f>
      </c>
      <c r="AC7" s="46">
        <v>85.5</v>
      </c>
      <c r="AD7" s="40">
        <f>IF(AC7&gt;=91, 4.00, IF(AC7&gt;=81, 3.50, IF(AC7&gt;=70, 3.00, IF(AC7&gt;=65, 2.50, IF(AC7&gt;=60, 2.00, IF(AC7&gt;=55, 1.50, IF(AC7&gt;=50, 1.00, 0.00)))))))</f>
      </c>
      <c r="AE7" s="40">
        <f>IF(AC7&gt;=91,"A",IF(AC7&gt;=81,"B+",IF(AC7&gt;=70,"B",IF(AC7&gt;=65,"C+",IF(AC7&gt;=60,"C",IF(AC7&gt;=55,"D+",IF(AC7&gt;=50,"D","F")))))))</f>
      </c>
      <c r="AF7" s="40">
        <v>81</v>
      </c>
      <c r="AG7" s="40">
        <f>IF(AF7&gt;=91, 4.00, IF(AF7&gt;=81, 3.50, IF(AF7&gt;=70, 3.00, IF(AF7&gt;=65, 2.50, IF(AF7&gt;=60, 2.00, IF(AF7&gt;=55, 1.50, IF(AF7&gt;=50, 1.00, 0.00)))))))</f>
      </c>
      <c r="AH7" s="40">
        <f>IF(AF7&gt;=91,"A",IF(AF7&gt;=81,"B+",IF(AF7&gt;=70,"B",IF(AF7&gt;=65,"C+",IF(AF7&gt;=60,"C",IF(AF7&gt;=55,"D+",IF(AF7&gt;=50,"D","F")))))))</f>
      </c>
      <c r="AI7" s="40">
        <v>81</v>
      </c>
      <c r="AJ7" s="40">
        <f>IF(AI7&gt;=91, 4.00, IF(AI7&gt;=81, 3.50, IF(AI7&gt;=70, 3.00, IF(AI7&gt;=65, 2.50, IF(AI7&gt;=60, 2.00, IF(AI7&gt;=55, 1.50, IF(AI7&gt;=50, 1.00, 0.00)))))))</f>
      </c>
      <c r="AK7" s="40">
        <f>IF(AI7&gt;=91,"A",IF(AI7&gt;=81,"B+",IF(AI7&gt;=70,"B",IF(AI7&gt;=65,"C+",IF(AI7&gt;=60,"C",IF(AI7&gt;=55,"D+",IF(AI7&gt;=50,"D","F")))))))</f>
      </c>
      <c r="AL7" s="40">
        <f>ROUND((L7*3+O7*2+R7*1+U7*2+X7*1+AA7*2+AD7*2+AG7*2+AJ7*2)/17, 2)</f>
      </c>
      <c r="AM7" s="47">
        <v>93</v>
      </c>
      <c r="AN7" s="40">
        <f>IF(AM7&gt;=91, 4.00, IF(AM7&gt;=81, 3.50, IF(AM7&gt;=70, 3.00, IF(AM7&gt;=65, 2.50, IF(AM7&gt;=60, 2.00, IF(AM7&gt;=55, 1.50, IF(AM7&gt;=50, 1.00, 0.00)))))))</f>
      </c>
      <c r="AO7" s="41">
        <f>IF(AM7&gt;=91,"A",IF(AM7&gt;=81,"B+",IF(AM7&gt;=70,"B",IF(AM7&gt;=65,"C+",IF(AM7&gt;=60,"C",IF(AM7&gt;=55,"D+",IF(AM7&gt;=50,"D","F")))))))</f>
      </c>
      <c r="AP7" s="40" t="s">
        <v>43</v>
      </c>
      <c r="AQ7" s="42">
        <f>IF(AP7&gt;=91, 4.00, IF(AP7&gt;=81, 3.50, IF(AP7&gt;=70, 3.00, IF(AP7&gt;=65, 2.50, IF(AP7&gt;=60, 2.00, IF(AP7&gt;=55, 1.50, IF(AP7&gt;=50, 1.00, 0.00)))))))</f>
      </c>
      <c r="AR7" s="42">
        <f>IF(AP7&gt;=91,"A",IF(AP7&gt;=81,"B+",IF(AP7&gt;=70,"B",IF(AP7&gt;=65,"C+",IF(AP7&gt;=60,"C",IF(AP7&gt;=55,"D+",IF(AP7&gt;=50,"D","F")))))))</f>
      </c>
      <c r="AS7" s="43" t="s">
        <v>46</v>
      </c>
      <c r="AT7" s="43">
        <f>IF(AS7&gt;=91, 4.00, IF(AS7&gt;=81, 3.50, IF(AS7&gt;=70, 3.00, IF(AS7&gt;=65, 2.50, IF(AS7&gt;=60, 2.00, IF(AS7&gt;=55, 1.50, IF(AS7&gt;=50, 1.00, 0.00)))))))</f>
      </c>
      <c r="AU7" s="44">
        <f>IF(AS7&gt;=91,"A",IF(AS7&gt;=81,"B+",IF(AS7&gt;=70,"B",IF(AS7&gt;=65,"C+",IF(AS7&gt;=60,"C",IF(AS7&gt;=55,"D+",IF(AS7&gt;=50,"D","F")))))))</f>
      </c>
      <c r="AV7" s="45" t="s">
        <v>49</v>
      </c>
      <c r="AW7" s="48">
        <f>IF(AV7&gt;=91, 4.00, IF(AV7&gt;=81, 3.50, IF(AV7&gt;=70, 3.00, IF(AV7&gt;=65, 2.50, IF(AV7&gt;=60, 2.00, IF(AV7&gt;=55, 1.50, IF(AV7&gt;=50, 1.00, 0.00)))))))</f>
      </c>
      <c r="AX7" s="49">
        <f>IF(AV7&gt;=91,"A",IF(AV7&gt;=81,"B+",IF(AV7&gt;=70,"B",IF(AV7&gt;=65,"C+",IF(AV7&gt;=60,"C",IF(AV7&gt;=55,"D+",IF(AV7&gt;=50,"D","F")))))))</f>
      </c>
      <c r="AY7" s="40" t="str">
        <f>IF(AW7&gt;90,"A",IF(AW7&gt;80,"B+",IF(AW7&gt;69,"B",IF(AW7&gt;64,"C+",IF(AW7&gt;59,"C",IF(AW7&gt;54,"D+",IF(AW7&gt;49,"D",IF(AW7&gt;=0,"F"))))))))</f>
        <v>A</v>
      </c>
      <c r="AZ7" s="48">
        <f>IF(AY7&gt;=91, 4.00, IF(AY7&gt;=81, 3.50, IF(AY7&gt;=70, 3.00, IF(AY7&gt;=65, 2.50, IF(AY7&gt;=60, 2.00, IF(AY7&gt;=55, 1.50, IF(AY7&gt;=50, 1.00, 0.00)))))))</f>
      </c>
      <c r="BA7" s="49">
        <f>IF(AY7&gt;=91,"A",IF(AY7&gt;=81,"B+",IF(AY7&gt;=70,"B",IF(AY7&gt;=65,"C+",IF(AY7&gt;=60,"C",IF(AY7&gt;=55,"D+",IF(AY7&gt;=50,"D","F")))))))</f>
      </c>
      <c r="BB7" s="40" t="str">
        <f>IF(AZ7&gt;90,"A",IF(AZ7&gt;80,"B+",IF(AZ7&gt;69,"B",IF(AZ7&gt;64,"C+",IF(AZ7&gt;59,"C",IF(AZ7&gt;54,"D+",IF(AZ7&gt;49,"D",IF(AZ7&gt;=0,"F"))))))))</f>
        <v>A</v>
      </c>
      <c r="BC7" s="43">
        <f>IF(BB7&gt;=91, 4.00, IF(BB7&gt;=81, 3.50, IF(BB7&gt;=70, 3.00, IF(BB7&gt;=65, 2.50, IF(BB7&gt;=60, 2.00, IF(BB7&gt;=55, 1.50, IF(BB7&gt;=50, 1.00, 0.00)))))))</f>
      </c>
      <c r="BD7" s="49">
        <f>IF(BB7&gt;=91,"A",IF(BB7&gt;=81,"B+",IF(BB7&gt;=70,"B",IF(BB7&gt;=65,"C+",IF(BB7&gt;=60,"C",IF(BB7&gt;=55,"D+",IF(BB7&gt;=50,"D","F")))))))</f>
      </c>
      <c r="BE7" s="40" t="str">
        <f>IF(BC7&gt;90,"A",IF(BC7&gt;80,"B+",IF(BC7&gt;69,"B",IF(BC7&gt;64,"C+",IF(BC7&gt;59,"C",IF(BC7&gt;54,"D+",IF(BC7&gt;49,"D",IF(BC7&gt;=0,"F"))))))))</f>
        <v>A</v>
      </c>
      <c r="BF7" s="48">
        <f>IF(BE7&gt;=91, 4.00, IF(BE7&gt;=81, 3.50, IF(BE7&gt;=70, 3.00, IF(BE7&gt;=65, 2.50, IF(BE7&gt;=60, 2.00, IF(BE7&gt;=55, 1.50, IF(BE7&gt;=50, 1.00, 0.00)))))))</f>
      </c>
      <c r="BG7" s="49">
        <f>IF(BE7&gt;=91,"A",IF(BE7&gt;=81,"B+",IF(BE7&gt;=70,"B",IF(BE7&gt;=65,"C+",IF(BE7&gt;=60,"C",IF(BE7&gt;=55,"D+",IF(BE7&gt;=50,"D","F")))))))</f>
      </c>
      <c r="BH7" s="40" t="str">
        <f>IF(BF7&gt;90,"A",IF(BF7&gt;80,"B+",IF(BF7&gt;69,"B",IF(BF7&gt;64,"C+",IF(BF7&gt;59,"C",IF(BF7&gt;54,"D+",IF(BF7&gt;49,"D",IF(BF7&gt;=0,"F"))))))))</f>
        <v>A</v>
      </c>
      <c r="BI7" s="43">
        <f>IF(BH7&gt;=91, 4.00, IF(BH7&gt;=81, 3.50, IF(BH7&gt;=70, 3.00, IF(BH7&gt;=65, 2.50, IF(BH7&gt;=60, 2.00, IF(BH7&gt;=55, 1.50, IF(BH7&gt;=50, 1.00, 0.00)))))))</f>
      </c>
      <c r="BJ7" s="49">
        <f>IF(BH7&gt;=91,"A",IF(BH7&gt;=81,"B+",IF(BH7&gt;=70,"B",IF(BH7&gt;=65,"C+",IF(BH7&gt;=60,"C",IF(BH7&gt;=55,"D+",IF(BH7&gt;=50,"D","F")))))))</f>
      </c>
      <c r="BK7" s="40" t="str">
        <f>IF(BI7&gt;90,"A",IF(BI7&gt;80,"B+",IF(BI7&gt;69,"B",IF(BI7&gt;64,"C+",IF(BI7&gt;59,"C",IF(BI7&gt;54,"D+",IF(BI7&gt;49,"D",IF(BI7&gt;=0,"F"))))))))</f>
        <v>A</v>
      </c>
      <c r="BL7" s="43">
        <f>IF(BK7&gt;=91, 4.00, IF(BK7&gt;=81, 3.50, IF(BK7&gt;=70, 3.00, IF(BK7&gt;=65, 2.50, IF(BK7&gt;=60, 2.00, IF(BK7&gt;=55, 1.50, IF(BK7&gt;=50, 1.00, 0.00)))))))</f>
      </c>
      <c r="BM7" s="49">
        <f>IF(BK7&gt;=91,"A",IF(BK7&gt;=81,"B+",IF(BK7&gt;=70,"B",IF(BK7&gt;=65,"C+",IF(BK7&gt;=60,"C",IF(BK7&gt;=55,"D+",IF(BK7&gt;=50,"D","F")))))))</f>
      </c>
      <c r="BN7" s="40" t="str">
        <f>IF(BL7&gt;90,"A",IF(BL7&gt;80,"B+",IF(BL7&gt;69,"B",IF(BL7&gt;64,"C+",IF(BL7&gt;59,"C",IF(BL7&gt;54,"D+",IF(BL7&gt;49,"D",IF(BL7&gt;=0,"F"))))))))</f>
        <v>A</v>
      </c>
      <c r="BO7" s="49">
        <f>IF(BN7&gt;=91, 4.00, IF(BN7&gt;=81, 3.50, IF(BN7&gt;=70, 3.00, IF(BN7&gt;=65, 2.50, IF(BN7&gt;=60, 2.00, IF(BN7&gt;=55, 1.50, IF(BN7&gt;=50, 1.00, 0.00)))))))</f>
      </c>
      <c r="BP7" s="49">
        <f>IF(BN7&gt;=91,"A",IF(BN7&gt;=81,"B+",IF(BN7&gt;=70,"B",IF(BN7&gt;=65,"C+",IF(BN7&gt;=60,"C",IF(BN7&gt;=55,"D+",IF(BN7&gt;=50,"D","F")))))))</f>
      </c>
      <c r="BQ7" s="40">
        <f>ROUND((AN7*3+AQ7*2+AT7*1+AW7*2+AZ7*1+BC7*1+BF7*2+BI7*2+BL7*2+BO7*3)/19, 2)</f>
      </c>
      <c r="BR7" s="49">
        <v>87</v>
      </c>
      <c r="BS7" s="49" t="str">
        <f>IF(BR7&gt;90,"4.00",IF(BR7&gt;80,"3.50",IF(BR7&gt;69,"3.00",IF(BR7&gt;64,"2.50",IF(BR7&gt;59,"2.00",IF(BR7&gt;54,"1.50",IF(BR7&gt;49,"1.00","0.00")))))))</f>
        <v>3.50</v>
      </c>
      <c r="BT7" s="40" t="str">
        <f>IF(BR7&gt;90,"A",IF(BR7&gt;80,"B+",IF(BR7&gt;69,"B",IF(BR7&gt;64,"C+",IF(BR7&gt;59,"C",IF(BR7&gt;54,"D+",IF(BR7&gt;49,"D",IF(BR7&gt;=0,"F"))))))))</f>
        <v>B+</v>
      </c>
      <c r="BU7" s="49">
        <v>77</v>
      </c>
      <c r="BV7" s="49" t="str">
        <f>IF(BU7&gt;90,"4.00",IF(BU7&gt;80,"3.50",IF(BU7&gt;69,"3.00",IF(BU7&gt;64,"2.50",IF(BU7&gt;59,"2.00",IF(BU7&gt;54,"1.50",IF(BU7&gt;49,"1.00","0.00")))))))</f>
        <v>3.00</v>
      </c>
      <c r="BW7" s="40" t="str">
        <f>IF(BU7&gt;90,"A",IF(BU7&gt;80,"B+",IF(BU7&gt;69,"B",IF(BU7&gt;64,"C+",IF(BU7&gt;59,"C",IF(BU7&gt;54,"D+",IF(BU7&gt;49,"D",IF(BU7&gt;=0,"F"))))))))</f>
        <v>B</v>
      </c>
      <c r="BX7" s="50">
        <f>(AX7*3+BA7*2+BD7*1+BG7*2+BJ7*1+BM7*1+BP7*2+BS7*2+BV7*2)/(3+2+1+2+1+1+2+2+2)</f>
        <v>3.75</v>
      </c>
      <c r="BY7" s="50">
        <f>(AL7+BX7)/2</f>
        <v>3.5367647058823533</v>
      </c>
      <c r="BZ7" s="51">
        <f>RANK(BY7,$BY$7:BY32)</f>
        <v>1</v>
      </c>
      <c r="CA7" s="40"/>
      <c r="CB7" s="52"/>
      <c r="CC7" s="52"/>
      <c r="CD7" s="52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</row>
    <row r="8" ht="20" customHeight="1" spans="1:193" s="39" customFormat="1" x14ac:dyDescent="0.25">
      <c r="A8" s="40">
        <v>2</v>
      </c>
      <c r="B8" s="41" t="s">
        <v>50</v>
      </c>
      <c r="C8" s="40" t="s">
        <v>51</v>
      </c>
      <c r="D8" s="42" t="s">
        <v>52</v>
      </c>
      <c r="E8" s="42" t="s">
        <v>53</v>
      </c>
      <c r="F8" s="43" t="s">
        <v>54</v>
      </c>
      <c r="G8" s="43" t="s">
        <v>55</v>
      </c>
      <c r="H8" s="54">
        <v>37683</v>
      </c>
      <c r="I8" s="45" t="s">
        <v>56</v>
      </c>
      <c r="J8" s="40">
        <v>1</v>
      </c>
      <c r="K8" s="42">
        <v>50</v>
      </c>
      <c r="L8" s="40">
        <f>IF(K8&gt;=91, 4.00, IF(K8&gt;=81, 3.50, IF(K8&gt;=70, 3.00, IF(K8&gt;=65, 2.50, IF(K8&gt;=60, 2.00, IF(K8&gt;=55, 1.50, IF(K8&gt;=50, 1.00, 0.00)))))))</f>
      </c>
      <c r="M8" s="40">
        <f>IF(K8&gt;=91,"A",IF(K8&gt;=81,"B+",IF(K8&gt;=70,"B",IF(K8&gt;=65,"C+",IF(K8&gt;=60,"C",IF(K8&gt;=55,"D+",IF(K8&gt;=50,"D","F")))))))</f>
      </c>
      <c r="N8" s="42">
        <v>79</v>
      </c>
      <c r="O8" s="40">
        <f>IF(N8&gt;=91, 4.00, IF(N8&gt;=81, 3.50, IF(N8&gt;=70, 3.00, IF(N8&gt;=65, 2.50, IF(N8&gt;=60, 2.00, IF(N8&gt;=55, 1.50, IF(N8&gt;=50, 1.00, 0.00)))))))</f>
      </c>
      <c r="P8" s="40">
        <f>IF(N8&gt;=91,"A",IF(N8&gt;=81,"B+",IF(N8&gt;=70,"B",IF(N8&gt;=65,"C+",IF(N8&gt;=60,"C",IF(N8&gt;=55,"D+",IF(N8&gt;=50,"D","F")))))))</f>
      </c>
      <c r="Q8" s="42">
        <v>90</v>
      </c>
      <c r="R8" s="40">
        <f>IF(Q8&gt;=91, 4.00, IF(Q8&gt;=81, 3.50, IF(Q8&gt;=70, 3.00, IF(Q8&gt;=65, 2.50, IF(Q8&gt;=60, 2.00, IF(Q8&gt;=55, 1.50, IF(Q8&gt;=50, 1.00, 0.00)))))))</f>
      </c>
      <c r="S8" s="40">
        <f>IF(Q8&gt;=91,"A",IF(Q8&gt;=81,"B+",IF(Q8&gt;=70,"B",IF(Q8&gt;=65,"C+",IF(Q8&gt;=60,"C",IF(Q8&gt;=55,"D+",IF(Q8&gt;=50,"D","F")))))))</f>
      </c>
      <c r="T8" s="42">
        <v>56</v>
      </c>
      <c r="U8" s="40">
        <f>IF(T8&gt;=91, 4.00, IF(T8&gt;=81, 3.50, IF(T8&gt;=70, 3.00, IF(T8&gt;=65, 2.50, IF(T8&gt;=60, 2.00, IF(T8&gt;=55, 1.50, IF(T8&gt;=50, 1.00, 0.00)))))))</f>
      </c>
      <c r="V8" s="40">
        <f>IF(T8&gt;=91,"A",IF(T8&gt;=81,"B+",IF(T8&gt;=70,"B",IF(T8&gt;=65,"C+",IF(T8&gt;=60,"C",IF(T8&gt;=55,"D+",IF(T8&gt;=50,"D","F")))))))</f>
      </c>
      <c r="W8" s="55">
        <v>35</v>
      </c>
      <c r="X8" s="56">
        <f>IF(W8&gt;=91, 4.00, IF(W8&gt;=81, 3.50, IF(W8&gt;=70, 3.00, IF(W8&gt;=65, 2.50, IF(W8&gt;=60, 2.00, IF(W8&gt;=55, 1.50, IF(W8&gt;=50, 1.00, 0.00)))))))</f>
      </c>
      <c r="Y8" s="57">
        <f>IF(W8&gt;=91,"A",IF(W8&gt;=81,"B+",IF(W8&gt;=70,"B",IF(W8&gt;=65,"C+",IF(W8&gt;=60,"C",IF(W8&gt;=55,"D+",IF(W8&gt;=50,"D","F")))))))</f>
      </c>
      <c r="Z8" s="46">
        <v>87.77</v>
      </c>
      <c r="AA8" s="40">
        <f>IF(Z8&gt;=91, 4.00, IF(Z8&gt;=81, 3.50, IF(Z8&gt;=70, 3.00, IF(Z8&gt;=65, 2.50, IF(Z8&gt;=60, 2.00, IF(Z8&gt;=55, 1.50, IF(Z8&gt;=50, 1.00, 0.00)))))))</f>
      </c>
      <c r="AB8" s="40">
        <f>IF(Z8&gt;=91,"A",IF(Z8&gt;=81,"B+",IF(Z8&gt;=70,"B",IF(Z8&gt;=65,"C+",IF(Z8&gt;=60,"C",IF(Z8&gt;=55,"D+",IF(Z8&gt;=50,"D","F")))))))</f>
      </c>
      <c r="AC8" s="46">
        <v>75</v>
      </c>
      <c r="AD8" s="40">
        <f>IF(AC8&gt;=91, 4.00, IF(AC8&gt;=81, 3.50, IF(AC8&gt;=70, 3.00, IF(AC8&gt;=65, 2.50, IF(AC8&gt;=60, 2.00, IF(AC8&gt;=55, 1.50, IF(AC8&gt;=50, 1.00, 0.00)))))))</f>
      </c>
      <c r="AE8" s="40">
        <f>IF(AC8&gt;=91,"A",IF(AC8&gt;=81,"B+",IF(AC8&gt;=70,"B",IF(AC8&gt;=65,"C+",IF(AC8&gt;=60,"C",IF(AC8&gt;=55,"D+",IF(AC8&gt;=50,"D","F")))))))</f>
      </c>
      <c r="AF8" s="40">
        <v>75</v>
      </c>
      <c r="AG8" s="40">
        <f>IF(AF8&gt;=91, 4.00, IF(AF8&gt;=81, 3.50, IF(AF8&gt;=70, 3.00, IF(AF8&gt;=65, 2.50, IF(AF8&gt;=60, 2.00, IF(AF8&gt;=55, 1.50, IF(AF8&gt;=50, 1.00, 0.00)))))))</f>
      </c>
      <c r="AH8" s="40">
        <f>IF(AF8&gt;=91,"A",IF(AF8&gt;=81,"B+",IF(AF8&gt;=70,"B",IF(AF8&gt;=65,"C+",IF(AF8&gt;=60,"C",IF(AF8&gt;=55,"D+",IF(AF8&gt;=50,"D","F")))))))</f>
      </c>
      <c r="AI8" s="40">
        <v>82</v>
      </c>
      <c r="AJ8" s="40">
        <f>IF(AI8&gt;=91, 4.00, IF(AI8&gt;=81, 3.50, IF(AI8&gt;=70, 3.00, IF(AI8&gt;=65, 2.50, IF(AI8&gt;=60, 2.00, IF(AI8&gt;=55, 1.50, IF(AI8&gt;=50, 1.00, 0.00)))))))</f>
      </c>
      <c r="AK8" s="40">
        <f>IF(AI8&gt;=91,"A",IF(AI8&gt;=81,"B+",IF(AI8&gt;=70,"B",IF(AI8&gt;=65,"C+",IF(AI8&gt;=60,"C",IF(AI8&gt;=55,"D+",IF(AI8&gt;=50,"D","F")))))))</f>
      </c>
      <c r="AL8" s="40">
        <f>ROUND((L8*3+O8*2+R8*1+U8*2+X8*1+AA8*2+AD8*2+AG8*2+AJ8*2)/17, 2)</f>
      </c>
      <c r="AM8" s="47">
        <v>75</v>
      </c>
      <c r="AN8" s="40">
        <f>IF(AM8&gt;=91, 4.00, IF(AM8&gt;=81, 3.50, IF(AM8&gt;=70, 3.00, IF(AM8&gt;=65, 2.50, IF(AM8&gt;=60, 2.00, IF(AM8&gt;=55, 1.50, IF(AM8&gt;=50, 1.00, 0.00)))))))</f>
      </c>
      <c r="AO8" s="41">
        <f>IF(AM8&gt;=91,"A",IF(AM8&gt;=81,"B+",IF(AM8&gt;=70,"B",IF(AM8&gt;=65,"C+",IF(AM8&gt;=60,"C",IF(AM8&gt;=55,"D+",IF(AM8&gt;=50,"D","F")))))))</f>
      </c>
      <c r="AP8" s="40" t="s">
        <v>51</v>
      </c>
      <c r="AQ8" s="42">
        <f>IF(AP8&gt;=91, 4.00, IF(AP8&gt;=81, 3.50, IF(AP8&gt;=70, 3.00, IF(AP8&gt;=65, 2.50, IF(AP8&gt;=60, 2.00, IF(AP8&gt;=55, 1.50, IF(AP8&gt;=50, 1.00, 0.00)))))))</f>
      </c>
      <c r="AR8" s="42">
        <f>IF(AP8&gt;=91,"A",IF(AP8&gt;=81,"B+",IF(AP8&gt;=70,"B",IF(AP8&gt;=65,"C+",IF(AP8&gt;=60,"C",IF(AP8&gt;=55,"D+",IF(AP8&gt;=50,"D","F")))))))</f>
      </c>
      <c r="AS8" s="43" t="s">
        <v>54</v>
      </c>
      <c r="AT8" s="43">
        <f>IF(AS8&gt;=91, 4.00, IF(AS8&gt;=81, 3.50, IF(AS8&gt;=70, 3.00, IF(AS8&gt;=65, 2.50, IF(AS8&gt;=60, 2.00, IF(AS8&gt;=55, 1.50, IF(AS8&gt;=50, 1.00, 0.00)))))))</f>
      </c>
      <c r="AU8" s="54">
        <f>IF(AS8&gt;=91,"A",IF(AS8&gt;=81,"B+",IF(AS8&gt;=70,"B",IF(AS8&gt;=65,"C+",IF(AS8&gt;=60,"C",IF(AS8&gt;=55,"D+",IF(AS8&gt;=50,"D","F")))))))</f>
      </c>
      <c r="AV8" s="45" t="s">
        <v>56</v>
      </c>
      <c r="AW8" s="48">
        <f>IF(AV8&gt;=91, 4.00, IF(AV8&gt;=81, 3.50, IF(AV8&gt;=70, 3.00, IF(AV8&gt;=65, 2.50, IF(AV8&gt;=60, 2.00, IF(AV8&gt;=55, 1.50, IF(AV8&gt;=50, 1.00, 0.00)))))))</f>
      </c>
      <c r="AX8" s="49">
        <f>IF(AV8&gt;=91,"A",IF(AV8&gt;=81,"B+",IF(AV8&gt;=70,"B",IF(AV8&gt;=65,"C+",IF(AV8&gt;=60,"C",IF(AV8&gt;=55,"D+",IF(AV8&gt;=50,"D","F")))))))</f>
      </c>
      <c r="AY8" s="40" t="str">
        <f>IF(AW8&gt;90,"A",IF(AW8&gt;80,"B+",IF(AW8&gt;69,"B",IF(AW8&gt;64,"C+",IF(AW8&gt;59,"C",IF(AW8&gt;54,"D+",IF(AW8&gt;49,"D",IF(AW8&gt;=0,"F"))))))))</f>
        <v>C+</v>
      </c>
      <c r="AZ8" s="48">
        <f>IF(AY8&gt;=91, 4.00, IF(AY8&gt;=81, 3.50, IF(AY8&gt;=70, 3.00, IF(AY8&gt;=65, 2.50, IF(AY8&gt;=60, 2.00, IF(AY8&gt;=55, 1.50, IF(AY8&gt;=50, 1.00, 0.00)))))))</f>
      </c>
      <c r="BA8" s="49">
        <f>IF(AY8&gt;=91,"A",IF(AY8&gt;=81,"B+",IF(AY8&gt;=70,"B",IF(AY8&gt;=65,"C+",IF(AY8&gt;=60,"C",IF(AY8&gt;=55,"D+",IF(AY8&gt;=50,"D","F")))))))</f>
      </c>
      <c r="BB8" s="40" t="str">
        <f>IF(AZ8&gt;90,"A",IF(AZ8&gt;80,"B+",IF(AZ8&gt;69,"B",IF(AZ8&gt;64,"C+",IF(AZ8&gt;59,"C",IF(AZ8&gt;54,"D+",IF(AZ8&gt;49,"D",IF(AZ8&gt;=0,"F"))))))))</f>
        <v>B</v>
      </c>
      <c r="BC8" s="43">
        <f>IF(BB8&gt;=91, 4.00, IF(BB8&gt;=81, 3.50, IF(BB8&gt;=70, 3.00, IF(BB8&gt;=65, 2.50, IF(BB8&gt;=60, 2.00, IF(BB8&gt;=55, 1.50, IF(BB8&gt;=50, 1.00, 0.00)))))))</f>
      </c>
      <c r="BD8" s="49">
        <f>IF(BB8&gt;=91,"A",IF(BB8&gt;=81,"B+",IF(BB8&gt;=70,"B",IF(BB8&gt;=65,"C+",IF(BB8&gt;=60,"C",IF(BB8&gt;=55,"D+",IF(BB8&gt;=50,"D","F")))))))</f>
      </c>
      <c r="BE8" s="40" t="str">
        <f>IF(BC8&gt;90,"A",IF(BC8&gt;80,"B+",IF(BC8&gt;69,"B",IF(BC8&gt;64,"C+",IF(BC8&gt;59,"C",IF(BC8&gt;54,"D+",IF(BC8&gt;49,"D",IF(BC8&gt;=0,"F"))))))))</f>
        <v>B</v>
      </c>
      <c r="BF8" s="48">
        <f>IF(BE8&gt;=91, 4.00, IF(BE8&gt;=81, 3.50, IF(BE8&gt;=70, 3.00, IF(BE8&gt;=65, 2.50, IF(BE8&gt;=60, 2.00, IF(BE8&gt;=55, 1.50, IF(BE8&gt;=50, 1.00, 0.00)))))))</f>
      </c>
      <c r="BG8" s="49">
        <f>IF(BE8&gt;=91,"A",IF(BE8&gt;=81,"B+",IF(BE8&gt;=70,"B",IF(BE8&gt;=65,"C+",IF(BE8&gt;=60,"C",IF(BE8&gt;=55,"D+",IF(BE8&gt;=50,"D","F")))))))</f>
      </c>
      <c r="BH8" s="40" t="str">
        <f>IF(BF8&gt;90,"A",IF(BF8&gt;80,"B+",IF(BF8&gt;69,"B",IF(BF8&gt;64,"C+",IF(BF8&gt;59,"C",IF(BF8&gt;54,"D+",IF(BF8&gt;49,"D",IF(BF8&gt;=0,"F"))))))))</f>
        <v>C+</v>
      </c>
      <c r="BI8" s="43">
        <f>IF(BH8&gt;=91, 4.00, IF(BH8&gt;=81, 3.50, IF(BH8&gt;=70, 3.00, IF(BH8&gt;=65, 2.50, IF(BH8&gt;=60, 2.00, IF(BH8&gt;=55, 1.50, IF(BH8&gt;=50, 1.00, 0.00)))))))</f>
      </c>
      <c r="BJ8" s="49">
        <f>IF(BH8&gt;=91,"A",IF(BH8&gt;=81,"B+",IF(BH8&gt;=70,"B",IF(BH8&gt;=65,"C+",IF(BH8&gt;=60,"C",IF(BH8&gt;=55,"D+",IF(BH8&gt;=50,"D","F")))))))</f>
      </c>
      <c r="BK8" s="40" t="str">
        <f>IF(BI8&gt;90,"A",IF(BI8&gt;80,"B+",IF(BI8&gt;69,"B",IF(BI8&gt;64,"C+",IF(BI8&gt;59,"C",IF(BI8&gt;54,"D+",IF(BI8&gt;49,"D",IF(BI8&gt;=0,"F"))))))))</f>
        <v>B+</v>
      </c>
      <c r="BL8" s="43">
        <f>IF(BK8&gt;=91, 4.00, IF(BK8&gt;=81, 3.50, IF(BK8&gt;=70, 3.00, IF(BK8&gt;=65, 2.50, IF(BK8&gt;=60, 2.00, IF(BK8&gt;=55, 1.50, IF(BK8&gt;=50, 1.00, 0.00)))))))</f>
      </c>
      <c r="BM8" s="49">
        <f>IF(BK8&gt;=91,"A",IF(BK8&gt;=81,"B+",IF(BK8&gt;=70,"B",IF(BK8&gt;=65,"C+",IF(BK8&gt;=60,"C",IF(BK8&gt;=55,"D+",IF(BK8&gt;=50,"D","F")))))))</f>
      </c>
      <c r="BN8" s="40" t="str">
        <f>IF(BL8&gt;90,"A",IF(BL8&gt;80,"B+",IF(BL8&gt;69,"B",IF(BL8&gt;64,"C+",IF(BL8&gt;59,"C",IF(BL8&gt;54,"D+",IF(BL8&gt;49,"D",IF(BL8&gt;=0,"F"))))))))</f>
        <v>B</v>
      </c>
      <c r="BO8" s="49">
        <f>IF(BN8&gt;=91, 4.00, IF(BN8&gt;=81, 3.50, IF(BN8&gt;=70, 3.00, IF(BN8&gt;=65, 2.50, IF(BN8&gt;=60, 2.00, IF(BN8&gt;=55, 1.50, IF(BN8&gt;=50, 1.00, 0.00)))))))</f>
      </c>
      <c r="BP8" s="49">
        <f>IF(BN8&gt;=91,"A",IF(BN8&gt;=81,"B+",IF(BN8&gt;=70,"B",IF(BN8&gt;=65,"C+",IF(BN8&gt;=60,"C",IF(BN8&gt;=55,"D+",IF(BN8&gt;=50,"D","F")))))))</f>
      </c>
      <c r="BQ8" s="40">
        <f>ROUND((AN8*3+AQ8*2+AT8*1+AW8*2+AZ8*1+BC8*1+BF8*2+BI8*2+BL8*2+BO8*3)/19, 2)</f>
      </c>
      <c r="BR8" s="49">
        <v>68</v>
      </c>
      <c r="BS8" s="49" t="str">
        <f>IF(BR8&gt;90,"4.00",IF(BR8&gt;80,"3.50",IF(BR8&gt;69,"3.00",IF(BR8&gt;64,"2.50",IF(BR8&gt;59,"2.00",IF(BR8&gt;54,"1.50",IF(BR8&gt;49,"1.00","0.00")))))))</f>
        <v>2.50</v>
      </c>
      <c r="BT8" s="40" t="str">
        <f>IF(BR8&gt;90,"A",IF(BR8&gt;80,"B+",IF(BR8&gt;69,"B",IF(BR8&gt;64,"C+",IF(BR8&gt;59,"C",IF(BR8&gt;54,"D+",IF(BR8&gt;49,"D",IF(BR8&gt;=0,"F"))))))))</f>
        <v>C+</v>
      </c>
      <c r="BU8" s="49">
        <v>77</v>
      </c>
      <c r="BV8" s="49" t="str">
        <f>IF(BU8&gt;90,"4.00",IF(BU8&gt;80,"3.50",IF(BU8&gt;69,"3.00",IF(BU8&gt;64,"2.50",IF(BU8&gt;59,"2.00",IF(BU8&gt;54,"1.50",IF(BU8&gt;49,"1.00","0.00")))))))</f>
        <v>3.00</v>
      </c>
      <c r="BW8" s="40" t="str">
        <f>IF(BU8&gt;90,"A",IF(BU8&gt;80,"B+",IF(BU8&gt;69,"B",IF(BU8&gt;64,"C+",IF(BU8&gt;59,"C",IF(BU8&gt;54,"D+",IF(BU8&gt;49,"D",IF(BU8&gt;=0,"F"))))))))</f>
        <v>B</v>
      </c>
      <c r="BX8" s="50">
        <f>(AX8*3+BA8*2+BD8*1+BG8*2+BJ8*1+BM8*1+BP8*2+BS8*2+BV8*2)/(3+2+1+2+1+1+2+2+2)</f>
        <v>2.8125</v>
      </c>
      <c r="BY8" s="50">
        <f>(AL8+BX8)/2</f>
        <v>2.5238970588235294</v>
      </c>
      <c r="BZ8" s="51">
        <f>RANK(BY8,$BY$7:BY38)</f>
        <v>15</v>
      </c>
      <c r="CA8" s="58"/>
      <c r="CB8" s="52"/>
      <c r="CC8" s="52"/>
      <c r="CD8" s="52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</row>
    <row r="9" ht="20" customHeight="1" spans="1:193" s="39" customFormat="1" x14ac:dyDescent="0.25">
      <c r="A9" s="40">
        <v>3</v>
      </c>
      <c r="B9" s="41" t="s">
        <v>57</v>
      </c>
      <c r="C9" s="40" t="s">
        <v>43</v>
      </c>
      <c r="D9" s="42" t="s">
        <v>58</v>
      </c>
      <c r="E9" s="42" t="s">
        <v>59</v>
      </c>
      <c r="F9" s="43" t="s">
        <v>60</v>
      </c>
      <c r="G9" s="43" t="s">
        <v>61</v>
      </c>
      <c r="H9" s="44"/>
      <c r="I9" s="42"/>
      <c r="J9" s="40">
        <v>1</v>
      </c>
      <c r="K9" s="55">
        <v>0</v>
      </c>
      <c r="L9" s="56">
        <f>IF(K9&gt;=91, 4.00, IF(K9&gt;=81, 3.50, IF(K9&gt;=70, 3.00, IF(K9&gt;=65, 2.50, IF(K9&gt;=60, 2.00, IF(K9&gt;=55, 1.50, IF(K9&gt;=50, 1.00, 0.00)))))))</f>
      </c>
      <c r="M9" s="57">
        <f>IF(K9&gt;=91,"A",IF(K9&gt;=81,"B+",IF(K9&gt;=70,"B",IF(K9&gt;=65,"C+",IF(K9&gt;=60,"C",IF(K9&gt;=55,"D+",IF(K9&gt;=50,"D","F")))))))</f>
      </c>
      <c r="N9" s="55">
        <v>27</v>
      </c>
      <c r="O9" s="56">
        <f>IF(N9&gt;=91, 4.00, IF(N9&gt;=81, 3.50, IF(N9&gt;=70, 3.00, IF(N9&gt;=65, 2.50, IF(N9&gt;=60, 2.00, IF(N9&gt;=55, 1.50, IF(N9&gt;=50, 1.00, 0.00)))))))</f>
      </c>
      <c r="P9" s="57">
        <f>IF(N9&gt;=91,"A",IF(N9&gt;=81,"B+",IF(N9&gt;=70,"B",IF(N9&gt;=65,"C+",IF(N9&gt;=60,"C",IF(N9&gt;=55,"D+",IF(N9&gt;=50,"D","F")))))))</f>
      </c>
      <c r="Q9" s="55">
        <v>28</v>
      </c>
      <c r="R9" s="56">
        <f>IF(Q9&gt;=91, 4.00, IF(Q9&gt;=81, 3.50, IF(Q9&gt;=70, 3.00, IF(Q9&gt;=65, 2.50, IF(Q9&gt;=60, 2.00, IF(Q9&gt;=55, 1.50, IF(Q9&gt;=50, 1.00, 0.00)))))))</f>
      </c>
      <c r="S9" s="57">
        <f>IF(Q9&gt;=91,"A",IF(Q9&gt;=81,"B+",IF(Q9&gt;=70,"B",IF(Q9&gt;=65,"C+",IF(Q9&gt;=60,"C",IF(Q9&gt;=55,"D+",IF(Q9&gt;=50,"D","F")))))))</f>
      </c>
      <c r="T9" s="55">
        <v>0</v>
      </c>
      <c r="U9" s="56">
        <f>IF(T9&gt;=91, 4.00, IF(T9&gt;=81, 3.50, IF(T9&gt;=70, 3.00, IF(T9&gt;=65, 2.50, IF(T9&gt;=60, 2.00, IF(T9&gt;=55, 1.50, IF(T9&gt;=50, 1.00, 0.00)))))))</f>
      </c>
      <c r="V9" s="57">
        <f>IF(T9&gt;=91,"A",IF(T9&gt;=81,"B+",IF(T9&gt;=70,"B",IF(T9&gt;=65,"C+",IF(T9&gt;=60,"C",IF(T9&gt;=55,"D+",IF(T9&gt;=50,"D","F")))))))</f>
      </c>
      <c r="W9" s="55">
        <v>0</v>
      </c>
      <c r="X9" s="56">
        <f>IF(W9&gt;=91, 4.00, IF(W9&gt;=81, 3.50, IF(W9&gt;=70, 3.00, IF(W9&gt;=65, 2.50, IF(W9&gt;=60, 2.00, IF(W9&gt;=55, 1.50, IF(W9&gt;=50, 1.00, 0.00)))))))</f>
      </c>
      <c r="Y9" s="57">
        <f>IF(W9&gt;=91,"A",IF(W9&gt;=81,"B+",IF(W9&gt;=70,"B",IF(W9&gt;=65,"C+",IF(W9&gt;=60,"C",IF(W9&gt;=55,"D+",IF(W9&gt;=50,"D","F")))))))</f>
      </c>
      <c r="Z9" s="55">
        <v>12.29</v>
      </c>
      <c r="AA9" s="56">
        <f>IF(Z9&gt;=91, 4.00, IF(Z9&gt;=81, 3.50, IF(Z9&gt;=70, 3.00, IF(Z9&gt;=65, 2.50, IF(Z9&gt;=60, 2.00, IF(Z9&gt;=55, 1.50, IF(Z9&gt;=50, 1.00, 0.00)))))))</f>
      </c>
      <c r="AB9" s="57">
        <f>IF(Z9&gt;=91,"A",IF(Z9&gt;=81,"B+",IF(Z9&gt;=70,"B",IF(Z9&gt;=65,"C+",IF(Z9&gt;=60,"C",IF(Z9&gt;=55,"D+",IF(Z9&gt;=50,"D","F")))))))</f>
      </c>
      <c r="AC9" s="55">
        <v>28</v>
      </c>
      <c r="AD9" s="56">
        <f>IF(AC9&gt;=91, 4.00, IF(AC9&gt;=81, 3.50, IF(AC9&gt;=70, 3.00, IF(AC9&gt;=65, 2.50, IF(AC9&gt;=60, 2.00, IF(AC9&gt;=55, 1.50, IF(AC9&gt;=50, 1.00, 0.00)))))))</f>
      </c>
      <c r="AE9" s="57">
        <f>IF(AC9&gt;=91,"A",IF(AC9&gt;=81,"B+",IF(AC9&gt;=70,"B",IF(AC9&gt;=65,"C+",IF(AC9&gt;=60,"C",IF(AC9&gt;=55,"D+",IF(AC9&gt;=50,"D","F")))))))</f>
      </c>
      <c r="AF9" s="56">
        <v>27</v>
      </c>
      <c r="AG9" s="56">
        <f>IF(AF9&gt;=91, 4.00, IF(AF9&gt;=81, 3.50, IF(AF9&gt;=70, 3.00, IF(AF9&gt;=65, 2.50, IF(AF9&gt;=60, 2.00, IF(AF9&gt;=55, 1.50, IF(AF9&gt;=50, 1.00, 0.00)))))))</f>
      </c>
      <c r="AH9" s="57">
        <f>IF(AF9&gt;=91,"A",IF(AF9&gt;=81,"B+",IF(AF9&gt;=70,"B",IF(AF9&gt;=65,"C+",IF(AF9&gt;=60,"C",IF(AF9&gt;=55,"D+",IF(AF9&gt;=50,"D","F")))))))</f>
      </c>
      <c r="AI9" s="40">
        <v>83</v>
      </c>
      <c r="AJ9" s="40">
        <f>IF(AI9&gt;=91, 4.00, IF(AI9&gt;=81, 3.50, IF(AI9&gt;=70, 3.00, IF(AI9&gt;=65, 2.50, IF(AI9&gt;=60, 2.00, IF(AI9&gt;=55, 1.50, IF(AI9&gt;=50, 1.00, 0.00)))))))</f>
      </c>
      <c r="AK9" s="40">
        <f>IF(AI9&gt;=91,"A",IF(AI9&gt;=81,"B+",IF(AI9&gt;=70,"B",IF(AI9&gt;=65,"C+",IF(AI9&gt;=60,"C",IF(AI9&gt;=55,"D+",IF(AI9&gt;=50,"D","F")))))))</f>
      </c>
      <c r="AL9" s="40">
        <f>ROUND((L9*3+O9*2+R9*1+U9*2+X9*1+AA9*2+AD9*2+AG9*2+AJ9*2)/17, 2)</f>
      </c>
      <c r="AM9" s="47">
        <v>78</v>
      </c>
      <c r="AN9" s="40">
        <f>IF(AM9&gt;=91, 4.00, IF(AM9&gt;=81, 3.50, IF(AM9&gt;=70, 3.00, IF(AM9&gt;=65, 2.50, IF(AM9&gt;=60, 2.00, IF(AM9&gt;=55, 1.50, IF(AM9&gt;=50, 1.00, 0.00)))))))</f>
      </c>
      <c r="AO9" s="41">
        <f>IF(AM9&gt;=91,"A",IF(AM9&gt;=81,"B+",IF(AM9&gt;=70,"B",IF(AM9&gt;=65,"C+",IF(AM9&gt;=60,"C",IF(AM9&gt;=55,"D+",IF(AM9&gt;=50,"D","F")))))))</f>
      </c>
      <c r="AP9" s="40" t="s">
        <v>43</v>
      </c>
      <c r="AQ9" s="42">
        <f>IF(AP9&gt;=91, 4.00, IF(AP9&gt;=81, 3.50, IF(AP9&gt;=70, 3.00, IF(AP9&gt;=65, 2.50, IF(AP9&gt;=60, 2.00, IF(AP9&gt;=55, 1.50, IF(AP9&gt;=50, 1.00, 0.00)))))))</f>
      </c>
      <c r="AR9" s="42">
        <f>IF(AP9&gt;=91,"A",IF(AP9&gt;=81,"B+",IF(AP9&gt;=70,"B",IF(AP9&gt;=65,"C+",IF(AP9&gt;=60,"C",IF(AP9&gt;=55,"D+",IF(AP9&gt;=50,"D","F")))))))</f>
      </c>
      <c r="AS9" s="43" t="s">
        <v>60</v>
      </c>
      <c r="AT9" s="43">
        <f>IF(AS9&gt;=91, 4.00, IF(AS9&gt;=81, 3.50, IF(AS9&gt;=70, 3.00, IF(AS9&gt;=65, 2.50, IF(AS9&gt;=60, 2.00, IF(AS9&gt;=55, 1.50, IF(AS9&gt;=50, 1.00, 0.00)))))))</f>
      </c>
      <c r="AU9" s="44">
        <f>IF(AS9&gt;=91,"A",IF(AS9&gt;=81,"B+",IF(AS9&gt;=70,"B",IF(AS9&gt;=65,"C+",IF(AS9&gt;=60,"C",IF(AS9&gt;=55,"D+",IF(AS9&gt;=50,"D","F")))))))</f>
      </c>
      <c r="AV9" s="42">
        <v>87</v>
      </c>
      <c r="AW9" s="59">
        <f>IF(AV9&gt;=91, 4.00, IF(AV9&gt;=81, 3.50, IF(AV9&gt;=70, 3.00, IF(AV9&gt;=65, 2.50, IF(AV9&gt;=60, 2.00, IF(AV9&gt;=55, 1.50, IF(AV9&gt;=50, 1.00, 0.00)))))))</f>
      </c>
      <c r="AX9" s="60">
        <f>IF(AV9&gt;=91,"A",IF(AV9&gt;=81,"B+",IF(AV9&gt;=70,"B",IF(AV9&gt;=65,"C+",IF(AV9&gt;=60,"C",IF(AV9&gt;=55,"D+",IF(AV9&gt;=50,"D","F")))))))</f>
      </c>
      <c r="AY9" s="60" t="str">
        <f>IF(AW9&gt;90,"A",IF(AW9&gt;80,"B+",IF(AW9&gt;69,"B",IF(AW9&gt;64,"C+",IF(AW9&gt;59,"C",IF(AW9&gt;54,"D+",IF(AW9&gt;49,"D",IF(AW9&gt;=0,"F"))))))))</f>
        <v>F</v>
      </c>
      <c r="AZ9" s="59">
        <f>IF(AY9&gt;=91, 4.00, IF(AY9&gt;=81, 3.50, IF(AY9&gt;=70, 3.00, IF(AY9&gt;=65, 2.50, IF(AY9&gt;=60, 2.00, IF(AY9&gt;=55, 1.50, IF(AY9&gt;=50, 1.00, 0.00)))))))</f>
      </c>
      <c r="BA9" s="60">
        <f>IF(AY9&gt;=91,"A",IF(AY9&gt;=81,"B+",IF(AY9&gt;=70,"B",IF(AY9&gt;=65,"C+",IF(AY9&gt;=60,"C",IF(AY9&gt;=55,"D+",IF(AY9&gt;=50,"D","F")))))))</f>
      </c>
      <c r="BB9" s="60" t="str">
        <f>IF(AZ9&gt;90,"A",IF(AZ9&gt;80,"B+",IF(AZ9&gt;69,"B",IF(AZ9&gt;64,"C+",IF(AZ9&gt;59,"C",IF(AZ9&gt;54,"D+",IF(AZ9&gt;49,"D",IF(AZ9&gt;=0,"F"))))))))</f>
        <v>F</v>
      </c>
      <c r="BC9" s="61">
        <f>IF(BB9&gt;=91, 4.00, IF(BB9&gt;=81, 3.50, IF(BB9&gt;=70, 3.00, IF(BB9&gt;=65, 2.50, IF(BB9&gt;=60, 2.00, IF(BB9&gt;=55, 1.50, IF(BB9&gt;=50, 1.00, 0.00)))))))</f>
      </c>
      <c r="BD9" s="60">
        <f>IF(BB9&gt;=91,"A",IF(BB9&gt;=81,"B+",IF(BB9&gt;=70,"B",IF(BB9&gt;=65,"C+",IF(BB9&gt;=60,"C",IF(BB9&gt;=55,"D+",IF(BB9&gt;=50,"D","F")))))))</f>
      </c>
      <c r="BE9" s="60" t="str">
        <f>IF(BC9&gt;90,"A",IF(BC9&gt;80,"B+",IF(BC9&gt;69,"B",IF(BC9&gt;64,"C+",IF(BC9&gt;59,"C",IF(BC9&gt;54,"D+",IF(BC9&gt;49,"D",IF(BC9&gt;=0,"F"))))))))</f>
        <v>F</v>
      </c>
      <c r="BF9" s="59">
        <f>IF(BE9&gt;=91, 4.00, IF(BE9&gt;=81, 3.50, IF(BE9&gt;=70, 3.00, IF(BE9&gt;=65, 2.50, IF(BE9&gt;=60, 2.00, IF(BE9&gt;=55, 1.50, IF(BE9&gt;=50, 1.00, 0.00)))))))</f>
      </c>
      <c r="BG9" s="60">
        <f>IF(BE9&gt;=91,"A",IF(BE9&gt;=81,"B+",IF(BE9&gt;=70,"B",IF(BE9&gt;=65,"C+",IF(BE9&gt;=60,"C",IF(BE9&gt;=55,"D+",IF(BE9&gt;=50,"D","F")))))))</f>
      </c>
      <c r="BH9" s="60" t="str">
        <f>IF(BF9&gt;90,"A",IF(BF9&gt;80,"B+",IF(BF9&gt;69,"B",IF(BF9&gt;64,"C+",IF(BF9&gt;59,"C",IF(BF9&gt;54,"D+",IF(BF9&gt;49,"D",IF(BF9&gt;=0,"F"))))))))</f>
        <v>F</v>
      </c>
      <c r="BI9" s="61">
        <f>IF(BH9&gt;=91, 4.00, IF(BH9&gt;=81, 3.50, IF(BH9&gt;=70, 3.00, IF(BH9&gt;=65, 2.50, IF(BH9&gt;=60, 2.00, IF(BH9&gt;=55, 1.50, IF(BH9&gt;=50, 1.00, 0.00)))))))</f>
      </c>
      <c r="BJ9" s="60">
        <f>IF(BH9&gt;=91,"A",IF(BH9&gt;=81,"B+",IF(BH9&gt;=70,"B",IF(BH9&gt;=65,"C+",IF(BH9&gt;=60,"C",IF(BH9&gt;=55,"D+",IF(BH9&gt;=50,"D","F")))))))</f>
      </c>
      <c r="BK9" s="60" t="str">
        <f>IF(BI9&gt;90,"A",IF(BI9&gt;80,"B+",IF(BI9&gt;69,"B",IF(BI9&gt;64,"C+",IF(BI9&gt;59,"C",IF(BI9&gt;54,"D+",IF(BI9&gt;49,"D",IF(BI9&gt;=0,"F"))))))))</f>
        <v>F</v>
      </c>
      <c r="BL9" s="61">
        <f>IF(BK9&gt;=91, 4.00, IF(BK9&gt;=81, 3.50, IF(BK9&gt;=70, 3.00, IF(BK9&gt;=65, 2.50, IF(BK9&gt;=60, 2.00, IF(BK9&gt;=55, 1.50, IF(BK9&gt;=50, 1.00, 0.00)))))))</f>
      </c>
      <c r="BM9" s="60">
        <f>IF(BK9&gt;=91,"A",IF(BK9&gt;=81,"B+",IF(BK9&gt;=70,"B",IF(BK9&gt;=65,"C+",IF(BK9&gt;=60,"C",IF(BK9&gt;=55,"D+",IF(BK9&gt;=50,"D","F")))))))</f>
      </c>
      <c r="BN9" s="60" t="str">
        <f>IF(BL9&gt;90,"A",IF(BL9&gt;80,"B+",IF(BL9&gt;69,"B",IF(BL9&gt;64,"C+",IF(BL9&gt;59,"C",IF(BL9&gt;54,"D+",IF(BL9&gt;49,"D",IF(BL9&gt;=0,"F"))))))))</f>
        <v>F</v>
      </c>
      <c r="BO9" s="49">
        <f>IF(BN9&gt;=91, 4.00, IF(BN9&gt;=81, 3.50, IF(BN9&gt;=70, 3.00, IF(BN9&gt;=65, 2.50, IF(BN9&gt;=60, 2.00, IF(BN9&gt;=55, 1.50, IF(BN9&gt;=50, 1.00, 0.00)))))))</f>
      </c>
      <c r="BP9" s="49">
        <f>IF(BN9&gt;=91,"A",IF(BN9&gt;=81,"B+",IF(BN9&gt;=70,"B",IF(BN9&gt;=65,"C+",IF(BN9&gt;=60,"C",IF(BN9&gt;=55,"D+",IF(BN9&gt;=50,"D","F")))))))</f>
      </c>
      <c r="BQ9" s="40">
        <f>ROUND((AN9*3+AQ9*2+AT9*1+AW9*2+AZ9*1+BC9*1+BF9*2+BI9*2+BL9*2+BO9*3)/19, 2)</f>
      </c>
      <c r="BR9" s="62"/>
      <c r="BS9" s="62" t="str">
        <f>IF(BR9&gt;90,"4.00",IF(BR9&gt;80,"3.50",IF(BR9&gt;69,"3.00",IF(BR9&gt;64,"2.50",IF(BR9&gt;59,"2.00",IF(BR9&gt;54,"1.50",IF(BR9&gt;49,"1.00","0.00")))))))</f>
        <v>0.00</v>
      </c>
      <c r="BT9" s="63" t="str">
        <f>IF(BR9&gt;90,"A",IF(BR9&gt;80,"B+",IF(BR9&gt;69,"B",IF(BR9&gt;64,"C+",IF(BR9&gt;59,"C",IF(BR9&gt;54,"D+",IF(BR9&gt;49,"D",IF(BR9&gt;=0,"F"))))))))</f>
        <v>F</v>
      </c>
      <c r="BU9" s="62"/>
      <c r="BV9" s="62" t="str">
        <f>IF(BU9&gt;90,"4.00",IF(BU9&gt;80,"3.50",IF(BU9&gt;69,"3.00",IF(BU9&gt;64,"2.50",IF(BU9&gt;59,"2.00",IF(BU9&gt;54,"1.50",IF(BU9&gt;49,"1.00","0.00")))))))</f>
        <v>0.00</v>
      </c>
      <c r="BW9" s="63" t="str">
        <f>IF(BU9&gt;90,"A",IF(BU9&gt;80,"B+",IF(BU9&gt;69,"B",IF(BU9&gt;64,"C+",IF(BU9&gt;59,"C",IF(BU9&gt;54,"D+",IF(BU9&gt;49,"D",IF(BU9&gt;=0,"F"))))))))</f>
        <v>F</v>
      </c>
      <c r="BX9" s="50">
        <f>(AX9*3+BA9*2+BD9*1+BG9*2+BJ9*1+BM9*1+BP9*2+BS9*2+BV9*2)/(3+2+1+2+1+1+2+2+2)</f>
        <v>0</v>
      </c>
      <c r="BY9" s="50">
        <f>(AL9+BX9)/2</f>
        <v>0.20588235294117646</v>
      </c>
      <c r="BZ9" s="51">
        <f>RANK(BY9,$BY$7:BY39)</f>
        <v>30</v>
      </c>
      <c r="CA9" s="58"/>
      <c r="CB9" s="52"/>
      <c r="CC9" s="52"/>
      <c r="CD9" s="52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</row>
    <row r="10" ht="20" customHeight="1" spans="1:193" s="39" customFormat="1" x14ac:dyDescent="0.25">
      <c r="A10" s="40">
        <v>4</v>
      </c>
      <c r="B10" s="41" t="s">
        <v>62</v>
      </c>
      <c r="C10" s="40" t="s">
        <v>51</v>
      </c>
      <c r="D10" s="42" t="s">
        <v>63</v>
      </c>
      <c r="E10" s="42" t="s">
        <v>64</v>
      </c>
      <c r="F10" s="43" t="s">
        <v>65</v>
      </c>
      <c r="G10" s="43" t="s">
        <v>66</v>
      </c>
      <c r="H10" s="44" t="s">
        <v>67</v>
      </c>
      <c r="I10" s="45" t="s">
        <v>68</v>
      </c>
      <c r="J10" s="40">
        <v>1</v>
      </c>
      <c r="K10" s="55">
        <v>37</v>
      </c>
      <c r="L10" s="56">
        <f>IF(K10&gt;=91, 4.00, IF(K10&gt;=81, 3.50, IF(K10&gt;=70, 3.00, IF(K10&gt;=65, 2.50, IF(K10&gt;=60, 2.00, IF(K10&gt;=55, 1.50, IF(K10&gt;=50, 1.00, 0.00)))))))</f>
      </c>
      <c r="M10" s="57">
        <f>IF(K10&gt;=91,"A",IF(K10&gt;=81,"B+",IF(K10&gt;=70,"B",IF(K10&gt;=65,"C+",IF(K10&gt;=60,"C",IF(K10&gt;=55,"D+",IF(K10&gt;=50,"D","F")))))))</f>
      </c>
      <c r="N10" s="42">
        <v>57</v>
      </c>
      <c r="O10" s="40">
        <f>IF(N10&gt;=91, 4.00, IF(N10&gt;=81, 3.50, IF(N10&gt;=70, 3.00, IF(N10&gt;=65, 2.50, IF(N10&gt;=60, 2.00, IF(N10&gt;=55, 1.50, IF(N10&gt;=50, 1.00, 0.00)))))))</f>
      </c>
      <c r="P10" s="40">
        <f>IF(N10&gt;=91,"A",IF(N10&gt;=81,"B+",IF(N10&gt;=70,"B",IF(N10&gt;=65,"C+",IF(N10&gt;=60,"C",IF(N10&gt;=55,"D+",IF(N10&gt;=50,"D","F")))))))</f>
      </c>
      <c r="Q10" s="42">
        <v>87</v>
      </c>
      <c r="R10" s="40">
        <f>IF(Q10&gt;=91, 4.00, IF(Q10&gt;=81, 3.50, IF(Q10&gt;=70, 3.00, IF(Q10&gt;=65, 2.50, IF(Q10&gt;=60, 2.00, IF(Q10&gt;=55, 1.50, IF(Q10&gt;=50, 1.00, 0.00)))))))</f>
      </c>
      <c r="S10" s="40">
        <f>IF(Q10&gt;=91,"A",IF(Q10&gt;=81,"B+",IF(Q10&gt;=70,"B",IF(Q10&gt;=65,"C+",IF(Q10&gt;=60,"C",IF(Q10&gt;=55,"D+",IF(Q10&gt;=50,"D","F")))))))</f>
      </c>
      <c r="T10" s="55">
        <v>48</v>
      </c>
      <c r="U10" s="56">
        <f>IF(T10&gt;=91, 4.00, IF(T10&gt;=81, 3.50, IF(T10&gt;=70, 3.00, IF(T10&gt;=65, 2.50, IF(T10&gt;=60, 2.00, IF(T10&gt;=55, 1.50, IF(T10&gt;=50, 1.00, 0.00)))))))</f>
      </c>
      <c r="V10" s="57">
        <f>IF(T10&gt;=91,"A",IF(T10&gt;=81,"B+",IF(T10&gt;=70,"B",IF(T10&gt;=65,"C+",IF(T10&gt;=60,"C",IF(T10&gt;=55,"D+",IF(T10&gt;=50,"D","F")))))))</f>
      </c>
      <c r="W10" s="55">
        <v>29</v>
      </c>
      <c r="X10" s="56">
        <f>IF(W10&gt;=91, 4.00, IF(W10&gt;=81, 3.50, IF(W10&gt;=70, 3.00, IF(W10&gt;=65, 2.50, IF(W10&gt;=60, 2.00, IF(W10&gt;=55, 1.50, IF(W10&gt;=50, 1.00, 0.00)))))))</f>
      </c>
      <c r="Y10" s="57">
        <f>IF(W10&gt;=91,"A",IF(W10&gt;=81,"B+",IF(W10&gt;=70,"B",IF(W10&gt;=65,"C+",IF(W10&gt;=60,"C",IF(W10&gt;=55,"D+",IF(W10&gt;=50,"D","F")))))))</f>
      </c>
      <c r="Z10" s="46">
        <v>82.64</v>
      </c>
      <c r="AA10" s="40">
        <f>IF(Z10&gt;=91, 4.00, IF(Z10&gt;=81, 3.50, IF(Z10&gt;=70, 3.00, IF(Z10&gt;=65, 2.50, IF(Z10&gt;=60, 2.00, IF(Z10&gt;=55, 1.50, IF(Z10&gt;=50, 1.00, 0.00)))))))</f>
      </c>
      <c r="AB10" s="40">
        <f>IF(Z10&gt;=91,"A",IF(Z10&gt;=81,"B+",IF(Z10&gt;=70,"B",IF(Z10&gt;=65,"C+",IF(Z10&gt;=60,"C",IF(Z10&gt;=55,"D+",IF(Z10&gt;=50,"D","F")))))))</f>
      </c>
      <c r="AC10" s="46">
        <v>58.25</v>
      </c>
      <c r="AD10" s="40">
        <f>IF(AC10&gt;=91, 4.00, IF(AC10&gt;=81, 3.50, IF(AC10&gt;=70, 3.00, IF(AC10&gt;=65, 2.50, IF(AC10&gt;=60, 2.00, IF(AC10&gt;=55, 1.50, IF(AC10&gt;=50, 1.00, 0.00)))))))</f>
      </c>
      <c r="AE10" s="40">
        <f>IF(AC10&gt;=91,"A",IF(AC10&gt;=81,"B+",IF(AC10&gt;=70,"B",IF(AC10&gt;=65,"C+",IF(AC10&gt;=60,"C",IF(AC10&gt;=55,"D+",IF(AC10&gt;=50,"D","F")))))))</f>
      </c>
      <c r="AF10" s="40">
        <v>70</v>
      </c>
      <c r="AG10" s="40">
        <f>IF(AF10&gt;=91, 4.00, IF(AF10&gt;=81, 3.50, IF(AF10&gt;=70, 3.00, IF(AF10&gt;=65, 2.50, IF(AF10&gt;=60, 2.00, IF(AF10&gt;=55, 1.50, IF(AF10&gt;=50, 1.00, 0.00)))))))</f>
      </c>
      <c r="AH10" s="40">
        <f>IF(AF10&gt;=91,"A",IF(AF10&gt;=81,"B+",IF(AF10&gt;=70,"B",IF(AF10&gt;=65,"C+",IF(AF10&gt;=60,"C",IF(AF10&gt;=55,"D+",IF(AF10&gt;=50,"D","F")))))))</f>
      </c>
      <c r="AI10" s="40">
        <v>84</v>
      </c>
      <c r="AJ10" s="40">
        <f>IF(AI10&gt;=91, 4.00, IF(AI10&gt;=81, 3.50, IF(AI10&gt;=70, 3.00, IF(AI10&gt;=65, 2.50, IF(AI10&gt;=60, 2.00, IF(AI10&gt;=55, 1.50, IF(AI10&gt;=50, 1.00, 0.00)))))))</f>
      </c>
      <c r="AK10" s="40">
        <f>IF(AI10&gt;=91,"A",IF(AI10&gt;=81,"B+",IF(AI10&gt;=70,"B",IF(AI10&gt;=65,"C+",IF(AI10&gt;=60,"C",IF(AI10&gt;=55,"D+",IF(AI10&gt;=50,"D","F")))))))</f>
      </c>
      <c r="AL10" s="40">
        <f>ROUND((L10*3+O10*2+R10*1+U10*2+X10*1+AA10*2+AD10*2+AG10*2+AJ10*2)/17, 2)</f>
      </c>
      <c r="AM10" s="47">
        <v>81</v>
      </c>
      <c r="AN10" s="40">
        <f>IF(AM10&gt;=91, 4.00, IF(AM10&gt;=81, 3.50, IF(AM10&gt;=70, 3.00, IF(AM10&gt;=65, 2.50, IF(AM10&gt;=60, 2.00, IF(AM10&gt;=55, 1.50, IF(AM10&gt;=50, 1.00, 0.00)))))))</f>
      </c>
      <c r="AO10" s="41">
        <f>IF(AM10&gt;=91,"A",IF(AM10&gt;=81,"B+",IF(AM10&gt;=70,"B",IF(AM10&gt;=65,"C+",IF(AM10&gt;=60,"C",IF(AM10&gt;=55,"D+",IF(AM10&gt;=50,"D","F")))))))</f>
      </c>
      <c r="AP10" s="40" t="s">
        <v>51</v>
      </c>
      <c r="AQ10" s="42">
        <f>IF(AP10&gt;=91, 4.00, IF(AP10&gt;=81, 3.50, IF(AP10&gt;=70, 3.00, IF(AP10&gt;=65, 2.50, IF(AP10&gt;=60, 2.00, IF(AP10&gt;=55, 1.50, IF(AP10&gt;=50, 1.00, 0.00)))))))</f>
      </c>
      <c r="AR10" s="42">
        <f>IF(AP10&gt;=91,"A",IF(AP10&gt;=81,"B+",IF(AP10&gt;=70,"B",IF(AP10&gt;=65,"C+",IF(AP10&gt;=60,"C",IF(AP10&gt;=55,"D+",IF(AP10&gt;=50,"D","F")))))))</f>
      </c>
      <c r="AS10" s="43" t="s">
        <v>65</v>
      </c>
      <c r="AT10" s="43">
        <f>IF(AS10&gt;=91, 4.00, IF(AS10&gt;=81, 3.50, IF(AS10&gt;=70, 3.00, IF(AS10&gt;=65, 2.50, IF(AS10&gt;=60, 2.00, IF(AS10&gt;=55, 1.50, IF(AS10&gt;=50, 1.00, 0.00)))))))</f>
      </c>
      <c r="AU10" s="44">
        <f>IF(AS10&gt;=91,"A",IF(AS10&gt;=81,"B+",IF(AS10&gt;=70,"B",IF(AS10&gt;=65,"C+",IF(AS10&gt;=60,"C",IF(AS10&gt;=55,"D+",IF(AS10&gt;=50,"D","F")))))))</f>
      </c>
      <c r="AV10" s="45" t="s">
        <v>68</v>
      </c>
      <c r="AW10" s="48">
        <f>IF(AV10&gt;=91, 4.00, IF(AV10&gt;=81, 3.50, IF(AV10&gt;=70, 3.00, IF(AV10&gt;=65, 2.50, IF(AV10&gt;=60, 2.00, IF(AV10&gt;=55, 1.50, IF(AV10&gt;=50, 1.00, 0.00)))))))</f>
      </c>
      <c r="AX10" s="49">
        <f>IF(AV10&gt;=91,"A",IF(AV10&gt;=81,"B+",IF(AV10&gt;=70,"B",IF(AV10&gt;=65,"C+",IF(AV10&gt;=60,"C",IF(AV10&gt;=55,"D+",IF(AV10&gt;=50,"D","F")))))))</f>
      </c>
      <c r="AY10" s="40" t="str">
        <f>IF(AW10&gt;90,"A",IF(AW10&gt;80,"B+",IF(AW10&gt;69,"B",IF(AW10&gt;64,"C+",IF(AW10&gt;59,"C",IF(AW10&gt;54,"D+",IF(AW10&gt;49,"D",IF(AW10&gt;=0,"F"))))))))</f>
        <v>B</v>
      </c>
      <c r="AZ10" s="48">
        <f>IF(AY10&gt;=91, 4.00, IF(AY10&gt;=81, 3.50, IF(AY10&gt;=70, 3.00, IF(AY10&gt;=65, 2.50, IF(AY10&gt;=60, 2.00, IF(AY10&gt;=55, 1.50, IF(AY10&gt;=50, 1.00, 0.00)))))))</f>
      </c>
      <c r="BA10" s="49">
        <f>IF(AY10&gt;=91,"A",IF(AY10&gt;=81,"B+",IF(AY10&gt;=70,"B",IF(AY10&gt;=65,"C+",IF(AY10&gt;=60,"C",IF(AY10&gt;=55,"D+",IF(AY10&gt;=50,"D","F")))))))</f>
      </c>
      <c r="BB10" s="40" t="str">
        <f>IF(AZ10&gt;90,"A",IF(AZ10&gt;80,"B+",IF(AZ10&gt;69,"B",IF(AZ10&gt;64,"C+",IF(AZ10&gt;59,"C",IF(AZ10&gt;54,"D+",IF(AZ10&gt;49,"D",IF(AZ10&gt;=0,"F"))))))))</f>
        <v>C</v>
      </c>
      <c r="BC10" s="43">
        <f>IF(BB10&gt;=91, 4.00, IF(BB10&gt;=81, 3.50, IF(BB10&gt;=70, 3.00, IF(BB10&gt;=65, 2.50, IF(BB10&gt;=60, 2.00, IF(BB10&gt;=55, 1.50, IF(BB10&gt;=50, 1.00, 0.00)))))))</f>
      </c>
      <c r="BD10" s="49">
        <f>IF(BB10&gt;=91,"A",IF(BB10&gt;=81,"B+",IF(BB10&gt;=70,"B",IF(BB10&gt;=65,"C+",IF(BB10&gt;=60,"C",IF(BB10&gt;=55,"D+",IF(BB10&gt;=50,"D","F")))))))</f>
      </c>
      <c r="BE10" s="40" t="str">
        <f>IF(BC10&gt;90,"A",IF(BC10&gt;80,"B+",IF(BC10&gt;69,"B",IF(BC10&gt;64,"C+",IF(BC10&gt;59,"C",IF(BC10&gt;54,"D+",IF(BC10&gt;49,"D",IF(BC10&gt;=0,"F"))))))))</f>
        <v>D+</v>
      </c>
      <c r="BF10" s="48">
        <f>IF(BE10&gt;=91, 4.00, IF(BE10&gt;=81, 3.50, IF(BE10&gt;=70, 3.00, IF(BE10&gt;=65, 2.50, IF(BE10&gt;=60, 2.00, IF(BE10&gt;=55, 1.50, IF(BE10&gt;=50, 1.00, 0.00)))))))</f>
      </c>
      <c r="BG10" s="49">
        <f>IF(BE10&gt;=91,"A",IF(BE10&gt;=81,"B+",IF(BE10&gt;=70,"B",IF(BE10&gt;=65,"C+",IF(BE10&gt;=60,"C",IF(BE10&gt;=55,"D+",IF(BE10&gt;=50,"D","F")))))))</f>
      </c>
      <c r="BH10" s="40" t="str">
        <f>IF(BF10&gt;90,"A",IF(BF10&gt;80,"B+",IF(BF10&gt;69,"B",IF(BF10&gt;64,"C+",IF(BF10&gt;59,"C",IF(BF10&gt;54,"D+",IF(BF10&gt;49,"D",IF(BF10&gt;=0,"F"))))))))</f>
        <v>D</v>
      </c>
      <c r="BI10" s="43">
        <f>IF(BH10&gt;=91, 4.00, IF(BH10&gt;=81, 3.50, IF(BH10&gt;=70, 3.00, IF(BH10&gt;=65, 2.50, IF(BH10&gt;=60, 2.00, IF(BH10&gt;=55, 1.50, IF(BH10&gt;=50, 1.00, 0.00)))))))</f>
      </c>
      <c r="BJ10" s="49">
        <f>IF(BH10&gt;=91,"A",IF(BH10&gt;=81,"B+",IF(BH10&gt;=70,"B",IF(BH10&gt;=65,"C+",IF(BH10&gt;=60,"C",IF(BH10&gt;=55,"D+",IF(BH10&gt;=50,"D","F")))))))</f>
      </c>
      <c r="BK10" s="40" t="str">
        <f>IF(BI10&gt;90,"A",IF(BI10&gt;80,"B+",IF(BI10&gt;69,"B",IF(BI10&gt;64,"C+",IF(BI10&gt;59,"C",IF(BI10&gt;54,"D+",IF(BI10&gt;49,"D",IF(BI10&gt;=0,"F"))))))))</f>
        <v>B</v>
      </c>
      <c r="BL10" s="43">
        <f>IF(BK10&gt;=91, 4.00, IF(BK10&gt;=81, 3.50, IF(BK10&gt;=70, 3.00, IF(BK10&gt;=65, 2.50, IF(BK10&gt;=60, 2.00, IF(BK10&gt;=55, 1.50, IF(BK10&gt;=50, 1.00, 0.00)))))))</f>
      </c>
      <c r="BM10" s="49">
        <f>IF(BK10&gt;=91,"A",IF(BK10&gt;=81,"B+",IF(BK10&gt;=70,"B",IF(BK10&gt;=65,"C+",IF(BK10&gt;=60,"C",IF(BK10&gt;=55,"D+",IF(BK10&gt;=50,"D","F")))))))</f>
      </c>
      <c r="BN10" s="40" t="str">
        <f>IF(BL10&gt;90,"A",IF(BL10&gt;80,"B+",IF(BL10&gt;69,"B",IF(BL10&gt;64,"C+",IF(BL10&gt;59,"C",IF(BL10&gt;54,"D+",IF(BL10&gt;49,"D",IF(BL10&gt;=0,"F"))))))))</f>
        <v>C</v>
      </c>
      <c r="BO10" s="49">
        <f>IF(BN10&gt;=91, 4.00, IF(BN10&gt;=81, 3.50, IF(BN10&gt;=70, 3.00, IF(BN10&gt;=65, 2.50, IF(BN10&gt;=60, 2.00, IF(BN10&gt;=55, 1.50, IF(BN10&gt;=50, 1.00, 0.00)))))))</f>
      </c>
      <c r="BP10" s="49">
        <f>IF(BN10&gt;=91,"A",IF(BN10&gt;=81,"B+",IF(BN10&gt;=70,"B",IF(BN10&gt;=65,"C+",IF(BN10&gt;=60,"C",IF(BN10&gt;=55,"D+",IF(BN10&gt;=50,"D","F")))))))</f>
      </c>
      <c r="BQ10" s="40">
        <f>ROUND((AN10*3+AQ10*2+AT10*1+AW10*2+AZ10*1+BC10*1+BF10*2+BI10*2+BL10*2+BO10*3)/19, 2)</f>
      </c>
      <c r="BR10" s="49">
        <v>52</v>
      </c>
      <c r="BS10" s="49" t="str">
        <f>IF(BR10&gt;90,"4.00",IF(BR10&gt;80,"3.50",IF(BR10&gt;69,"3.00",IF(BR10&gt;64,"2.50",IF(BR10&gt;59,"2.00",IF(BR10&gt;54,"1.50",IF(BR10&gt;49,"1.00","0.00")))))))</f>
        <v>1.00</v>
      </c>
      <c r="BT10" s="40" t="str">
        <f>IF(BR10&gt;90,"A",IF(BR10&gt;80,"B+",IF(BR10&gt;69,"B",IF(BR10&gt;64,"C+",IF(BR10&gt;59,"C",IF(BR10&gt;54,"D+",IF(BR10&gt;49,"D",IF(BR10&gt;=0,"F"))))))))</f>
        <v>D</v>
      </c>
      <c r="BU10" s="49">
        <v>62</v>
      </c>
      <c r="BV10" s="49" t="str">
        <f>IF(BU10&gt;90,"4.00",IF(BU10&gt;80,"3.50",IF(BU10&gt;69,"3.00",IF(BU10&gt;64,"2.50",IF(BU10&gt;59,"2.00",IF(BU10&gt;54,"1.50",IF(BU10&gt;49,"1.00","0.00")))))))</f>
        <v>2.00</v>
      </c>
      <c r="BW10" s="40" t="str">
        <f>IF(BU10&gt;90,"A",IF(BU10&gt;80,"B+",IF(BU10&gt;69,"B",IF(BU10&gt;64,"C+",IF(BU10&gt;59,"C",IF(BU10&gt;54,"D+",IF(BU10&gt;49,"D",IF(BU10&gt;=0,"F"))))))))</f>
        <v>C</v>
      </c>
      <c r="BX10" s="50">
        <f>(AX10*3+BA10*2+BD10*1+BG10*2+BJ10*1+BM10*1+BP10*2+BS10*2+BV10*2)/(3+2+1+2+1+1+2+2+2)</f>
        <v>2.03125</v>
      </c>
      <c r="BY10" s="50">
        <f>(AL10+BX10)/2</f>
        <v>1.7803308823529411</v>
      </c>
      <c r="BZ10" s="51">
        <f>RANK(BY10,$BY$7:BY37)</f>
        <v>19</v>
      </c>
      <c r="CA10" s="40"/>
      <c r="CB10" s="52"/>
      <c r="CC10" s="52"/>
      <c r="CD10" s="52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</row>
    <row r="11" ht="20" customHeight="1" spans="1:193" s="39" customFormat="1" x14ac:dyDescent="0.25">
      <c r="A11" s="40">
        <v>5</v>
      </c>
      <c r="B11" s="41" t="s">
        <v>69</v>
      </c>
      <c r="C11" s="40" t="s">
        <v>51</v>
      </c>
      <c r="D11" s="42" t="s">
        <v>70</v>
      </c>
      <c r="E11" s="42" t="s">
        <v>71</v>
      </c>
      <c r="F11" s="43" t="s">
        <v>72</v>
      </c>
      <c r="G11" s="43" t="s">
        <v>73</v>
      </c>
      <c r="H11" s="64">
        <v>38691</v>
      </c>
      <c r="I11" s="45" t="s">
        <v>49</v>
      </c>
      <c r="J11" s="40">
        <v>1</v>
      </c>
      <c r="K11" s="55">
        <v>26</v>
      </c>
      <c r="L11" s="56">
        <f>IF(K11&gt;=91, 4.00, IF(K11&gt;=81, 3.50, IF(K11&gt;=70, 3.00, IF(K11&gt;=65, 2.50, IF(K11&gt;=60, 2.00, IF(K11&gt;=55, 1.50, IF(K11&gt;=50, 1.00, 0.00)))))))</f>
      </c>
      <c r="M11" s="57">
        <f>IF(K11&gt;=91,"A",IF(K11&gt;=81,"B+",IF(K11&gt;=70,"B",IF(K11&gt;=65,"C+",IF(K11&gt;=60,"C",IF(K11&gt;=55,"D+",IF(K11&gt;=50,"D","F")))))))</f>
      </c>
      <c r="N11" s="42">
        <v>52</v>
      </c>
      <c r="O11" s="40">
        <f>IF(N11&gt;=91, 4.00, IF(N11&gt;=81, 3.50, IF(N11&gt;=70, 3.00, IF(N11&gt;=65, 2.50, IF(N11&gt;=60, 2.00, IF(N11&gt;=55, 1.50, IF(N11&gt;=50, 1.00, 0.00)))))))</f>
      </c>
      <c r="P11" s="40">
        <f>IF(N11&gt;=91,"A",IF(N11&gt;=81,"B+",IF(N11&gt;=70,"B",IF(N11&gt;=65,"C+",IF(N11&gt;=60,"C",IF(N11&gt;=55,"D+",IF(N11&gt;=50,"D","F")))))))</f>
      </c>
      <c r="Q11" s="42">
        <v>57</v>
      </c>
      <c r="R11" s="40">
        <f>IF(Q11&gt;=91, 4.00, IF(Q11&gt;=81, 3.50, IF(Q11&gt;=70, 3.00, IF(Q11&gt;=65, 2.50, IF(Q11&gt;=60, 2.00, IF(Q11&gt;=55, 1.50, IF(Q11&gt;=50, 1.00, 0.00)))))))</f>
      </c>
      <c r="S11" s="40">
        <f>IF(Q11&gt;=91,"A",IF(Q11&gt;=81,"B+",IF(Q11&gt;=70,"B",IF(Q11&gt;=65,"C+",IF(Q11&gt;=60,"C",IF(Q11&gt;=55,"D+",IF(Q11&gt;=50,"D","F")))))))</f>
      </c>
      <c r="T11" s="55">
        <v>46</v>
      </c>
      <c r="U11" s="56">
        <f>IF(T11&gt;=91, 4.00, IF(T11&gt;=81, 3.50, IF(T11&gt;=70, 3.00, IF(T11&gt;=65, 2.50, IF(T11&gt;=60, 2.00, IF(T11&gt;=55, 1.50, IF(T11&gt;=50, 1.00, 0.00)))))))</f>
      </c>
      <c r="V11" s="57">
        <f>IF(T11&gt;=91,"A",IF(T11&gt;=81,"B+",IF(T11&gt;=70,"B",IF(T11&gt;=65,"C+",IF(T11&gt;=60,"C",IF(T11&gt;=55,"D+",IF(T11&gt;=50,"D","F")))))))</f>
      </c>
      <c r="W11" s="55">
        <v>28</v>
      </c>
      <c r="X11" s="56">
        <f>IF(W11&gt;=91, 4.00, IF(W11&gt;=81, 3.50, IF(W11&gt;=70, 3.00, IF(W11&gt;=65, 2.50, IF(W11&gt;=60, 2.00, IF(W11&gt;=55, 1.50, IF(W11&gt;=50, 1.00, 0.00)))))))</f>
      </c>
      <c r="Y11" s="57">
        <f>IF(W11&gt;=91,"A",IF(W11&gt;=81,"B+",IF(W11&gt;=70,"B",IF(W11&gt;=65,"C+",IF(W11&gt;=60,"C",IF(W11&gt;=55,"D+",IF(W11&gt;=50,"D","F")))))))</f>
      </c>
      <c r="Z11" s="46">
        <v>87.29</v>
      </c>
      <c r="AA11" s="40">
        <f>IF(Z11&gt;=91, 4.00, IF(Z11&gt;=81, 3.50, IF(Z11&gt;=70, 3.00, IF(Z11&gt;=65, 2.50, IF(Z11&gt;=60, 2.00, IF(Z11&gt;=55, 1.50, IF(Z11&gt;=50, 1.00, 0.00)))))))</f>
      </c>
      <c r="AB11" s="40">
        <f>IF(Z11&gt;=91,"A",IF(Z11&gt;=81,"B+",IF(Z11&gt;=70,"B",IF(Z11&gt;=65,"C+",IF(Z11&gt;=60,"C",IF(Z11&gt;=55,"D+",IF(Z11&gt;=50,"D","F")))))))</f>
      </c>
      <c r="AC11" s="46">
        <v>58</v>
      </c>
      <c r="AD11" s="40">
        <f>IF(AC11&gt;=91, 4.00, IF(AC11&gt;=81, 3.50, IF(AC11&gt;=70, 3.00, IF(AC11&gt;=65, 2.50, IF(AC11&gt;=60, 2.00, IF(AC11&gt;=55, 1.50, IF(AC11&gt;=50, 1.00, 0.00)))))))</f>
      </c>
      <c r="AE11" s="40">
        <f>IF(AC11&gt;=91,"A",IF(AC11&gt;=81,"B+",IF(AC11&gt;=70,"B",IF(AC11&gt;=65,"C+",IF(AC11&gt;=60,"C",IF(AC11&gt;=55,"D+",IF(AC11&gt;=50,"D","F")))))))</f>
      </c>
      <c r="AF11" s="40">
        <v>76</v>
      </c>
      <c r="AG11" s="40">
        <f>IF(AF11&gt;=91, 4.00, IF(AF11&gt;=81, 3.50, IF(AF11&gt;=70, 3.00, IF(AF11&gt;=65, 2.50, IF(AF11&gt;=60, 2.00, IF(AF11&gt;=55, 1.50, IF(AF11&gt;=50, 1.00, 0.00)))))))</f>
      </c>
      <c r="AH11" s="40">
        <f>IF(AF11&gt;=91,"A",IF(AF11&gt;=81,"B+",IF(AF11&gt;=70,"B",IF(AF11&gt;=65,"C+",IF(AF11&gt;=60,"C",IF(AF11&gt;=55,"D+",IF(AF11&gt;=50,"D","F")))))))</f>
      </c>
      <c r="AI11" s="40">
        <v>85</v>
      </c>
      <c r="AJ11" s="40">
        <f>IF(AI11&gt;=91, 4.00, IF(AI11&gt;=81, 3.50, IF(AI11&gt;=70, 3.00, IF(AI11&gt;=65, 2.50, IF(AI11&gt;=60, 2.00, IF(AI11&gt;=55, 1.50, IF(AI11&gt;=50, 1.00, 0.00)))))))</f>
      </c>
      <c r="AK11" s="40">
        <f>IF(AI11&gt;=91,"A",IF(AI11&gt;=81,"B+",IF(AI11&gt;=70,"B",IF(AI11&gt;=65,"C+",IF(AI11&gt;=60,"C",IF(AI11&gt;=55,"D+",IF(AI11&gt;=50,"D","F")))))))</f>
      </c>
      <c r="AL11" s="40">
        <f>ROUND((L11*3+O11*2+R11*1+U11*2+X11*1+AA11*2+AD11*2+AG11*2+AJ11*2)/17, 2)</f>
      </c>
      <c r="AM11" s="47">
        <v>84</v>
      </c>
      <c r="AN11" s="40">
        <f>IF(AM11&gt;=91, 4.00, IF(AM11&gt;=81, 3.50, IF(AM11&gt;=70, 3.00, IF(AM11&gt;=65, 2.50, IF(AM11&gt;=60, 2.00, IF(AM11&gt;=55, 1.50, IF(AM11&gt;=50, 1.00, 0.00)))))))</f>
      </c>
      <c r="AO11" s="41">
        <f>IF(AM11&gt;=91,"A",IF(AM11&gt;=81,"B+",IF(AM11&gt;=70,"B",IF(AM11&gt;=65,"C+",IF(AM11&gt;=60,"C",IF(AM11&gt;=55,"D+",IF(AM11&gt;=50,"D","F")))))))</f>
      </c>
      <c r="AP11" s="40" t="s">
        <v>51</v>
      </c>
      <c r="AQ11" s="42">
        <f>IF(AP11&gt;=91, 4.00, IF(AP11&gt;=81, 3.50, IF(AP11&gt;=70, 3.00, IF(AP11&gt;=65, 2.50, IF(AP11&gt;=60, 2.00, IF(AP11&gt;=55, 1.50, IF(AP11&gt;=50, 1.00, 0.00)))))))</f>
      </c>
      <c r="AR11" s="42">
        <f>IF(AP11&gt;=91,"A",IF(AP11&gt;=81,"B+",IF(AP11&gt;=70,"B",IF(AP11&gt;=65,"C+",IF(AP11&gt;=60,"C",IF(AP11&gt;=55,"D+",IF(AP11&gt;=50,"D","F")))))))</f>
      </c>
      <c r="AS11" s="43" t="s">
        <v>72</v>
      </c>
      <c r="AT11" s="43">
        <f>IF(AS11&gt;=91, 4.00, IF(AS11&gt;=81, 3.50, IF(AS11&gt;=70, 3.00, IF(AS11&gt;=65, 2.50, IF(AS11&gt;=60, 2.00, IF(AS11&gt;=55, 1.50, IF(AS11&gt;=50, 1.00, 0.00)))))))</f>
      </c>
      <c r="AU11" s="64">
        <f>IF(AS11&gt;=91,"A",IF(AS11&gt;=81,"B+",IF(AS11&gt;=70,"B",IF(AS11&gt;=65,"C+",IF(AS11&gt;=60,"C",IF(AS11&gt;=55,"D+",IF(AS11&gt;=50,"D","F")))))))</f>
      </c>
      <c r="AV11" s="45" t="s">
        <v>49</v>
      </c>
      <c r="AW11" s="59">
        <f>IF(AV11&gt;=91, 4.00, IF(AV11&gt;=81, 3.50, IF(AV11&gt;=70, 3.00, IF(AV11&gt;=65, 2.50, IF(AV11&gt;=60, 2.00, IF(AV11&gt;=55, 1.50, IF(AV11&gt;=50, 1.00, 0.00)))))))</f>
      </c>
      <c r="AX11" s="60">
        <f>IF(AV11&gt;=91,"A",IF(AV11&gt;=81,"B+",IF(AV11&gt;=70,"B",IF(AV11&gt;=65,"C+",IF(AV11&gt;=60,"C",IF(AV11&gt;=55,"D+",IF(AV11&gt;=50,"D","F")))))))</f>
      </c>
      <c r="AY11" s="60" t="str">
        <f>IF(AW11&gt;90,"A",IF(AW11&gt;80,"B+",IF(AW11&gt;69,"B",IF(AW11&gt;64,"C+",IF(AW11&gt;59,"C",IF(AW11&gt;54,"D+",IF(AW11&gt;49,"D",IF(AW11&gt;=0,"F"))))))))</f>
        <v>F</v>
      </c>
      <c r="AZ11" s="59">
        <f>IF(AY11&gt;=91, 4.00, IF(AY11&gt;=81, 3.50, IF(AY11&gt;=70, 3.00, IF(AY11&gt;=65, 2.50, IF(AY11&gt;=60, 2.00, IF(AY11&gt;=55, 1.50, IF(AY11&gt;=50, 1.00, 0.00)))))))</f>
      </c>
      <c r="BA11" s="60">
        <f>IF(AY11&gt;=91,"A",IF(AY11&gt;=81,"B+",IF(AY11&gt;=70,"B",IF(AY11&gt;=65,"C+",IF(AY11&gt;=60,"C",IF(AY11&gt;=55,"D+",IF(AY11&gt;=50,"D","F")))))))</f>
      </c>
      <c r="BB11" s="60" t="str">
        <f>IF(AZ11&gt;90,"A",IF(AZ11&gt;80,"B+",IF(AZ11&gt;69,"B",IF(AZ11&gt;64,"C+",IF(AZ11&gt;59,"C",IF(AZ11&gt;54,"D+",IF(AZ11&gt;49,"D",IF(AZ11&gt;=0,"F"))))))))</f>
        <v>F</v>
      </c>
      <c r="BC11" s="61">
        <f>IF(BB11&gt;=91, 4.00, IF(BB11&gt;=81, 3.50, IF(BB11&gt;=70, 3.00, IF(BB11&gt;=65, 2.50, IF(BB11&gt;=60, 2.00, IF(BB11&gt;=55, 1.50, IF(BB11&gt;=50, 1.00, 0.00)))))))</f>
      </c>
      <c r="BD11" s="60">
        <f>IF(BB11&gt;=91,"A",IF(BB11&gt;=81,"B+",IF(BB11&gt;=70,"B",IF(BB11&gt;=65,"C+",IF(BB11&gt;=60,"C",IF(BB11&gt;=55,"D+",IF(BB11&gt;=50,"D","F")))))))</f>
      </c>
      <c r="BE11" s="60" t="str">
        <f>IF(BC11&gt;90,"A",IF(BC11&gt;80,"B+",IF(BC11&gt;69,"B",IF(BC11&gt;64,"C+",IF(BC11&gt;59,"C",IF(BC11&gt;54,"D+",IF(BC11&gt;49,"D",IF(BC11&gt;=0,"F"))))))))</f>
        <v>F</v>
      </c>
      <c r="BF11" s="59">
        <f>IF(BE11&gt;=91, 4.00, IF(BE11&gt;=81, 3.50, IF(BE11&gt;=70, 3.00, IF(BE11&gt;=65, 2.50, IF(BE11&gt;=60, 2.00, IF(BE11&gt;=55, 1.50, IF(BE11&gt;=50, 1.00, 0.00)))))))</f>
      </c>
      <c r="BG11" s="60">
        <f>IF(BE11&gt;=91,"A",IF(BE11&gt;=81,"B+",IF(BE11&gt;=70,"B",IF(BE11&gt;=65,"C+",IF(BE11&gt;=60,"C",IF(BE11&gt;=55,"D+",IF(BE11&gt;=50,"D","F")))))))</f>
      </c>
      <c r="BH11" s="60" t="str">
        <f>IF(BF11&gt;90,"A",IF(BF11&gt;80,"B+",IF(BF11&gt;69,"B",IF(BF11&gt;64,"C+",IF(BF11&gt;59,"C",IF(BF11&gt;54,"D+",IF(BF11&gt;49,"D",IF(BF11&gt;=0,"F"))))))))</f>
        <v>F</v>
      </c>
      <c r="BI11" s="61">
        <f>IF(BH11&gt;=91, 4.00, IF(BH11&gt;=81, 3.50, IF(BH11&gt;=70, 3.00, IF(BH11&gt;=65, 2.50, IF(BH11&gt;=60, 2.00, IF(BH11&gt;=55, 1.50, IF(BH11&gt;=50, 1.00, 0.00)))))))</f>
      </c>
      <c r="BJ11" s="60">
        <f>IF(BH11&gt;=91,"A",IF(BH11&gt;=81,"B+",IF(BH11&gt;=70,"B",IF(BH11&gt;=65,"C+",IF(BH11&gt;=60,"C",IF(BH11&gt;=55,"D+",IF(BH11&gt;=50,"D","F")))))))</f>
      </c>
      <c r="BK11" s="60" t="str">
        <f>IF(BI11&gt;90,"A",IF(BI11&gt;80,"B+",IF(BI11&gt;69,"B",IF(BI11&gt;64,"C+",IF(BI11&gt;59,"C",IF(BI11&gt;54,"D+",IF(BI11&gt;49,"D",IF(BI11&gt;=0,"F"))))))))</f>
        <v>F</v>
      </c>
      <c r="BL11" s="61">
        <f>IF(BK11&gt;=91, 4.00, IF(BK11&gt;=81, 3.50, IF(BK11&gt;=70, 3.00, IF(BK11&gt;=65, 2.50, IF(BK11&gt;=60, 2.00, IF(BK11&gt;=55, 1.50, IF(BK11&gt;=50, 1.00, 0.00)))))))</f>
      </c>
      <c r="BM11" s="60">
        <f>IF(BK11&gt;=91,"A",IF(BK11&gt;=81,"B+",IF(BK11&gt;=70,"B",IF(BK11&gt;=65,"C+",IF(BK11&gt;=60,"C",IF(BK11&gt;=55,"D+",IF(BK11&gt;=50,"D","F")))))))</f>
      </c>
      <c r="BN11" s="60" t="str">
        <f>IF(BL11&gt;90,"A",IF(BL11&gt;80,"B+",IF(BL11&gt;69,"B",IF(BL11&gt;64,"C+",IF(BL11&gt;59,"C",IF(BL11&gt;54,"D+",IF(BL11&gt;49,"D",IF(BL11&gt;=0,"F"))))))))</f>
        <v>F</v>
      </c>
      <c r="BO11" s="49">
        <f>IF(BN11&gt;=91, 4.00, IF(BN11&gt;=81, 3.50, IF(BN11&gt;=70, 3.00, IF(BN11&gt;=65, 2.50, IF(BN11&gt;=60, 2.00, IF(BN11&gt;=55, 1.50, IF(BN11&gt;=50, 1.00, 0.00)))))))</f>
      </c>
      <c r="BP11" s="49">
        <f>IF(BN11&gt;=91,"A",IF(BN11&gt;=81,"B+",IF(BN11&gt;=70,"B",IF(BN11&gt;=65,"C+",IF(BN11&gt;=60,"C",IF(BN11&gt;=55,"D+",IF(BN11&gt;=50,"D","F")))))))</f>
      </c>
      <c r="BQ11" s="40">
        <f>ROUND((AN11*3+AQ11*2+AT11*1+AW11*2+AZ11*1+BC11*1+BF11*2+BI11*2+BL11*2+BO11*3)/19, 2)</f>
      </c>
      <c r="BR11" s="62">
        <v>45</v>
      </c>
      <c r="BS11" s="62" t="str">
        <f>IF(BR11&gt;90,"4.00",IF(BR11&gt;80,"3.50",IF(BR11&gt;69,"3.00",IF(BR11&gt;64,"2.50",IF(BR11&gt;59,"2.00",IF(BR11&gt;54,"1.50",IF(BR11&gt;49,"1.00","0.00")))))))</f>
        <v>0.00</v>
      </c>
      <c r="BT11" s="63" t="str">
        <f>IF(BR11&gt;90,"A",IF(BR11&gt;80,"B+",IF(BR11&gt;69,"B",IF(BR11&gt;64,"C+",IF(BR11&gt;59,"C",IF(BR11&gt;54,"D+",IF(BR11&gt;49,"D",IF(BR11&gt;=0,"F"))))))))</f>
        <v>F</v>
      </c>
      <c r="BU11" s="49">
        <v>62</v>
      </c>
      <c r="BV11" s="49" t="str">
        <f>IF(BU11&gt;90,"4.00",IF(BU11&gt;80,"3.50",IF(BU11&gt;69,"3.00",IF(BU11&gt;64,"2.50",IF(BU11&gt;59,"2.00",IF(BU11&gt;54,"1.50",IF(BU11&gt;49,"1.00","0.00")))))))</f>
        <v>2.00</v>
      </c>
      <c r="BW11" s="40" t="str">
        <f>IF(BU11&gt;90,"A",IF(BU11&gt;80,"B+",IF(BU11&gt;69,"B",IF(BU11&gt;64,"C+",IF(BU11&gt;59,"C",IF(BU11&gt;54,"D+",IF(BU11&gt;49,"D",IF(BU11&gt;=0,"F"))))))))</f>
        <v>C</v>
      </c>
      <c r="BX11" s="50">
        <f>(AX11*3+BA11*2+BD11*1+BG11*2+BJ11*1+BM11*1+BP11*2+BS11*2+BV11*2)/(3+2+1+2+1+1+2+2+2)</f>
        <v>0.5625</v>
      </c>
      <c r="BY11" s="50">
        <f>(AL11+BX11)/2</f>
        <v>0.9577205882352942</v>
      </c>
      <c r="BZ11" s="51">
        <f>RANK(BY11,$BY$7:BY38)</f>
        <v>28</v>
      </c>
      <c r="CA11" s="40"/>
      <c r="CB11" s="52"/>
      <c r="CC11" s="52"/>
      <c r="CD11" s="52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</row>
    <row r="12" ht="20" customHeight="1" spans="1:193" s="39" customFormat="1" x14ac:dyDescent="0.25">
      <c r="A12" s="40">
        <v>6</v>
      </c>
      <c r="B12" s="65" t="s">
        <v>74</v>
      </c>
      <c r="C12" s="40" t="s">
        <v>51</v>
      </c>
      <c r="D12" s="42" t="s">
        <v>75</v>
      </c>
      <c r="E12" s="42" t="s">
        <v>76</v>
      </c>
      <c r="F12" s="43" t="s">
        <v>77</v>
      </c>
      <c r="G12" s="43" t="s">
        <v>78</v>
      </c>
      <c r="H12" s="64">
        <v>37681</v>
      </c>
      <c r="I12" s="45" t="s">
        <v>49</v>
      </c>
      <c r="J12" s="40">
        <v>1</v>
      </c>
      <c r="K12" s="42">
        <v>83</v>
      </c>
      <c r="L12" s="40">
        <f>IF(K12&gt;=91, 4.00, IF(K12&gt;=81, 3.50, IF(K12&gt;=70, 3.00, IF(K12&gt;=65, 2.50, IF(K12&gt;=60, 2.00, IF(K12&gt;=55, 1.50, IF(K12&gt;=50, 1.00, 0.00)))))))</f>
      </c>
      <c r="M12" s="40">
        <f>IF(K12&gt;=91,"A",IF(K12&gt;=81,"B+",IF(K12&gt;=70,"B",IF(K12&gt;=65,"C+",IF(K12&gt;=60,"C",IF(K12&gt;=55,"D+",IF(K12&gt;=50,"D","F")))))))</f>
      </c>
      <c r="N12" s="42">
        <v>96</v>
      </c>
      <c r="O12" s="40">
        <f>IF(N12&gt;=91, 4.00, IF(N12&gt;=81, 3.50, IF(N12&gt;=70, 3.00, IF(N12&gt;=65, 2.50, IF(N12&gt;=60, 2.00, IF(N12&gt;=55, 1.50, IF(N12&gt;=50, 1.00, 0.00)))))))</f>
      </c>
      <c r="P12" s="40">
        <f>IF(N12&gt;=91,"A",IF(N12&gt;=81,"B+",IF(N12&gt;=70,"B",IF(N12&gt;=65,"C+",IF(N12&gt;=60,"C",IF(N12&gt;=55,"D+",IF(N12&gt;=50,"D","F")))))))</f>
      </c>
      <c r="Q12" s="42">
        <v>97</v>
      </c>
      <c r="R12" s="40">
        <f>IF(Q12&gt;=91, 4.00, IF(Q12&gt;=81, 3.50, IF(Q12&gt;=70, 3.00, IF(Q12&gt;=65, 2.50, IF(Q12&gt;=60, 2.00, IF(Q12&gt;=55, 1.50, IF(Q12&gt;=50, 1.00, 0.00)))))))</f>
      </c>
      <c r="S12" s="40">
        <f>IF(Q12&gt;=91,"A",IF(Q12&gt;=81,"B+",IF(Q12&gt;=70,"B",IF(Q12&gt;=65,"C+",IF(Q12&gt;=60,"C",IF(Q12&gt;=55,"D+",IF(Q12&gt;=50,"D","F")))))))</f>
      </c>
      <c r="T12" s="42">
        <v>78</v>
      </c>
      <c r="U12" s="40">
        <f>IF(T12&gt;=91, 4.00, IF(T12&gt;=81, 3.50, IF(T12&gt;=70, 3.00, IF(T12&gt;=65, 2.50, IF(T12&gt;=60, 2.00, IF(T12&gt;=55, 1.50, IF(T12&gt;=50, 1.00, 0.00)))))))</f>
      </c>
      <c r="V12" s="40">
        <f>IF(T12&gt;=91,"A",IF(T12&gt;=81,"B+",IF(T12&gt;=70,"B",IF(T12&gt;=65,"C+",IF(T12&gt;=60,"C",IF(T12&gt;=55,"D+",IF(T12&gt;=50,"D","F")))))))</f>
      </c>
      <c r="W12" s="42">
        <v>73</v>
      </c>
      <c r="X12" s="40">
        <f>IF(W12&gt;=91, 4.00, IF(W12&gt;=81, 3.50, IF(W12&gt;=70, 3.00, IF(W12&gt;=65, 2.50, IF(W12&gt;=60, 2.00, IF(W12&gt;=55, 1.50, IF(W12&gt;=50, 1.00, 0.00)))))))</f>
      </c>
      <c r="Y12" s="40">
        <f>IF(W12&gt;=91,"A",IF(W12&gt;=81,"B+",IF(W12&gt;=70,"B",IF(W12&gt;=65,"C+",IF(W12&gt;=60,"C",IF(W12&gt;=55,"D+",IF(W12&gt;=50,"D","F")))))))</f>
      </c>
      <c r="Z12" s="46">
        <v>92.52</v>
      </c>
      <c r="AA12" s="40">
        <f>IF(Z12&gt;=91, 4.00, IF(Z12&gt;=81, 3.50, IF(Z12&gt;=70, 3.00, IF(Z12&gt;=65, 2.50, IF(Z12&gt;=60, 2.00, IF(Z12&gt;=55, 1.50, IF(Z12&gt;=50, 1.00, 0.00)))))))</f>
      </c>
      <c r="AB12" s="40">
        <f>IF(Z12&gt;=91,"A",IF(Z12&gt;=81,"B+",IF(Z12&gt;=70,"B",IF(Z12&gt;=65,"C+",IF(Z12&gt;=60,"C",IF(Z12&gt;=55,"D+",IF(Z12&gt;=50,"D","F")))))))</f>
      </c>
      <c r="AC12" s="46">
        <v>86.5</v>
      </c>
      <c r="AD12" s="40">
        <f>IF(AC12&gt;=91, 4.00, IF(AC12&gt;=81, 3.50, IF(AC12&gt;=70, 3.00, IF(AC12&gt;=65, 2.50, IF(AC12&gt;=60, 2.00, IF(AC12&gt;=55, 1.50, IF(AC12&gt;=50, 1.00, 0.00)))))))</f>
      </c>
      <c r="AE12" s="40">
        <f>IF(AC12&gt;=91,"A",IF(AC12&gt;=81,"B+",IF(AC12&gt;=70,"B",IF(AC12&gt;=65,"C+",IF(AC12&gt;=60,"C",IF(AC12&gt;=55,"D+",IF(AC12&gt;=50,"D","F")))))))</f>
      </c>
      <c r="AF12" s="40">
        <v>91</v>
      </c>
      <c r="AG12" s="40">
        <f>IF(AF12&gt;=91, 4.00, IF(AF12&gt;=81, 3.50, IF(AF12&gt;=70, 3.00, IF(AF12&gt;=65, 2.50, IF(AF12&gt;=60, 2.00, IF(AF12&gt;=55, 1.50, IF(AF12&gt;=50, 1.00, 0.00)))))))</f>
      </c>
      <c r="AH12" s="40">
        <f>IF(AF12&gt;=91,"A",IF(AF12&gt;=81,"B+",IF(AF12&gt;=70,"B",IF(AF12&gt;=65,"C+",IF(AF12&gt;=60,"C",IF(AF12&gt;=55,"D+",IF(AF12&gt;=50,"D","F")))))))</f>
      </c>
      <c r="AI12" s="40">
        <v>86</v>
      </c>
      <c r="AJ12" s="40">
        <f>IF(AI12&gt;=91, 4.00, IF(AI12&gt;=81, 3.50, IF(AI12&gt;=70, 3.00, IF(AI12&gt;=65, 2.50, IF(AI12&gt;=60, 2.00, IF(AI12&gt;=55, 1.50, IF(AI12&gt;=50, 1.00, 0.00)))))))</f>
      </c>
      <c r="AK12" s="40">
        <f>IF(AI12&gt;=91,"A",IF(AI12&gt;=81,"B+",IF(AI12&gt;=70,"B",IF(AI12&gt;=65,"C+",IF(AI12&gt;=60,"C",IF(AI12&gt;=55,"D+",IF(AI12&gt;=50,"D","F")))))))</f>
      </c>
      <c r="AL12" s="40">
        <f>ROUND((L12*3+O12*2+R12*1+U12*2+X12*1+AA12*2+AD12*2+AG12*2+AJ12*2)/17, 2)</f>
      </c>
      <c r="AM12" s="47">
        <v>87</v>
      </c>
      <c r="AN12" s="40">
        <f>IF(AM12&gt;=91, 4.00, IF(AM12&gt;=81, 3.50, IF(AM12&gt;=70, 3.00, IF(AM12&gt;=65, 2.50, IF(AM12&gt;=60, 2.00, IF(AM12&gt;=55, 1.50, IF(AM12&gt;=50, 1.00, 0.00)))))))</f>
      </c>
      <c r="AO12" s="65">
        <f>IF(AM12&gt;=91,"A",IF(AM12&gt;=81,"B+",IF(AM12&gt;=70,"B",IF(AM12&gt;=65,"C+",IF(AM12&gt;=60,"C",IF(AM12&gt;=55,"D+",IF(AM12&gt;=50,"D","F")))))))</f>
      </c>
      <c r="AP12" s="40" t="s">
        <v>51</v>
      </c>
      <c r="AQ12" s="42">
        <f>IF(AP12&gt;=91, 4.00, IF(AP12&gt;=81, 3.50, IF(AP12&gt;=70, 3.00, IF(AP12&gt;=65, 2.50, IF(AP12&gt;=60, 2.00, IF(AP12&gt;=55, 1.50, IF(AP12&gt;=50, 1.00, 0.00)))))))</f>
      </c>
      <c r="AR12" s="42">
        <f>IF(AP12&gt;=91,"A",IF(AP12&gt;=81,"B+",IF(AP12&gt;=70,"B",IF(AP12&gt;=65,"C+",IF(AP12&gt;=60,"C",IF(AP12&gt;=55,"D+",IF(AP12&gt;=50,"D","F")))))))</f>
      </c>
      <c r="AS12" s="43" t="s">
        <v>77</v>
      </c>
      <c r="AT12" s="43">
        <f>IF(AS12&gt;=91, 4.00, IF(AS12&gt;=81, 3.50, IF(AS12&gt;=70, 3.00, IF(AS12&gt;=65, 2.50, IF(AS12&gt;=60, 2.00, IF(AS12&gt;=55, 1.50, IF(AS12&gt;=50, 1.00, 0.00)))))))</f>
      </c>
      <c r="AU12" s="64">
        <f>IF(AS12&gt;=91,"A",IF(AS12&gt;=81,"B+",IF(AS12&gt;=70,"B",IF(AS12&gt;=65,"C+",IF(AS12&gt;=60,"C",IF(AS12&gt;=55,"D+",IF(AS12&gt;=50,"D","F")))))))</f>
      </c>
      <c r="AV12" s="45" t="s">
        <v>49</v>
      </c>
      <c r="AW12" s="40">
        <f>IF(AV12&gt;=91, 4.00, IF(AV12&gt;=81, 3.50, IF(AV12&gt;=70, 3.00, IF(AV12&gt;=65, 2.50, IF(AV12&gt;=60, 2.00, IF(AV12&gt;=55, 1.50, IF(AV12&gt;=50, 1.00, 0.00)))))))</f>
      </c>
      <c r="AX12" s="49">
        <f>IF(AV12&gt;=91,"A",IF(AV12&gt;=81,"B+",IF(AV12&gt;=70,"B",IF(AV12&gt;=65,"C+",IF(AV12&gt;=60,"C",IF(AV12&gt;=55,"D+",IF(AV12&gt;=50,"D","F")))))))</f>
      </c>
      <c r="AY12" s="40" t="str">
        <f>IF(AW12&gt;90,"A",IF(AW12&gt;80,"B+",IF(AW12&gt;69,"B",IF(AW12&gt;64,"C+",IF(AW12&gt;59,"C",IF(AW12&gt;54,"D+",IF(AW12&gt;49,"D",IF(AW12&gt;=0,"F"))))))))</f>
        <v>B+</v>
      </c>
      <c r="AZ12" s="48">
        <f>IF(AY12&gt;=91, 4.00, IF(AY12&gt;=81, 3.50, IF(AY12&gt;=70, 3.00, IF(AY12&gt;=65, 2.50, IF(AY12&gt;=60, 2.00, IF(AY12&gt;=55, 1.50, IF(AY12&gt;=50, 1.00, 0.00)))))))</f>
      </c>
      <c r="BA12" s="49">
        <f>IF(AY12&gt;=91,"A",IF(AY12&gt;=81,"B+",IF(AY12&gt;=70,"B",IF(AY12&gt;=65,"C+",IF(AY12&gt;=60,"C",IF(AY12&gt;=55,"D+",IF(AY12&gt;=50,"D","F")))))))</f>
      </c>
      <c r="BB12" s="40" t="str">
        <f>IF(AZ12&gt;90,"A",IF(AZ12&gt;80,"B+",IF(AZ12&gt;69,"B",IF(AZ12&gt;64,"C+",IF(AZ12&gt;59,"C",IF(AZ12&gt;54,"D+",IF(AZ12&gt;49,"D",IF(AZ12&gt;=0,"F"))))))))</f>
        <v>B+</v>
      </c>
      <c r="BC12" s="43">
        <f>IF(BB12&gt;=91, 4.00, IF(BB12&gt;=81, 3.50, IF(BB12&gt;=70, 3.00, IF(BB12&gt;=65, 2.50, IF(BB12&gt;=60, 2.00, IF(BB12&gt;=55, 1.50, IF(BB12&gt;=50, 1.00, 0.00)))))))</f>
      </c>
      <c r="BD12" s="49">
        <f>IF(BB12&gt;=91,"A",IF(BB12&gt;=81,"B+",IF(BB12&gt;=70,"B",IF(BB12&gt;=65,"C+",IF(BB12&gt;=60,"C",IF(BB12&gt;=55,"D+",IF(BB12&gt;=50,"D","F")))))))</f>
      </c>
      <c r="BE12" s="40" t="str">
        <f>IF(BC12&gt;90,"A",IF(BC12&gt;80,"B+",IF(BC12&gt;69,"B",IF(BC12&gt;64,"C+",IF(BC12&gt;59,"C",IF(BC12&gt;54,"D+",IF(BC12&gt;49,"D",IF(BC12&gt;=0,"F"))))))))</f>
        <v>B+</v>
      </c>
      <c r="BF12" s="48">
        <f>IF(BE12&gt;=91, 4.00, IF(BE12&gt;=81, 3.50, IF(BE12&gt;=70, 3.00, IF(BE12&gt;=65, 2.50, IF(BE12&gt;=60, 2.00, IF(BE12&gt;=55, 1.50, IF(BE12&gt;=50, 1.00, 0.00)))))))</f>
      </c>
      <c r="BG12" s="49">
        <f>IF(BE12&gt;=91,"A",IF(BE12&gt;=81,"B+",IF(BE12&gt;=70,"B",IF(BE12&gt;=65,"C+",IF(BE12&gt;=60,"C",IF(BE12&gt;=55,"D+",IF(BE12&gt;=50,"D","F")))))))</f>
      </c>
      <c r="BH12" s="40" t="str">
        <f>IF(BF12&gt;90,"A",IF(BF12&gt;80,"B+",IF(BF12&gt;69,"B",IF(BF12&gt;64,"C+",IF(BF12&gt;59,"C",IF(BF12&gt;54,"D+",IF(BF12&gt;49,"D",IF(BF12&gt;=0,"F"))))))))</f>
        <v>B+</v>
      </c>
      <c r="BI12" s="43">
        <f>IF(BH12&gt;=91, 4.00, IF(BH12&gt;=81, 3.50, IF(BH12&gt;=70, 3.00, IF(BH12&gt;=65, 2.50, IF(BH12&gt;=60, 2.00, IF(BH12&gt;=55, 1.50, IF(BH12&gt;=50, 1.00, 0.00)))))))</f>
      </c>
      <c r="BJ12" s="49">
        <f>IF(BH12&gt;=91,"A",IF(BH12&gt;=81,"B+",IF(BH12&gt;=70,"B",IF(BH12&gt;=65,"C+",IF(BH12&gt;=60,"C",IF(BH12&gt;=55,"D+",IF(BH12&gt;=50,"D","F")))))))</f>
      </c>
      <c r="BK12" s="40" t="str">
        <f>IF(BI12&gt;90,"A",IF(BI12&gt;80,"B+",IF(BI12&gt;69,"B",IF(BI12&gt;64,"C+",IF(BI12&gt;59,"C",IF(BI12&gt;54,"D+",IF(BI12&gt;49,"D",IF(BI12&gt;=0,"F"))))))))</f>
        <v>B+</v>
      </c>
      <c r="BL12" s="43">
        <f>IF(BK12&gt;=91, 4.00, IF(BK12&gt;=81, 3.50, IF(BK12&gt;=70, 3.00, IF(BK12&gt;=65, 2.50, IF(BK12&gt;=60, 2.00, IF(BK12&gt;=55, 1.50, IF(BK12&gt;=50, 1.00, 0.00)))))))</f>
      </c>
      <c r="BM12" s="49">
        <f>IF(BK12&gt;=91,"A",IF(BK12&gt;=81,"B+",IF(BK12&gt;=70,"B",IF(BK12&gt;=65,"C+",IF(BK12&gt;=60,"C",IF(BK12&gt;=55,"D+",IF(BK12&gt;=50,"D","F")))))))</f>
      </c>
      <c r="BN12" s="40" t="str">
        <f>IF(BL12&gt;90,"A",IF(BL12&gt;80,"B+",IF(BL12&gt;69,"B",IF(BL12&gt;64,"C+",IF(BL12&gt;59,"C",IF(BL12&gt;54,"D+",IF(BL12&gt;49,"D",IF(BL12&gt;=0,"F"))))))))</f>
        <v>A</v>
      </c>
      <c r="BO12" s="49">
        <f>IF(BN12&gt;=91, 4.00, IF(BN12&gt;=81, 3.50, IF(BN12&gt;=70, 3.00, IF(BN12&gt;=65, 2.50, IF(BN12&gt;=60, 2.00, IF(BN12&gt;=55, 1.50, IF(BN12&gt;=50, 1.00, 0.00)))))))</f>
      </c>
      <c r="BP12" s="49">
        <f>IF(BN12&gt;=91,"A",IF(BN12&gt;=81,"B+",IF(BN12&gt;=70,"B",IF(BN12&gt;=65,"C+",IF(BN12&gt;=60,"C",IF(BN12&gt;=55,"D+",IF(BN12&gt;=50,"D","F")))))))</f>
      </c>
      <c r="BQ12" s="40">
        <f>ROUND((AN12*3+AQ12*2+AT12*1+AW12*2+AZ12*1+BC12*1+BF12*2+BI12*2+BL12*2+BO12*3)/19, 2)</f>
      </c>
      <c r="BR12" s="49">
        <v>88</v>
      </c>
      <c r="BS12" s="49" t="str">
        <f>IF(BR12&gt;90,"4.00",IF(BR12&gt;80,"3.50",IF(BR12&gt;69,"3.00",IF(BR12&gt;64,"2.50",IF(BR12&gt;59,"2.00",IF(BR12&gt;54,"1.50",IF(BR12&gt;49,"1.00","0.00")))))))</f>
        <v>3.50</v>
      </c>
      <c r="BT12" s="40" t="str">
        <f>IF(BR12&gt;90,"A",IF(BR12&gt;80,"B+",IF(BR12&gt;69,"B",IF(BR12&gt;64,"C+",IF(BR12&gt;59,"C",IF(BR12&gt;54,"D+",IF(BR12&gt;49,"D",IF(BR12&gt;=0,"F"))))))))</f>
        <v>B+</v>
      </c>
      <c r="BU12" s="49">
        <v>75</v>
      </c>
      <c r="BV12" s="49" t="str">
        <f>IF(BU12&gt;90,"4.00",IF(BU12&gt;80,"3.50",IF(BU12&gt;69,"3.00",IF(BU12&gt;64,"2.50",IF(BU12&gt;59,"2.00",IF(BU12&gt;54,"1.50",IF(BU12&gt;49,"1.00","0.00")))))))</f>
        <v>3.00</v>
      </c>
      <c r="BW12" s="40" t="str">
        <f>IF(BU12&gt;90,"A",IF(BU12&gt;80,"B+",IF(BU12&gt;69,"B",IF(BU12&gt;64,"C+",IF(BU12&gt;59,"C",IF(BU12&gt;54,"D+",IF(BU12&gt;49,"D",IF(BU12&gt;=0,"F"))))))))</f>
        <v>B</v>
      </c>
      <c r="BX12" s="50">
        <f>(AX12*3+BA12*2+BD12*1+BG12*2+BJ12*1+BM12*1+BP12*2+BS12*2+BV12*2)/(3+2+1+2+1+1+2+2+2)</f>
        <v>3.40625</v>
      </c>
      <c r="BY12" s="50">
        <f>(AL12+BX12)/2</f>
        <v>3.3943014705882355</v>
      </c>
      <c r="BZ12" s="51">
        <f>RANK(BY12,$BY$7:BY40)</f>
        <v>3</v>
      </c>
      <c r="CA12" s="40"/>
      <c r="CB12" s="52"/>
      <c r="CC12" s="52"/>
      <c r="CD12" s="52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</row>
    <row r="13" ht="20" customHeight="1" spans="1:193" s="39" customFormat="1" x14ac:dyDescent="0.25">
      <c r="A13" s="40">
        <v>7</v>
      </c>
      <c r="B13" s="65" t="s">
        <v>79</v>
      </c>
      <c r="C13" s="40" t="s">
        <v>51</v>
      </c>
      <c r="D13" s="42" t="s">
        <v>80</v>
      </c>
      <c r="E13" s="42" t="s">
        <v>81</v>
      </c>
      <c r="F13" s="43" t="s">
        <v>82</v>
      </c>
      <c r="G13" s="43" t="s">
        <v>83</v>
      </c>
      <c r="H13" s="44" t="s">
        <v>84</v>
      </c>
      <c r="I13" s="45" t="s">
        <v>85</v>
      </c>
      <c r="J13" s="40">
        <v>1</v>
      </c>
      <c r="K13" s="42">
        <v>80</v>
      </c>
      <c r="L13" s="40">
        <f>IF(K13&gt;=91, 4.00, IF(K13&gt;=81, 3.50, IF(K13&gt;=70, 3.00, IF(K13&gt;=65, 2.50, IF(K13&gt;=60, 2.00, IF(K13&gt;=55, 1.50, IF(K13&gt;=50, 1.00, 0.00)))))))</f>
      </c>
      <c r="M13" s="40">
        <f>IF(K13&gt;=91,"A",IF(K13&gt;=81,"B+",IF(K13&gt;=70,"B",IF(K13&gt;=65,"C+",IF(K13&gt;=60,"C",IF(K13&gt;=55,"D+",IF(K13&gt;=50,"D","F")))))))</f>
      </c>
      <c r="N13" s="42">
        <v>91</v>
      </c>
      <c r="O13" s="40">
        <f>IF(N13&gt;=91, 4.00, IF(N13&gt;=81, 3.50, IF(N13&gt;=70, 3.00, IF(N13&gt;=65, 2.50, IF(N13&gt;=60, 2.00, IF(N13&gt;=55, 1.50, IF(N13&gt;=50, 1.00, 0.00)))))))</f>
      </c>
      <c r="P13" s="40">
        <f>IF(N13&gt;=91,"A",IF(N13&gt;=81,"B+",IF(N13&gt;=70,"B",IF(N13&gt;=65,"C+",IF(N13&gt;=60,"C",IF(N13&gt;=55,"D+",IF(N13&gt;=50,"D","F")))))))</f>
      </c>
      <c r="Q13" s="42">
        <v>93</v>
      </c>
      <c r="R13" s="40">
        <f>IF(Q13&gt;=91, 4.00, IF(Q13&gt;=81, 3.50, IF(Q13&gt;=70, 3.00, IF(Q13&gt;=65, 2.50, IF(Q13&gt;=60, 2.00, IF(Q13&gt;=55, 1.50, IF(Q13&gt;=50, 1.00, 0.00)))))))</f>
      </c>
      <c r="S13" s="40">
        <f>IF(Q13&gt;=91,"A",IF(Q13&gt;=81,"B+",IF(Q13&gt;=70,"B",IF(Q13&gt;=65,"C+",IF(Q13&gt;=60,"C",IF(Q13&gt;=55,"D+",IF(Q13&gt;=50,"D","F")))))))</f>
      </c>
      <c r="T13" s="42">
        <v>65</v>
      </c>
      <c r="U13" s="40">
        <f>IF(T13&gt;=91, 4.00, IF(T13&gt;=81, 3.50, IF(T13&gt;=70, 3.00, IF(T13&gt;=65, 2.50, IF(T13&gt;=60, 2.00, IF(T13&gt;=55, 1.50, IF(T13&gt;=50, 1.00, 0.00)))))))</f>
      </c>
      <c r="V13" s="40">
        <f>IF(T13&gt;=91,"A",IF(T13&gt;=81,"B+",IF(T13&gt;=70,"B",IF(T13&gt;=65,"C+",IF(T13&gt;=60,"C",IF(T13&gt;=55,"D+",IF(T13&gt;=50,"D","F")))))))</f>
      </c>
      <c r="W13" s="42">
        <v>70</v>
      </c>
      <c r="X13" s="40">
        <f>IF(W13&gt;=91, 4.00, IF(W13&gt;=81, 3.50, IF(W13&gt;=70, 3.00, IF(W13&gt;=65, 2.50, IF(W13&gt;=60, 2.00, IF(W13&gt;=55, 1.50, IF(W13&gt;=50, 1.00, 0.00)))))))</f>
      </c>
      <c r="Y13" s="40">
        <f>IF(W13&gt;=91,"A",IF(W13&gt;=81,"B+",IF(W13&gt;=70,"B",IF(W13&gt;=65,"C+",IF(W13&gt;=60,"C",IF(W13&gt;=55,"D+",IF(W13&gt;=50,"D","F")))))))</f>
      </c>
      <c r="Z13" s="46">
        <v>85.27</v>
      </c>
      <c r="AA13" s="40">
        <f>IF(Z13&gt;=91, 4.00, IF(Z13&gt;=81, 3.50, IF(Z13&gt;=70, 3.00, IF(Z13&gt;=65, 2.50, IF(Z13&gt;=60, 2.00, IF(Z13&gt;=55, 1.50, IF(Z13&gt;=50, 1.00, 0.00)))))))</f>
      </c>
      <c r="AB13" s="40">
        <f>IF(Z13&gt;=91,"A",IF(Z13&gt;=81,"B+",IF(Z13&gt;=70,"B",IF(Z13&gt;=65,"C+",IF(Z13&gt;=60,"C",IF(Z13&gt;=55,"D+",IF(Z13&gt;=50,"D","F")))))))</f>
      </c>
      <c r="AC13" s="46">
        <v>81</v>
      </c>
      <c r="AD13" s="40">
        <f>IF(AC13&gt;=91, 4.00, IF(AC13&gt;=81, 3.50, IF(AC13&gt;=70, 3.00, IF(AC13&gt;=65, 2.50, IF(AC13&gt;=60, 2.00, IF(AC13&gt;=55, 1.50, IF(AC13&gt;=50, 1.00, 0.00)))))))</f>
      </c>
      <c r="AE13" s="40">
        <f>IF(AC13&gt;=91,"A",IF(AC13&gt;=81,"B+",IF(AC13&gt;=70,"B",IF(AC13&gt;=65,"C+",IF(AC13&gt;=60,"C",IF(AC13&gt;=55,"D+",IF(AC13&gt;=50,"D","F")))))))</f>
      </c>
      <c r="AF13" s="40">
        <v>80</v>
      </c>
      <c r="AG13" s="40">
        <f>IF(AF13&gt;=91, 4.00, IF(AF13&gt;=81, 3.50, IF(AF13&gt;=70, 3.00, IF(AF13&gt;=65, 2.50, IF(AF13&gt;=60, 2.00, IF(AF13&gt;=55, 1.50, IF(AF13&gt;=50, 1.00, 0.00)))))))</f>
      </c>
      <c r="AH13" s="40">
        <f>IF(AF13&gt;=91,"A",IF(AF13&gt;=81,"B+",IF(AF13&gt;=70,"B",IF(AF13&gt;=65,"C+",IF(AF13&gt;=60,"C",IF(AF13&gt;=55,"D+",IF(AF13&gt;=50,"D","F")))))))</f>
      </c>
      <c r="AI13" s="40">
        <v>87</v>
      </c>
      <c r="AJ13" s="40">
        <f>IF(AI13&gt;=91, 4.00, IF(AI13&gt;=81, 3.50, IF(AI13&gt;=70, 3.00, IF(AI13&gt;=65, 2.50, IF(AI13&gt;=60, 2.00, IF(AI13&gt;=55, 1.50, IF(AI13&gt;=50, 1.00, 0.00)))))))</f>
      </c>
      <c r="AK13" s="40">
        <f>IF(AI13&gt;=91,"A",IF(AI13&gt;=81,"B+",IF(AI13&gt;=70,"B",IF(AI13&gt;=65,"C+",IF(AI13&gt;=60,"C",IF(AI13&gt;=55,"D+",IF(AI13&gt;=50,"D","F")))))))</f>
      </c>
      <c r="AL13" s="40">
        <f>ROUND((L13*3+O13*2+R13*1+U13*2+X13*1+AA13*2+AD13*2+AG13*2+AJ13*2)/17, 2)</f>
      </c>
      <c r="AM13" s="47">
        <v>90</v>
      </c>
      <c r="AN13" s="40">
        <f>IF(AM13&gt;=91, 4.00, IF(AM13&gt;=81, 3.50, IF(AM13&gt;=70, 3.00, IF(AM13&gt;=65, 2.50, IF(AM13&gt;=60, 2.00, IF(AM13&gt;=55, 1.50, IF(AM13&gt;=50, 1.00, 0.00)))))))</f>
      </c>
      <c r="AO13" s="65">
        <f>IF(AM13&gt;=91,"A",IF(AM13&gt;=81,"B+",IF(AM13&gt;=70,"B",IF(AM13&gt;=65,"C+",IF(AM13&gt;=60,"C",IF(AM13&gt;=55,"D+",IF(AM13&gt;=50,"D","F")))))))</f>
      </c>
      <c r="AP13" s="40" t="s">
        <v>51</v>
      </c>
      <c r="AQ13" s="42">
        <f>IF(AP13&gt;=91, 4.00, IF(AP13&gt;=81, 3.50, IF(AP13&gt;=70, 3.00, IF(AP13&gt;=65, 2.50, IF(AP13&gt;=60, 2.00, IF(AP13&gt;=55, 1.50, IF(AP13&gt;=50, 1.00, 0.00)))))))</f>
      </c>
      <c r="AR13" s="42">
        <f>IF(AP13&gt;=91,"A",IF(AP13&gt;=81,"B+",IF(AP13&gt;=70,"B",IF(AP13&gt;=65,"C+",IF(AP13&gt;=60,"C",IF(AP13&gt;=55,"D+",IF(AP13&gt;=50,"D","F")))))))</f>
      </c>
      <c r="AS13" s="43" t="s">
        <v>82</v>
      </c>
      <c r="AT13" s="43">
        <f>IF(AS13&gt;=91, 4.00, IF(AS13&gt;=81, 3.50, IF(AS13&gt;=70, 3.00, IF(AS13&gt;=65, 2.50, IF(AS13&gt;=60, 2.00, IF(AS13&gt;=55, 1.50, IF(AS13&gt;=50, 1.00, 0.00)))))))</f>
      </c>
      <c r="AU13" s="44">
        <f>IF(AS13&gt;=91,"A",IF(AS13&gt;=81,"B+",IF(AS13&gt;=70,"B",IF(AS13&gt;=65,"C+",IF(AS13&gt;=60,"C",IF(AS13&gt;=55,"D+",IF(AS13&gt;=50,"D","F")))))))</f>
      </c>
      <c r="AV13" s="45" t="s">
        <v>85</v>
      </c>
      <c r="AW13" s="48">
        <f>IF(AV13&gt;=91, 4.00, IF(AV13&gt;=81, 3.50, IF(AV13&gt;=70, 3.00, IF(AV13&gt;=65, 2.50, IF(AV13&gt;=60, 2.00, IF(AV13&gt;=55, 1.50, IF(AV13&gt;=50, 1.00, 0.00)))))))</f>
      </c>
      <c r="AX13" s="49">
        <f>IF(AV13&gt;=91,"A",IF(AV13&gt;=81,"B+",IF(AV13&gt;=70,"B",IF(AV13&gt;=65,"C+",IF(AV13&gt;=60,"C",IF(AV13&gt;=55,"D+",IF(AV13&gt;=50,"D","F")))))))</f>
      </c>
      <c r="AY13" s="40" t="str">
        <f>IF(AW13&gt;90,"A",IF(AW13&gt;80,"B+",IF(AW13&gt;69,"B",IF(AW13&gt;64,"C+",IF(AW13&gt;59,"C",IF(AW13&gt;54,"D+",IF(AW13&gt;49,"D",IF(AW13&gt;=0,"F"))))))))</f>
        <v>B+</v>
      </c>
      <c r="AZ13" s="48">
        <f>IF(AY13&gt;=91, 4.00, IF(AY13&gt;=81, 3.50, IF(AY13&gt;=70, 3.00, IF(AY13&gt;=65, 2.50, IF(AY13&gt;=60, 2.00, IF(AY13&gt;=55, 1.50, IF(AY13&gt;=50, 1.00, 0.00)))))))</f>
      </c>
      <c r="BA13" s="49">
        <f>IF(AY13&gt;=91,"A",IF(AY13&gt;=81,"B+",IF(AY13&gt;=70,"B",IF(AY13&gt;=65,"C+",IF(AY13&gt;=60,"C",IF(AY13&gt;=55,"D+",IF(AY13&gt;=50,"D","F")))))))</f>
      </c>
      <c r="BB13" s="40" t="str">
        <f>IF(AZ13&gt;90,"A",IF(AZ13&gt;80,"B+",IF(AZ13&gt;69,"B",IF(AZ13&gt;64,"C+",IF(AZ13&gt;59,"C",IF(AZ13&gt;54,"D+",IF(AZ13&gt;49,"D",IF(AZ13&gt;=0,"F"))))))))</f>
        <v>A</v>
      </c>
      <c r="BC13" s="43">
        <f>IF(BB13&gt;=91, 4.00, IF(BB13&gt;=81, 3.50, IF(BB13&gt;=70, 3.00, IF(BB13&gt;=65, 2.50, IF(BB13&gt;=60, 2.00, IF(BB13&gt;=55, 1.50, IF(BB13&gt;=50, 1.00, 0.00)))))))</f>
      </c>
      <c r="BD13" s="49">
        <f>IF(BB13&gt;=91,"A",IF(BB13&gt;=81,"B+",IF(BB13&gt;=70,"B",IF(BB13&gt;=65,"C+",IF(BB13&gt;=60,"C",IF(BB13&gt;=55,"D+",IF(BB13&gt;=50,"D","F")))))))</f>
      </c>
      <c r="BE13" s="40" t="str">
        <f>IF(BC13&gt;90,"A",IF(BC13&gt;80,"B+",IF(BC13&gt;69,"B",IF(BC13&gt;64,"C+",IF(BC13&gt;59,"C",IF(BC13&gt;54,"D+",IF(BC13&gt;49,"D",IF(BC13&gt;=0,"F"))))))))</f>
        <v>A</v>
      </c>
      <c r="BF13" s="48">
        <f>IF(BE13&gt;=91, 4.00, IF(BE13&gt;=81, 3.50, IF(BE13&gt;=70, 3.00, IF(BE13&gt;=65, 2.50, IF(BE13&gt;=60, 2.00, IF(BE13&gt;=55, 1.50, IF(BE13&gt;=50, 1.00, 0.00)))))))</f>
      </c>
      <c r="BG13" s="49">
        <f>IF(BE13&gt;=91,"A",IF(BE13&gt;=81,"B+",IF(BE13&gt;=70,"B",IF(BE13&gt;=65,"C+",IF(BE13&gt;=60,"C",IF(BE13&gt;=55,"D+",IF(BE13&gt;=50,"D","F")))))))</f>
      </c>
      <c r="BH13" s="40" t="str">
        <f>IF(BF13&gt;90,"A",IF(BF13&gt;80,"B+",IF(BF13&gt;69,"B",IF(BF13&gt;64,"C+",IF(BF13&gt;59,"C",IF(BF13&gt;54,"D+",IF(BF13&gt;49,"D",IF(BF13&gt;=0,"F"))))))))</f>
        <v>A</v>
      </c>
      <c r="BI13" s="43">
        <f>IF(BH13&gt;=91, 4.00, IF(BH13&gt;=81, 3.50, IF(BH13&gt;=70, 3.00, IF(BH13&gt;=65, 2.50, IF(BH13&gt;=60, 2.00, IF(BH13&gt;=55, 1.50, IF(BH13&gt;=50, 1.00, 0.00)))))))</f>
      </c>
      <c r="BJ13" s="49">
        <f>IF(BH13&gt;=91,"A",IF(BH13&gt;=81,"B+",IF(BH13&gt;=70,"B",IF(BH13&gt;=65,"C+",IF(BH13&gt;=60,"C",IF(BH13&gt;=55,"D+",IF(BH13&gt;=50,"D","F")))))))</f>
      </c>
      <c r="BK13" s="40" t="str">
        <f>IF(BI13&gt;90,"A",IF(BI13&gt;80,"B+",IF(BI13&gt;69,"B",IF(BI13&gt;64,"C+",IF(BI13&gt;59,"C",IF(BI13&gt;54,"D+",IF(BI13&gt;49,"D",IF(BI13&gt;=0,"F"))))))))</f>
        <v>A</v>
      </c>
      <c r="BL13" s="43">
        <f>IF(BK13&gt;=91, 4.00, IF(BK13&gt;=81, 3.50, IF(BK13&gt;=70, 3.00, IF(BK13&gt;=65, 2.50, IF(BK13&gt;=60, 2.00, IF(BK13&gt;=55, 1.50, IF(BK13&gt;=50, 1.00, 0.00)))))))</f>
      </c>
      <c r="BM13" s="49">
        <f>IF(BK13&gt;=91,"A",IF(BK13&gt;=81,"B+",IF(BK13&gt;=70,"B",IF(BK13&gt;=65,"C+",IF(BK13&gt;=60,"C",IF(BK13&gt;=55,"D+",IF(BK13&gt;=50,"D","F")))))))</f>
      </c>
      <c r="BN13" s="40" t="str">
        <f>IF(BL13&gt;90,"A",IF(BL13&gt;80,"B+",IF(BL13&gt;69,"B",IF(BL13&gt;64,"C+",IF(BL13&gt;59,"C",IF(BL13&gt;54,"D+",IF(BL13&gt;49,"D",IF(BL13&gt;=0,"F"))))))))</f>
        <v>A</v>
      </c>
      <c r="BO13" s="49">
        <f>IF(BN13&gt;=91, 4.00, IF(BN13&gt;=81, 3.50, IF(BN13&gt;=70, 3.00, IF(BN13&gt;=65, 2.50, IF(BN13&gt;=60, 2.00, IF(BN13&gt;=55, 1.50, IF(BN13&gt;=50, 1.00, 0.00)))))))</f>
      </c>
      <c r="BP13" s="49">
        <f>IF(BN13&gt;=91,"A",IF(BN13&gt;=81,"B+",IF(BN13&gt;=70,"B",IF(BN13&gt;=65,"C+",IF(BN13&gt;=60,"C",IF(BN13&gt;=55,"D+",IF(BN13&gt;=50,"D","F")))))))</f>
      </c>
      <c r="BQ13" s="40">
        <f>ROUND((AN13*3+AQ13*2+AT13*1+AW13*2+AZ13*1+BC13*1+BF13*2+BI13*2+BL13*2+BO13*3)/19, 2)</f>
      </c>
      <c r="BR13" s="49">
        <v>71</v>
      </c>
      <c r="BS13" s="49" t="str">
        <f>IF(BR13&gt;90,"4.00",IF(BR13&gt;80,"3.50",IF(BR13&gt;69,"3.00",IF(BR13&gt;64,"2.50",IF(BR13&gt;59,"2.00",IF(BR13&gt;54,"1.50",IF(BR13&gt;49,"1.00","0.00")))))))</f>
        <v>3.00</v>
      </c>
      <c r="BT13" s="40" t="str">
        <f>IF(BR13&gt;90,"A",IF(BR13&gt;80,"B+",IF(BR13&gt;69,"B",IF(BR13&gt;64,"C+",IF(BR13&gt;59,"C",IF(BR13&gt;54,"D+",IF(BR13&gt;49,"D",IF(BR13&gt;=0,"F"))))))))</f>
        <v>B</v>
      </c>
      <c r="BU13" s="49">
        <v>79</v>
      </c>
      <c r="BV13" s="49" t="str">
        <f>IF(BU13&gt;90,"4.00",IF(BU13&gt;80,"3.50",IF(BU13&gt;69,"3.00",IF(BU13&gt;64,"2.50",IF(BU13&gt;59,"2.00",IF(BU13&gt;54,"1.50",IF(BU13&gt;49,"1.00","0.00")))))))</f>
        <v>3.00</v>
      </c>
      <c r="BW13" s="40" t="str">
        <f>IF(BU13&gt;90,"A",IF(BU13&gt;80,"B+",IF(BU13&gt;69,"B",IF(BU13&gt;64,"C+",IF(BU13&gt;59,"C",IF(BU13&gt;54,"D+",IF(BU13&gt;49,"D",IF(BU13&gt;=0,"F"))))))))</f>
        <v>B</v>
      </c>
      <c r="BX13" s="50">
        <f>(AX13*3+BA13*2+BD13*1+BG13*2+BJ13*1+BM13*1+BP13*2+BS13*2+BV13*2)/(3+2+1+2+1+1+2+2+2)</f>
        <v>3.53125</v>
      </c>
      <c r="BY13" s="50">
        <f>(AL13+BX13)/2</f>
        <v>3.3097426470588234</v>
      </c>
      <c r="BZ13" s="51">
        <f>RANK(BY13,$BY$7:BY41)</f>
        <v>7</v>
      </c>
      <c r="CA13" s="58"/>
      <c r="CB13" s="52"/>
      <c r="CC13" s="52"/>
      <c r="CD13" s="52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</row>
    <row r="14" ht="20" customHeight="1" spans="1:193" s="39" customFormat="1" x14ac:dyDescent="0.25">
      <c r="A14" s="40">
        <v>8</v>
      </c>
      <c r="B14" s="65" t="s">
        <v>86</v>
      </c>
      <c r="C14" s="40" t="s">
        <v>51</v>
      </c>
      <c r="D14" s="42" t="s">
        <v>87</v>
      </c>
      <c r="E14" s="42" t="s">
        <v>88</v>
      </c>
      <c r="F14" s="43" t="s">
        <v>89</v>
      </c>
      <c r="G14" s="43" t="s">
        <v>90</v>
      </c>
      <c r="H14" s="44" t="s">
        <v>91</v>
      </c>
      <c r="I14" s="45" t="s">
        <v>49</v>
      </c>
      <c r="J14" s="40">
        <v>1</v>
      </c>
      <c r="K14" s="42">
        <v>89</v>
      </c>
      <c r="L14" s="40">
        <f>IF(K14&gt;=91, 4.00, IF(K14&gt;=81, 3.50, IF(K14&gt;=70, 3.00, IF(K14&gt;=65, 2.50, IF(K14&gt;=60, 2.00, IF(K14&gt;=55, 1.50, IF(K14&gt;=50, 1.00, 0.00)))))))</f>
      </c>
      <c r="M14" s="40">
        <f>IF(K14&gt;=91,"A",IF(K14&gt;=81,"B+",IF(K14&gt;=70,"B",IF(K14&gt;=65,"C+",IF(K14&gt;=60,"C",IF(K14&gt;=55,"D+",IF(K14&gt;=50,"D","F")))))))</f>
      </c>
      <c r="N14" s="42">
        <v>97</v>
      </c>
      <c r="O14" s="40">
        <f>IF(N14&gt;=91, 4.00, IF(N14&gt;=81, 3.50, IF(N14&gt;=70, 3.00, IF(N14&gt;=65, 2.50, IF(N14&gt;=60, 2.00, IF(N14&gt;=55, 1.50, IF(N14&gt;=50, 1.00, 0.00)))))))</f>
      </c>
      <c r="P14" s="40">
        <f>IF(N14&gt;=91,"A",IF(N14&gt;=81,"B+",IF(N14&gt;=70,"B",IF(N14&gt;=65,"C+",IF(N14&gt;=60,"C",IF(N14&gt;=55,"D+",IF(N14&gt;=50,"D","F")))))))</f>
      </c>
      <c r="Q14" s="42">
        <v>88</v>
      </c>
      <c r="R14" s="40">
        <f>IF(Q14&gt;=91, 4.00, IF(Q14&gt;=81, 3.50, IF(Q14&gt;=70, 3.00, IF(Q14&gt;=65, 2.50, IF(Q14&gt;=60, 2.00, IF(Q14&gt;=55, 1.50, IF(Q14&gt;=50, 1.00, 0.00)))))))</f>
      </c>
      <c r="S14" s="40">
        <f>IF(Q14&gt;=91,"A",IF(Q14&gt;=81,"B+",IF(Q14&gt;=70,"B",IF(Q14&gt;=65,"C+",IF(Q14&gt;=60,"C",IF(Q14&gt;=55,"D+",IF(Q14&gt;=50,"D","F")))))))</f>
      </c>
      <c r="T14" s="42">
        <v>77</v>
      </c>
      <c r="U14" s="40">
        <f>IF(T14&gt;=91, 4.00, IF(T14&gt;=81, 3.50, IF(T14&gt;=70, 3.00, IF(T14&gt;=65, 2.50, IF(T14&gt;=60, 2.00, IF(T14&gt;=55, 1.50, IF(T14&gt;=50, 1.00, 0.00)))))))</f>
      </c>
      <c r="V14" s="40">
        <f>IF(T14&gt;=91,"A",IF(T14&gt;=81,"B+",IF(T14&gt;=70,"B",IF(T14&gt;=65,"C+",IF(T14&gt;=60,"C",IF(T14&gt;=55,"D+",IF(T14&gt;=50,"D","F")))))))</f>
      </c>
      <c r="W14" s="42">
        <v>80</v>
      </c>
      <c r="X14" s="40">
        <f>IF(W14&gt;=91, 4.00, IF(W14&gt;=81, 3.50, IF(W14&gt;=70, 3.00, IF(W14&gt;=65, 2.50, IF(W14&gt;=60, 2.00, IF(W14&gt;=55, 1.50, IF(W14&gt;=50, 1.00, 0.00)))))))</f>
      </c>
      <c r="Y14" s="40">
        <f>IF(W14&gt;=91,"A",IF(W14&gt;=81,"B+",IF(W14&gt;=70,"B",IF(W14&gt;=65,"C+",IF(W14&gt;=60,"C",IF(W14&gt;=55,"D+",IF(W14&gt;=50,"D","F")))))))</f>
      </c>
      <c r="Z14" s="46">
        <v>87.84</v>
      </c>
      <c r="AA14" s="40">
        <f>IF(Z14&gt;=91, 4.00, IF(Z14&gt;=81, 3.50, IF(Z14&gt;=70, 3.00, IF(Z14&gt;=65, 2.50, IF(Z14&gt;=60, 2.00, IF(Z14&gt;=55, 1.50, IF(Z14&gt;=50, 1.00, 0.00)))))))</f>
      </c>
      <c r="AB14" s="40">
        <f>IF(Z14&gt;=91,"A",IF(Z14&gt;=81,"B+",IF(Z14&gt;=70,"B",IF(Z14&gt;=65,"C+",IF(Z14&gt;=60,"C",IF(Z14&gt;=55,"D+",IF(Z14&gt;=50,"D","F")))))))</f>
      </c>
      <c r="AC14" s="46">
        <v>75</v>
      </c>
      <c r="AD14" s="40">
        <f>IF(AC14&gt;=91, 4.00, IF(AC14&gt;=81, 3.50, IF(AC14&gt;=70, 3.00, IF(AC14&gt;=65, 2.50, IF(AC14&gt;=60, 2.00, IF(AC14&gt;=55, 1.50, IF(AC14&gt;=50, 1.00, 0.00)))))))</f>
      </c>
      <c r="AE14" s="40">
        <f>IF(AC14&gt;=91,"A",IF(AC14&gt;=81,"B+",IF(AC14&gt;=70,"B",IF(AC14&gt;=65,"C+",IF(AC14&gt;=60,"C",IF(AC14&gt;=55,"D+",IF(AC14&gt;=50,"D","F")))))))</f>
      </c>
      <c r="AF14" s="40">
        <v>91</v>
      </c>
      <c r="AG14" s="40">
        <f>IF(AF14&gt;=91, 4.00, IF(AF14&gt;=81, 3.50, IF(AF14&gt;=70, 3.00, IF(AF14&gt;=65, 2.50, IF(AF14&gt;=60, 2.00, IF(AF14&gt;=55, 1.50, IF(AF14&gt;=50, 1.00, 0.00)))))))</f>
      </c>
      <c r="AH14" s="40">
        <f>IF(AF14&gt;=91,"A",IF(AF14&gt;=81,"B+",IF(AF14&gt;=70,"B",IF(AF14&gt;=65,"C+",IF(AF14&gt;=60,"C",IF(AF14&gt;=55,"D+",IF(AF14&gt;=50,"D","F")))))))</f>
      </c>
      <c r="AI14" s="40">
        <v>88</v>
      </c>
      <c r="AJ14" s="40">
        <f>IF(AI14&gt;=91, 4.00, IF(AI14&gt;=81, 3.50, IF(AI14&gt;=70, 3.00, IF(AI14&gt;=65, 2.50, IF(AI14&gt;=60, 2.00, IF(AI14&gt;=55, 1.50, IF(AI14&gt;=50, 1.00, 0.00)))))))</f>
      </c>
      <c r="AK14" s="40">
        <f>IF(AI14&gt;=91,"A",IF(AI14&gt;=81,"B+",IF(AI14&gt;=70,"B",IF(AI14&gt;=65,"C+",IF(AI14&gt;=60,"C",IF(AI14&gt;=55,"D+",IF(AI14&gt;=50,"D","F")))))))</f>
      </c>
      <c r="AL14" s="40">
        <f>ROUND((L14*3+O14*2+R14*1+U14*2+X14*1+AA14*2+AD14*2+AG14*2+AJ14*2)/17, 2)</f>
      </c>
      <c r="AM14" s="47">
        <v>93</v>
      </c>
      <c r="AN14" s="40">
        <f>IF(AM14&gt;=91, 4.00, IF(AM14&gt;=81, 3.50, IF(AM14&gt;=70, 3.00, IF(AM14&gt;=65, 2.50, IF(AM14&gt;=60, 2.00, IF(AM14&gt;=55, 1.50, IF(AM14&gt;=50, 1.00, 0.00)))))))</f>
      </c>
      <c r="AO14" s="65">
        <f>IF(AM14&gt;=91,"A",IF(AM14&gt;=81,"B+",IF(AM14&gt;=70,"B",IF(AM14&gt;=65,"C+",IF(AM14&gt;=60,"C",IF(AM14&gt;=55,"D+",IF(AM14&gt;=50,"D","F")))))))</f>
      </c>
      <c r="AP14" s="40" t="s">
        <v>51</v>
      </c>
      <c r="AQ14" s="42">
        <f>IF(AP14&gt;=91, 4.00, IF(AP14&gt;=81, 3.50, IF(AP14&gt;=70, 3.00, IF(AP14&gt;=65, 2.50, IF(AP14&gt;=60, 2.00, IF(AP14&gt;=55, 1.50, IF(AP14&gt;=50, 1.00, 0.00)))))))</f>
      </c>
      <c r="AR14" s="42">
        <f>IF(AP14&gt;=91,"A",IF(AP14&gt;=81,"B+",IF(AP14&gt;=70,"B",IF(AP14&gt;=65,"C+",IF(AP14&gt;=60,"C",IF(AP14&gt;=55,"D+",IF(AP14&gt;=50,"D","F")))))))</f>
      </c>
      <c r="AS14" s="43" t="s">
        <v>89</v>
      </c>
      <c r="AT14" s="43">
        <f>IF(AS14&gt;=91, 4.00, IF(AS14&gt;=81, 3.50, IF(AS14&gt;=70, 3.00, IF(AS14&gt;=65, 2.50, IF(AS14&gt;=60, 2.00, IF(AS14&gt;=55, 1.50, IF(AS14&gt;=50, 1.00, 0.00)))))))</f>
      </c>
      <c r="AU14" s="44">
        <f>IF(AS14&gt;=91,"A",IF(AS14&gt;=81,"B+",IF(AS14&gt;=70,"B",IF(AS14&gt;=65,"C+",IF(AS14&gt;=60,"C",IF(AS14&gt;=55,"D+",IF(AS14&gt;=50,"D","F")))))))</f>
      </c>
      <c r="AV14" s="45" t="s">
        <v>49</v>
      </c>
      <c r="AW14" s="48">
        <f>IF(AV14&gt;=91, 4.00, IF(AV14&gt;=81, 3.50, IF(AV14&gt;=70, 3.00, IF(AV14&gt;=65, 2.50, IF(AV14&gt;=60, 2.00, IF(AV14&gt;=55, 1.50, IF(AV14&gt;=50, 1.00, 0.00)))))))</f>
      </c>
      <c r="AX14" s="49">
        <f>IF(AV14&gt;=91,"A",IF(AV14&gt;=81,"B+",IF(AV14&gt;=70,"B",IF(AV14&gt;=65,"C+",IF(AV14&gt;=60,"C",IF(AV14&gt;=55,"D+",IF(AV14&gt;=50,"D","F")))))))</f>
      </c>
      <c r="AY14" s="40" t="str">
        <f>IF(AW14&gt;90,"A",IF(AW14&gt;80,"B+",IF(AW14&gt;69,"B",IF(AW14&gt;64,"C+",IF(AW14&gt;59,"C",IF(AW14&gt;54,"D+",IF(AW14&gt;49,"D",IF(AW14&gt;=0,"F"))))))))</f>
        <v>A</v>
      </c>
      <c r="AZ14" s="48">
        <f>IF(AY14&gt;=91, 4.00, IF(AY14&gt;=81, 3.50, IF(AY14&gt;=70, 3.00, IF(AY14&gt;=65, 2.50, IF(AY14&gt;=60, 2.00, IF(AY14&gt;=55, 1.50, IF(AY14&gt;=50, 1.00, 0.00)))))))</f>
      </c>
      <c r="BA14" s="49">
        <f>IF(AY14&gt;=91,"A",IF(AY14&gt;=81,"B+",IF(AY14&gt;=70,"B",IF(AY14&gt;=65,"C+",IF(AY14&gt;=60,"C",IF(AY14&gt;=55,"D+",IF(AY14&gt;=50,"D","F")))))))</f>
      </c>
      <c r="BB14" s="40" t="str">
        <f>IF(AZ14&gt;90,"A",IF(AZ14&gt;80,"B+",IF(AZ14&gt;69,"B",IF(AZ14&gt;64,"C+",IF(AZ14&gt;59,"C",IF(AZ14&gt;54,"D+",IF(AZ14&gt;49,"D",IF(AZ14&gt;=0,"F"))))))))</f>
        <v>B+</v>
      </c>
      <c r="BC14" s="43">
        <f>IF(BB14&gt;=91, 4.00, IF(BB14&gt;=81, 3.50, IF(BB14&gt;=70, 3.00, IF(BB14&gt;=65, 2.50, IF(BB14&gt;=60, 2.00, IF(BB14&gt;=55, 1.50, IF(BB14&gt;=50, 1.00, 0.00)))))))</f>
      </c>
      <c r="BD14" s="49">
        <f>IF(BB14&gt;=91,"A",IF(BB14&gt;=81,"B+",IF(BB14&gt;=70,"B",IF(BB14&gt;=65,"C+",IF(BB14&gt;=60,"C",IF(BB14&gt;=55,"D+",IF(BB14&gt;=50,"D","F")))))))</f>
      </c>
      <c r="BE14" s="40" t="str">
        <f>IF(BC14&gt;90,"A",IF(BC14&gt;80,"B+",IF(BC14&gt;69,"B",IF(BC14&gt;64,"C+",IF(BC14&gt;59,"C",IF(BC14&gt;54,"D+",IF(BC14&gt;49,"D",IF(BC14&gt;=0,"F"))))))))</f>
        <v>B+</v>
      </c>
      <c r="BF14" s="48">
        <f>IF(BE14&gt;=91, 4.00, IF(BE14&gt;=81, 3.50, IF(BE14&gt;=70, 3.00, IF(BE14&gt;=65, 2.50, IF(BE14&gt;=60, 2.00, IF(BE14&gt;=55, 1.50, IF(BE14&gt;=50, 1.00, 0.00)))))))</f>
      </c>
      <c r="BG14" s="49">
        <f>IF(BE14&gt;=91,"A",IF(BE14&gt;=81,"B+",IF(BE14&gt;=70,"B",IF(BE14&gt;=65,"C+",IF(BE14&gt;=60,"C",IF(BE14&gt;=55,"D+",IF(BE14&gt;=50,"D","F")))))))</f>
      </c>
      <c r="BH14" s="40" t="str">
        <f>IF(BF14&gt;90,"A",IF(BF14&gt;80,"B+",IF(BF14&gt;69,"B",IF(BF14&gt;64,"C+",IF(BF14&gt;59,"C",IF(BF14&gt;54,"D+",IF(BF14&gt;49,"D",IF(BF14&gt;=0,"F"))))))))</f>
        <v>A</v>
      </c>
      <c r="BI14" s="43">
        <f>IF(BH14&gt;=91, 4.00, IF(BH14&gt;=81, 3.50, IF(BH14&gt;=70, 3.00, IF(BH14&gt;=65, 2.50, IF(BH14&gt;=60, 2.00, IF(BH14&gt;=55, 1.50, IF(BH14&gt;=50, 1.00, 0.00)))))))</f>
      </c>
      <c r="BJ14" s="49">
        <f>IF(BH14&gt;=91,"A",IF(BH14&gt;=81,"B+",IF(BH14&gt;=70,"B",IF(BH14&gt;=65,"C+",IF(BH14&gt;=60,"C",IF(BH14&gt;=55,"D+",IF(BH14&gt;=50,"D","F")))))))</f>
      </c>
      <c r="BK14" s="40" t="str">
        <f>IF(BI14&gt;90,"A",IF(BI14&gt;80,"B+",IF(BI14&gt;69,"B",IF(BI14&gt;64,"C+",IF(BI14&gt;59,"C",IF(BI14&gt;54,"D+",IF(BI14&gt;49,"D",IF(BI14&gt;=0,"F"))))))))</f>
        <v>B</v>
      </c>
      <c r="BL14" s="43">
        <f>IF(BK14&gt;=91, 4.00, IF(BK14&gt;=81, 3.50, IF(BK14&gt;=70, 3.00, IF(BK14&gt;=65, 2.50, IF(BK14&gt;=60, 2.00, IF(BK14&gt;=55, 1.50, IF(BK14&gt;=50, 1.00, 0.00)))))))</f>
      </c>
      <c r="BM14" s="49">
        <f>IF(BK14&gt;=91,"A",IF(BK14&gt;=81,"B+",IF(BK14&gt;=70,"B",IF(BK14&gt;=65,"C+",IF(BK14&gt;=60,"C",IF(BK14&gt;=55,"D+",IF(BK14&gt;=50,"D","F")))))))</f>
      </c>
      <c r="BN14" s="40" t="str">
        <f>IF(BL14&gt;90,"A",IF(BL14&gt;80,"B+",IF(BL14&gt;69,"B",IF(BL14&gt;64,"C+",IF(BL14&gt;59,"C",IF(BL14&gt;54,"D+",IF(BL14&gt;49,"D",IF(BL14&gt;=0,"F"))))))))</f>
        <v>B+</v>
      </c>
      <c r="BO14" s="49">
        <f>IF(BN14&gt;=91, 4.00, IF(BN14&gt;=81, 3.50, IF(BN14&gt;=70, 3.00, IF(BN14&gt;=65, 2.50, IF(BN14&gt;=60, 2.00, IF(BN14&gt;=55, 1.50, IF(BN14&gt;=50, 1.00, 0.00)))))))</f>
      </c>
      <c r="BP14" s="49">
        <f>IF(BN14&gt;=91,"A",IF(BN14&gt;=81,"B+",IF(BN14&gt;=70,"B",IF(BN14&gt;=65,"C+",IF(BN14&gt;=60,"C",IF(BN14&gt;=55,"D+",IF(BN14&gt;=50,"D","F")))))))</f>
      </c>
      <c r="BQ14" s="40">
        <f>ROUND((AN14*3+AQ14*2+AT14*1+AW14*2+AZ14*1+BC14*1+BF14*2+BI14*2+BL14*2+BO14*3)/19, 2)</f>
      </c>
      <c r="BR14" s="49">
        <v>84</v>
      </c>
      <c r="BS14" s="49" t="str">
        <f>IF(BR14&gt;90,"4.00",IF(BR14&gt;80,"3.50",IF(BR14&gt;69,"3.00",IF(BR14&gt;64,"2.50",IF(BR14&gt;59,"2.00",IF(BR14&gt;54,"1.50",IF(BR14&gt;49,"1.00","0.00")))))))</f>
        <v>3.50</v>
      </c>
      <c r="BT14" s="40" t="str">
        <f>IF(BR14&gt;90,"A",IF(BR14&gt;80,"B+",IF(BR14&gt;69,"B",IF(BR14&gt;64,"C+",IF(BR14&gt;59,"C",IF(BR14&gt;54,"D+",IF(BR14&gt;49,"D",IF(BR14&gt;=0,"F"))))))))</f>
        <v>B+</v>
      </c>
      <c r="BU14" s="49">
        <v>74</v>
      </c>
      <c r="BV14" s="49" t="str">
        <f>IF(BU14&gt;90,"4.00",IF(BU14&gt;80,"3.50",IF(BU14&gt;69,"3.00",IF(BU14&gt;64,"2.50",IF(BU14&gt;59,"2.00",IF(BU14&gt;54,"1.50",IF(BU14&gt;49,"1.00","0.00")))))))</f>
        <v>3.00</v>
      </c>
      <c r="BW14" s="40" t="str">
        <f>IF(BU14&gt;90,"A",IF(BU14&gt;80,"B+",IF(BU14&gt;69,"B",IF(BU14&gt;64,"C+",IF(BU14&gt;59,"C",IF(BU14&gt;54,"D+",IF(BU14&gt;49,"D",IF(BU14&gt;=0,"F"))))))))</f>
        <v>B</v>
      </c>
      <c r="BX14" s="50">
        <f>(AX14*3+BA14*2+BD14*1+BG14*2+BJ14*1+BM14*1+BP14*2+BS14*2+BV14*2)/(3+2+1+2+1+1+2+2+2)</f>
        <v>3.5</v>
      </c>
      <c r="BY14" s="50">
        <f>(AL14+BX14)/2</f>
        <v>3.3823529411764706</v>
      </c>
      <c r="BZ14" s="51">
        <f>RANK(BY14,$BY$7:BY42)</f>
        <v>4</v>
      </c>
      <c r="CA14" s="40"/>
      <c r="CB14" s="52"/>
      <c r="CC14" s="52"/>
      <c r="CD14" s="52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</row>
    <row r="15" ht="20" customHeight="1" spans="1:193" s="39" customFormat="1" x14ac:dyDescent="0.25">
      <c r="A15" s="40">
        <v>9</v>
      </c>
      <c r="B15" s="65" t="s">
        <v>92</v>
      </c>
      <c r="C15" s="40" t="s">
        <v>43</v>
      </c>
      <c r="D15" s="42" t="s">
        <v>93</v>
      </c>
      <c r="E15" s="42" t="s">
        <v>94</v>
      </c>
      <c r="F15" s="43" t="s">
        <v>95</v>
      </c>
      <c r="G15" s="43" t="s">
        <v>96</v>
      </c>
      <c r="H15" s="44" t="s">
        <v>97</v>
      </c>
      <c r="I15" s="45" t="s">
        <v>49</v>
      </c>
      <c r="J15" s="40">
        <v>1</v>
      </c>
      <c r="K15" s="42">
        <v>65</v>
      </c>
      <c r="L15" s="40">
        <f>IF(K15&gt;=91, 4.00, IF(K15&gt;=81, 3.50, IF(K15&gt;=70, 3.00, IF(K15&gt;=65, 2.50, IF(K15&gt;=60, 2.00, IF(K15&gt;=55, 1.50, IF(K15&gt;=50, 1.00, 0.00)))))))</f>
      </c>
      <c r="M15" s="40">
        <f>IF(K15&gt;=91,"A",IF(K15&gt;=81,"B+",IF(K15&gt;=70,"B",IF(K15&gt;=65,"C+",IF(K15&gt;=60,"C",IF(K15&gt;=55,"D+",IF(K15&gt;=50,"D","F")))))))</f>
      </c>
      <c r="N15" s="42">
        <v>82</v>
      </c>
      <c r="O15" s="40">
        <f>IF(N15&gt;=91, 4.00, IF(N15&gt;=81, 3.50, IF(N15&gt;=70, 3.00, IF(N15&gt;=65, 2.50, IF(N15&gt;=60, 2.00, IF(N15&gt;=55, 1.50, IF(N15&gt;=50, 1.00, 0.00)))))))</f>
      </c>
      <c r="P15" s="40">
        <f>IF(N15&gt;=91,"A",IF(N15&gt;=81,"B+",IF(N15&gt;=70,"B",IF(N15&gt;=65,"C+",IF(N15&gt;=60,"C",IF(N15&gt;=55,"D+",IF(N15&gt;=50,"D","F")))))))</f>
      </c>
      <c r="Q15" s="42">
        <v>89</v>
      </c>
      <c r="R15" s="40">
        <f>IF(Q15&gt;=91, 4.00, IF(Q15&gt;=81, 3.50, IF(Q15&gt;=70, 3.00, IF(Q15&gt;=65, 2.50, IF(Q15&gt;=60, 2.00, IF(Q15&gt;=55, 1.50, IF(Q15&gt;=50, 1.00, 0.00)))))))</f>
      </c>
      <c r="S15" s="40">
        <f>IF(Q15&gt;=91,"A",IF(Q15&gt;=81,"B+",IF(Q15&gt;=70,"B",IF(Q15&gt;=65,"C+",IF(Q15&gt;=60,"C",IF(Q15&gt;=55,"D+",IF(Q15&gt;=50,"D","F")))))))</f>
      </c>
      <c r="T15" s="42">
        <v>59</v>
      </c>
      <c r="U15" s="40">
        <f>IF(T15&gt;=91, 4.00, IF(T15&gt;=81, 3.50, IF(T15&gt;=70, 3.00, IF(T15&gt;=65, 2.50, IF(T15&gt;=60, 2.00, IF(T15&gt;=55, 1.50, IF(T15&gt;=50, 1.00, 0.00)))))))</f>
      </c>
      <c r="V15" s="40">
        <f>IF(T15&gt;=91,"A",IF(T15&gt;=81,"B+",IF(T15&gt;=70,"B",IF(T15&gt;=65,"C+",IF(T15&gt;=60,"C",IF(T15&gt;=55,"D+",IF(T15&gt;=50,"D","F")))))))</f>
      </c>
      <c r="W15" s="42">
        <v>55</v>
      </c>
      <c r="X15" s="40">
        <f>IF(W15&gt;=91, 4.00, IF(W15&gt;=81, 3.50, IF(W15&gt;=70, 3.00, IF(W15&gt;=65, 2.50, IF(W15&gt;=60, 2.00, IF(W15&gt;=55, 1.50, IF(W15&gt;=50, 1.00, 0.00)))))))</f>
      </c>
      <c r="Y15" s="40">
        <f>IF(W15&gt;=91,"A",IF(W15&gt;=81,"B+",IF(W15&gt;=70,"B",IF(W15&gt;=65,"C+",IF(W15&gt;=60,"C",IF(W15&gt;=55,"D+",IF(W15&gt;=50,"D","F")))))))</f>
      </c>
      <c r="Z15" s="46">
        <v>85.43</v>
      </c>
      <c r="AA15" s="40">
        <f>IF(Z15&gt;=91, 4.00, IF(Z15&gt;=81, 3.50, IF(Z15&gt;=70, 3.00, IF(Z15&gt;=65, 2.50, IF(Z15&gt;=60, 2.00, IF(Z15&gt;=55, 1.50, IF(Z15&gt;=50, 1.00, 0.00)))))))</f>
      </c>
      <c r="AB15" s="40">
        <f>IF(Z15&gt;=91,"A",IF(Z15&gt;=81,"B+",IF(Z15&gt;=70,"B",IF(Z15&gt;=65,"C+",IF(Z15&gt;=60,"C",IF(Z15&gt;=55,"D+",IF(Z15&gt;=50,"D","F")))))))</f>
      </c>
      <c r="AC15" s="46">
        <v>81.75</v>
      </c>
      <c r="AD15" s="40">
        <f>IF(AC15&gt;=91, 4.00, IF(AC15&gt;=81, 3.50, IF(AC15&gt;=70, 3.00, IF(AC15&gt;=65, 2.50, IF(AC15&gt;=60, 2.00, IF(AC15&gt;=55, 1.50, IF(AC15&gt;=50, 1.00, 0.00)))))))</f>
      </c>
      <c r="AE15" s="40">
        <f>IF(AC15&gt;=91,"A",IF(AC15&gt;=81,"B+",IF(AC15&gt;=70,"B",IF(AC15&gt;=65,"C+",IF(AC15&gt;=60,"C",IF(AC15&gt;=55,"D+",IF(AC15&gt;=50,"D","F")))))))</f>
      </c>
      <c r="AF15" s="40">
        <v>88</v>
      </c>
      <c r="AG15" s="40">
        <f>IF(AF15&gt;=91, 4.00, IF(AF15&gt;=81, 3.50, IF(AF15&gt;=70, 3.00, IF(AF15&gt;=65, 2.50, IF(AF15&gt;=60, 2.00, IF(AF15&gt;=55, 1.50, IF(AF15&gt;=50, 1.00, 0.00)))))))</f>
      </c>
      <c r="AH15" s="40">
        <f>IF(AF15&gt;=91,"A",IF(AF15&gt;=81,"B+",IF(AF15&gt;=70,"B",IF(AF15&gt;=65,"C+",IF(AF15&gt;=60,"C",IF(AF15&gt;=55,"D+",IF(AF15&gt;=50,"D","F")))))))</f>
      </c>
      <c r="AI15" s="40">
        <v>89</v>
      </c>
      <c r="AJ15" s="40">
        <f>IF(AI15&gt;=91, 4.00, IF(AI15&gt;=81, 3.50, IF(AI15&gt;=70, 3.00, IF(AI15&gt;=65, 2.50, IF(AI15&gt;=60, 2.00, IF(AI15&gt;=55, 1.50, IF(AI15&gt;=50, 1.00, 0.00)))))))</f>
      </c>
      <c r="AK15" s="40">
        <f>IF(AI15&gt;=91,"A",IF(AI15&gt;=81,"B+",IF(AI15&gt;=70,"B",IF(AI15&gt;=65,"C+",IF(AI15&gt;=60,"C",IF(AI15&gt;=55,"D+",IF(AI15&gt;=50,"D","F")))))))</f>
      </c>
      <c r="AL15" s="40">
        <f>ROUND((L15*3+O15*2+R15*1+U15*2+X15*1+AA15*2+AD15*2+AG15*2+AJ15*2)/17, 2)</f>
      </c>
      <c r="AM15" s="47">
        <v>75</v>
      </c>
      <c r="AN15" s="40">
        <f>IF(AM15&gt;=91, 4.00, IF(AM15&gt;=81, 3.50, IF(AM15&gt;=70, 3.00, IF(AM15&gt;=65, 2.50, IF(AM15&gt;=60, 2.00, IF(AM15&gt;=55, 1.50, IF(AM15&gt;=50, 1.00, 0.00)))))))</f>
      </c>
      <c r="AO15" s="65">
        <f>IF(AM15&gt;=91,"A",IF(AM15&gt;=81,"B+",IF(AM15&gt;=70,"B",IF(AM15&gt;=65,"C+",IF(AM15&gt;=60,"C",IF(AM15&gt;=55,"D+",IF(AM15&gt;=50,"D","F")))))))</f>
      </c>
      <c r="AP15" s="40" t="s">
        <v>43</v>
      </c>
      <c r="AQ15" s="42">
        <f>IF(AP15&gt;=91, 4.00, IF(AP15&gt;=81, 3.50, IF(AP15&gt;=70, 3.00, IF(AP15&gt;=65, 2.50, IF(AP15&gt;=60, 2.00, IF(AP15&gt;=55, 1.50, IF(AP15&gt;=50, 1.00, 0.00)))))))</f>
      </c>
      <c r="AR15" s="42">
        <f>IF(AP15&gt;=91,"A",IF(AP15&gt;=81,"B+",IF(AP15&gt;=70,"B",IF(AP15&gt;=65,"C+",IF(AP15&gt;=60,"C",IF(AP15&gt;=55,"D+",IF(AP15&gt;=50,"D","F")))))))</f>
      </c>
      <c r="AS15" s="43" t="s">
        <v>95</v>
      </c>
      <c r="AT15" s="43">
        <f>IF(AS15&gt;=91, 4.00, IF(AS15&gt;=81, 3.50, IF(AS15&gt;=70, 3.00, IF(AS15&gt;=65, 2.50, IF(AS15&gt;=60, 2.00, IF(AS15&gt;=55, 1.50, IF(AS15&gt;=50, 1.00, 0.00)))))))</f>
      </c>
      <c r="AU15" s="44">
        <f>IF(AS15&gt;=91,"A",IF(AS15&gt;=81,"B+",IF(AS15&gt;=70,"B",IF(AS15&gt;=65,"C+",IF(AS15&gt;=60,"C",IF(AS15&gt;=55,"D+",IF(AS15&gt;=50,"D","F")))))))</f>
      </c>
      <c r="AV15" s="45" t="s">
        <v>49</v>
      </c>
      <c r="AW15" s="40">
        <f>IF(AV15&gt;=91, 4.00, IF(AV15&gt;=81, 3.50, IF(AV15&gt;=70, 3.00, IF(AV15&gt;=65, 2.50, IF(AV15&gt;=60, 2.00, IF(AV15&gt;=55, 1.50, IF(AV15&gt;=50, 1.00, 0.00)))))))</f>
      </c>
      <c r="AX15" s="49">
        <f>IF(AV15&gt;=91,"A",IF(AV15&gt;=81,"B+",IF(AV15&gt;=70,"B",IF(AV15&gt;=65,"C+",IF(AV15&gt;=60,"C",IF(AV15&gt;=55,"D+",IF(AV15&gt;=50,"D","F")))))))</f>
      </c>
      <c r="AY15" s="40" t="str">
        <f>IF(AW15&gt;90,"A",IF(AW15&gt;80,"B+",IF(AW15&gt;69,"B",IF(AW15&gt;64,"C+",IF(AW15&gt;59,"C",IF(AW15&gt;54,"D+",IF(AW15&gt;49,"D",IF(AW15&gt;=0,"F"))))))))</f>
        <v>C</v>
      </c>
      <c r="AZ15" s="48">
        <f>IF(AY15&gt;=91, 4.00, IF(AY15&gt;=81, 3.50, IF(AY15&gt;=70, 3.00, IF(AY15&gt;=65, 2.50, IF(AY15&gt;=60, 2.00, IF(AY15&gt;=55, 1.50, IF(AY15&gt;=50, 1.00, 0.00)))))))</f>
      </c>
      <c r="BA15" s="49">
        <f>IF(AY15&gt;=91,"A",IF(AY15&gt;=81,"B+",IF(AY15&gt;=70,"B",IF(AY15&gt;=65,"C+",IF(AY15&gt;=60,"C",IF(AY15&gt;=55,"D+",IF(AY15&gt;=50,"D","F")))))))</f>
      </c>
      <c r="BB15" s="40" t="str">
        <f>IF(AZ15&gt;90,"A",IF(AZ15&gt;80,"B+",IF(AZ15&gt;69,"B",IF(AZ15&gt;64,"C+",IF(AZ15&gt;59,"C",IF(AZ15&gt;54,"D+",IF(AZ15&gt;49,"D",IF(AZ15&gt;=0,"F"))))))))</f>
        <v>B</v>
      </c>
      <c r="BC15" s="43">
        <f>IF(BB15&gt;=91, 4.00, IF(BB15&gt;=81, 3.50, IF(BB15&gt;=70, 3.00, IF(BB15&gt;=65, 2.50, IF(BB15&gt;=60, 2.00, IF(BB15&gt;=55, 1.50, IF(BB15&gt;=50, 1.00, 0.00)))))))</f>
      </c>
      <c r="BD15" s="49">
        <f>IF(BB15&gt;=91,"A",IF(BB15&gt;=81,"B+",IF(BB15&gt;=70,"B",IF(BB15&gt;=65,"C+",IF(BB15&gt;=60,"C",IF(BB15&gt;=55,"D+",IF(BB15&gt;=50,"D","F")))))))</f>
      </c>
      <c r="BE15" s="40" t="str">
        <f>IF(BC15&gt;90,"A",IF(BC15&gt;80,"B+",IF(BC15&gt;69,"B",IF(BC15&gt;64,"C+",IF(BC15&gt;59,"C",IF(BC15&gt;54,"D+",IF(BC15&gt;49,"D",IF(BC15&gt;=0,"F"))))))))</f>
        <v>C</v>
      </c>
      <c r="BF15" s="48">
        <f>IF(BE15&gt;=91, 4.00, IF(BE15&gt;=81, 3.50, IF(BE15&gt;=70, 3.00, IF(BE15&gt;=65, 2.50, IF(BE15&gt;=60, 2.00, IF(BE15&gt;=55, 1.50, IF(BE15&gt;=50, 1.00, 0.00)))))))</f>
      </c>
      <c r="BG15" s="49">
        <f>IF(BE15&gt;=91,"A",IF(BE15&gt;=81,"B+",IF(BE15&gt;=70,"B",IF(BE15&gt;=65,"C+",IF(BE15&gt;=60,"C",IF(BE15&gt;=55,"D+",IF(BE15&gt;=50,"D","F")))))))</f>
      </c>
      <c r="BH15" s="40" t="str">
        <f>IF(BF15&gt;90,"A",IF(BF15&gt;80,"B+",IF(BF15&gt;69,"B",IF(BF15&gt;64,"C+",IF(BF15&gt;59,"C",IF(BF15&gt;54,"D+",IF(BF15&gt;49,"D",IF(BF15&gt;=0,"F"))))))))</f>
        <v>B</v>
      </c>
      <c r="BI15" s="43">
        <f>IF(BH15&gt;=91, 4.00, IF(BH15&gt;=81, 3.50, IF(BH15&gt;=70, 3.00, IF(BH15&gt;=65, 2.50, IF(BH15&gt;=60, 2.00, IF(BH15&gt;=55, 1.50, IF(BH15&gt;=50, 1.00, 0.00)))))))</f>
      </c>
      <c r="BJ15" s="49">
        <f>IF(BH15&gt;=91,"A",IF(BH15&gt;=81,"B+",IF(BH15&gt;=70,"B",IF(BH15&gt;=65,"C+",IF(BH15&gt;=60,"C",IF(BH15&gt;=55,"D+",IF(BH15&gt;=50,"D","F")))))))</f>
      </c>
      <c r="BK15" s="40" t="str">
        <f>IF(BI15&gt;90,"A",IF(BI15&gt;80,"B+",IF(BI15&gt;69,"B",IF(BI15&gt;64,"C+",IF(BI15&gt;59,"C",IF(BI15&gt;54,"D+",IF(BI15&gt;49,"D",IF(BI15&gt;=0,"F"))))))))</f>
        <v>B</v>
      </c>
      <c r="BL15" s="43">
        <f>IF(BK15&gt;=91, 4.00, IF(BK15&gt;=81, 3.50, IF(BK15&gt;=70, 3.00, IF(BK15&gt;=65, 2.50, IF(BK15&gt;=60, 2.00, IF(BK15&gt;=55, 1.50, IF(BK15&gt;=50, 1.00, 0.00)))))))</f>
      </c>
      <c r="BM15" s="49">
        <f>IF(BK15&gt;=91,"A",IF(BK15&gt;=81,"B+",IF(BK15&gt;=70,"B",IF(BK15&gt;=65,"C+",IF(BK15&gt;=60,"C",IF(BK15&gt;=55,"D+",IF(BK15&gt;=50,"D","F")))))))</f>
      </c>
      <c r="BN15" s="40" t="str">
        <f>IF(BL15&gt;90,"A",IF(BL15&gt;80,"B+",IF(BL15&gt;69,"B",IF(BL15&gt;64,"C+",IF(BL15&gt;59,"C",IF(BL15&gt;54,"D+",IF(BL15&gt;49,"D",IF(BL15&gt;=0,"F"))))))))</f>
        <v>C</v>
      </c>
      <c r="BO15" s="49">
        <f>IF(BN15&gt;=91, 4.00, IF(BN15&gt;=81, 3.50, IF(BN15&gt;=70, 3.00, IF(BN15&gt;=65, 2.50, IF(BN15&gt;=60, 2.00, IF(BN15&gt;=55, 1.50, IF(BN15&gt;=50, 1.00, 0.00)))))))</f>
      </c>
      <c r="BP15" s="49">
        <f>IF(BN15&gt;=91,"A",IF(BN15&gt;=81,"B+",IF(BN15&gt;=70,"B",IF(BN15&gt;=65,"C+",IF(BN15&gt;=60,"C",IF(BN15&gt;=55,"D+",IF(BN15&gt;=50,"D","F")))))))</f>
      </c>
      <c r="BQ15" s="40">
        <f>ROUND((AN15*3+AQ15*2+AT15*1+AW15*2+AZ15*1+BC15*1+BF15*2+BI15*2+BL15*2+BO15*3)/19, 2)</f>
      </c>
      <c r="BR15" s="49">
        <v>67</v>
      </c>
      <c r="BS15" s="49" t="str">
        <f>IF(BR15&gt;90,"4.00",IF(BR15&gt;80,"3.50",IF(BR15&gt;69,"3.00",IF(BR15&gt;64,"2.50",IF(BR15&gt;59,"2.00",IF(BR15&gt;54,"1.50",IF(BR15&gt;49,"1.00","0.00")))))))</f>
        <v>2.50</v>
      </c>
      <c r="BT15" s="40" t="str">
        <f>IF(BR15&gt;90,"A",IF(BR15&gt;80,"B+",IF(BR15&gt;69,"B",IF(BR15&gt;64,"C+",IF(BR15&gt;59,"C",IF(BR15&gt;54,"D+",IF(BR15&gt;49,"D",IF(BR15&gt;=0,"F"))))))))</f>
        <v>C+</v>
      </c>
      <c r="BU15" s="49">
        <v>74</v>
      </c>
      <c r="BV15" s="49" t="str">
        <f>IF(BU15&gt;90,"4.00",IF(BU15&gt;80,"3.50",IF(BU15&gt;69,"3.00",IF(BU15&gt;64,"2.50",IF(BU15&gt;59,"2.00",IF(BU15&gt;54,"1.50",IF(BU15&gt;49,"1.00","0.00")))))))</f>
        <v>3.00</v>
      </c>
      <c r="BW15" s="40" t="str">
        <f>IF(BU15&gt;90,"A",IF(BU15&gt;80,"B+",IF(BU15&gt;69,"B",IF(BU15&gt;64,"C+",IF(BU15&gt;59,"C",IF(BU15&gt;54,"D+",IF(BU15&gt;49,"D",IF(BU15&gt;=0,"F"))))))))</f>
        <v>B</v>
      </c>
      <c r="BX15" s="50">
        <f>(AX15*3+BA15*2+BD15*1+BG15*2+BJ15*1+BM15*1+BP15*2+BS15*2+BV15*2)/(3+2+1+2+1+1+2+2+2)</f>
        <v>2.625</v>
      </c>
      <c r="BY15" s="50">
        <f>(AL15+BX15)/2</f>
        <v>2.6948529411764706</v>
      </c>
      <c r="BZ15" s="51">
        <f>RANK(BY15,$BY$7:BY43)</f>
        <v>14</v>
      </c>
      <c r="CA15" s="40"/>
      <c r="CB15" s="52"/>
      <c r="CC15" s="52"/>
      <c r="CD15" s="52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</row>
    <row r="16" ht="20" customHeight="1" spans="1:193" s="39" customFormat="1" x14ac:dyDescent="0.25">
      <c r="A16" s="40">
        <v>10</v>
      </c>
      <c r="B16" s="65" t="s">
        <v>98</v>
      </c>
      <c r="C16" s="40" t="s">
        <v>43</v>
      </c>
      <c r="D16" s="42" t="s">
        <v>99</v>
      </c>
      <c r="E16" s="42" t="s">
        <v>100</v>
      </c>
      <c r="F16" s="43" t="s">
        <v>101</v>
      </c>
      <c r="G16" s="43" t="s">
        <v>102</v>
      </c>
      <c r="H16" s="44" t="s">
        <v>103</v>
      </c>
      <c r="I16" s="45" t="s">
        <v>49</v>
      </c>
      <c r="J16" s="40">
        <v>1</v>
      </c>
      <c r="K16" s="42">
        <v>78</v>
      </c>
      <c r="L16" s="40">
        <f>IF(K16&gt;=91, 4.00, IF(K16&gt;=81, 3.50, IF(K16&gt;=70, 3.00, IF(K16&gt;=65, 2.50, IF(K16&gt;=60, 2.00, IF(K16&gt;=55, 1.50, IF(K16&gt;=50, 1.00, 0.00)))))))</f>
      </c>
      <c r="M16" s="40">
        <f>IF(K16&gt;=91,"A",IF(K16&gt;=81,"B+",IF(K16&gt;=70,"B",IF(K16&gt;=65,"C+",IF(K16&gt;=60,"C",IF(K16&gt;=55,"D+",IF(K16&gt;=50,"D","F")))))))</f>
      </c>
      <c r="N16" s="42">
        <v>93</v>
      </c>
      <c r="O16" s="40">
        <f>IF(N16&gt;=91, 4.00, IF(N16&gt;=81, 3.50, IF(N16&gt;=70, 3.00, IF(N16&gt;=65, 2.50, IF(N16&gt;=60, 2.00, IF(N16&gt;=55, 1.50, IF(N16&gt;=50, 1.00, 0.00)))))))</f>
      </c>
      <c r="P16" s="40">
        <f>IF(N16&gt;=91,"A",IF(N16&gt;=81,"B+",IF(N16&gt;=70,"B",IF(N16&gt;=65,"C+",IF(N16&gt;=60,"C",IF(N16&gt;=55,"D+",IF(N16&gt;=50,"D","F")))))))</f>
      </c>
      <c r="Q16" s="42">
        <v>79</v>
      </c>
      <c r="R16" s="40">
        <f>IF(Q16&gt;=91, 4.00, IF(Q16&gt;=81, 3.50, IF(Q16&gt;=70, 3.00, IF(Q16&gt;=65, 2.50, IF(Q16&gt;=60, 2.00, IF(Q16&gt;=55, 1.50, IF(Q16&gt;=50, 1.00, 0.00)))))))</f>
      </c>
      <c r="S16" s="40">
        <f>IF(Q16&gt;=91,"A",IF(Q16&gt;=81,"B+",IF(Q16&gt;=70,"B",IF(Q16&gt;=65,"C+",IF(Q16&gt;=60,"C",IF(Q16&gt;=55,"D+",IF(Q16&gt;=50,"D","F")))))))</f>
      </c>
      <c r="T16" s="42">
        <v>76</v>
      </c>
      <c r="U16" s="40">
        <f>IF(T16&gt;=91, 4.00, IF(T16&gt;=81, 3.50, IF(T16&gt;=70, 3.00, IF(T16&gt;=65, 2.50, IF(T16&gt;=60, 2.00, IF(T16&gt;=55, 1.50, IF(T16&gt;=50, 1.00, 0.00)))))))</f>
      </c>
      <c r="V16" s="40">
        <f>IF(T16&gt;=91,"A",IF(T16&gt;=81,"B+",IF(T16&gt;=70,"B",IF(T16&gt;=65,"C+",IF(T16&gt;=60,"C",IF(T16&gt;=55,"D+",IF(T16&gt;=50,"D","F")))))))</f>
      </c>
      <c r="W16" s="42">
        <v>68</v>
      </c>
      <c r="X16" s="40">
        <f>IF(W16&gt;=91, 4.00, IF(W16&gt;=81, 3.50, IF(W16&gt;=70, 3.00, IF(W16&gt;=65, 2.50, IF(W16&gt;=60, 2.00, IF(W16&gt;=55, 1.50, IF(W16&gt;=50, 1.00, 0.00)))))))</f>
      </c>
      <c r="Y16" s="40">
        <f>IF(W16&gt;=91,"A",IF(W16&gt;=81,"B+",IF(W16&gt;=70,"B",IF(W16&gt;=65,"C+",IF(W16&gt;=60,"C",IF(W16&gt;=55,"D+",IF(W16&gt;=50,"D","F")))))))</f>
      </c>
      <c r="Z16" s="46">
        <v>85.9</v>
      </c>
      <c r="AA16" s="40">
        <f>IF(Z16&gt;=91, 4.00, IF(Z16&gt;=81, 3.50, IF(Z16&gt;=70, 3.00, IF(Z16&gt;=65, 2.50, IF(Z16&gt;=60, 2.00, IF(Z16&gt;=55, 1.50, IF(Z16&gt;=50, 1.00, 0.00)))))))</f>
      </c>
      <c r="AB16" s="40">
        <f>IF(Z16&gt;=91,"A",IF(Z16&gt;=81,"B+",IF(Z16&gt;=70,"B",IF(Z16&gt;=65,"C+",IF(Z16&gt;=60,"C",IF(Z16&gt;=55,"D+",IF(Z16&gt;=50,"D","F")))))))</f>
      </c>
      <c r="AC16" s="46">
        <v>77.5</v>
      </c>
      <c r="AD16" s="40">
        <f>IF(AC16&gt;=91, 4.00, IF(AC16&gt;=81, 3.50, IF(AC16&gt;=70, 3.00, IF(AC16&gt;=65, 2.50, IF(AC16&gt;=60, 2.00, IF(AC16&gt;=55, 1.50, IF(AC16&gt;=50, 1.00, 0.00)))))))</f>
      </c>
      <c r="AE16" s="40">
        <f>IF(AC16&gt;=91,"A",IF(AC16&gt;=81,"B+",IF(AC16&gt;=70,"B",IF(AC16&gt;=65,"C+",IF(AC16&gt;=60,"C",IF(AC16&gt;=55,"D+",IF(AC16&gt;=50,"D","F")))))))</f>
      </c>
      <c r="AF16" s="40">
        <v>82</v>
      </c>
      <c r="AG16" s="40">
        <f>IF(AF16&gt;=91, 4.00, IF(AF16&gt;=81, 3.50, IF(AF16&gt;=70, 3.00, IF(AF16&gt;=65, 2.50, IF(AF16&gt;=60, 2.00, IF(AF16&gt;=55, 1.50, IF(AF16&gt;=50, 1.00, 0.00)))))))</f>
      </c>
      <c r="AH16" s="40">
        <f>IF(AF16&gt;=91,"A",IF(AF16&gt;=81,"B+",IF(AF16&gt;=70,"B",IF(AF16&gt;=65,"C+",IF(AF16&gt;=60,"C",IF(AF16&gt;=55,"D+",IF(AF16&gt;=50,"D","F")))))))</f>
      </c>
      <c r="AI16" s="40">
        <v>90</v>
      </c>
      <c r="AJ16" s="40">
        <f>IF(AI16&gt;=91, 4.00, IF(AI16&gt;=81, 3.50, IF(AI16&gt;=70, 3.00, IF(AI16&gt;=65, 2.50, IF(AI16&gt;=60, 2.00, IF(AI16&gt;=55, 1.50, IF(AI16&gt;=50, 1.00, 0.00)))))))</f>
      </c>
      <c r="AK16" s="40">
        <f>IF(AI16&gt;=91,"A",IF(AI16&gt;=81,"B+",IF(AI16&gt;=70,"B",IF(AI16&gt;=65,"C+",IF(AI16&gt;=60,"C",IF(AI16&gt;=55,"D+",IF(AI16&gt;=50,"D","F")))))))</f>
      </c>
      <c r="AL16" s="40">
        <f>ROUND((L16*3+O16*2+R16*1+U16*2+X16*1+AA16*2+AD16*2+AG16*2+AJ16*2)/17, 2)</f>
      </c>
      <c r="AM16" s="47">
        <v>78</v>
      </c>
      <c r="AN16" s="40">
        <f>IF(AM16&gt;=91, 4.00, IF(AM16&gt;=81, 3.50, IF(AM16&gt;=70, 3.00, IF(AM16&gt;=65, 2.50, IF(AM16&gt;=60, 2.00, IF(AM16&gt;=55, 1.50, IF(AM16&gt;=50, 1.00, 0.00)))))))</f>
      </c>
      <c r="AO16" s="65">
        <f>IF(AM16&gt;=91,"A",IF(AM16&gt;=81,"B+",IF(AM16&gt;=70,"B",IF(AM16&gt;=65,"C+",IF(AM16&gt;=60,"C",IF(AM16&gt;=55,"D+",IF(AM16&gt;=50,"D","F")))))))</f>
      </c>
      <c r="AP16" s="40" t="s">
        <v>43</v>
      </c>
      <c r="AQ16" s="42">
        <f>IF(AP16&gt;=91, 4.00, IF(AP16&gt;=81, 3.50, IF(AP16&gt;=70, 3.00, IF(AP16&gt;=65, 2.50, IF(AP16&gt;=60, 2.00, IF(AP16&gt;=55, 1.50, IF(AP16&gt;=50, 1.00, 0.00)))))))</f>
      </c>
      <c r="AR16" s="42">
        <f>IF(AP16&gt;=91,"A",IF(AP16&gt;=81,"B+",IF(AP16&gt;=70,"B",IF(AP16&gt;=65,"C+",IF(AP16&gt;=60,"C",IF(AP16&gt;=55,"D+",IF(AP16&gt;=50,"D","F")))))))</f>
      </c>
      <c r="AS16" s="43" t="s">
        <v>101</v>
      </c>
      <c r="AT16" s="43">
        <f>IF(AS16&gt;=91, 4.00, IF(AS16&gt;=81, 3.50, IF(AS16&gt;=70, 3.00, IF(AS16&gt;=65, 2.50, IF(AS16&gt;=60, 2.00, IF(AS16&gt;=55, 1.50, IF(AS16&gt;=50, 1.00, 0.00)))))))</f>
      </c>
      <c r="AU16" s="44">
        <f>IF(AS16&gt;=91,"A",IF(AS16&gt;=81,"B+",IF(AS16&gt;=70,"B",IF(AS16&gt;=65,"C+",IF(AS16&gt;=60,"C",IF(AS16&gt;=55,"D+",IF(AS16&gt;=50,"D","F")))))))</f>
      </c>
      <c r="AV16" s="45" t="s">
        <v>49</v>
      </c>
      <c r="AW16" s="40">
        <f>IF(AV16&gt;=91, 4.00, IF(AV16&gt;=81, 3.50, IF(AV16&gt;=70, 3.00, IF(AV16&gt;=65, 2.50, IF(AV16&gt;=60, 2.00, IF(AV16&gt;=55, 1.50, IF(AV16&gt;=50, 1.00, 0.00)))))))</f>
      </c>
      <c r="AX16" s="49">
        <f>IF(AV16&gt;=91,"A",IF(AV16&gt;=81,"B+",IF(AV16&gt;=70,"B",IF(AV16&gt;=65,"C+",IF(AV16&gt;=60,"C",IF(AV16&gt;=55,"D+",IF(AV16&gt;=50,"D","F")))))))</f>
      </c>
      <c r="AY16" s="40" t="str">
        <f>IF(AW16&gt;90,"A",IF(AW16&gt;80,"B+",IF(AW16&gt;69,"B",IF(AW16&gt;64,"C+",IF(AW16&gt;59,"C",IF(AW16&gt;54,"D+",IF(AW16&gt;49,"D",IF(AW16&gt;=0,"F"))))))))</f>
        <v>B</v>
      </c>
      <c r="AZ16" s="48">
        <f>IF(AY16&gt;=91, 4.00, IF(AY16&gt;=81, 3.50, IF(AY16&gt;=70, 3.00, IF(AY16&gt;=65, 2.50, IF(AY16&gt;=60, 2.00, IF(AY16&gt;=55, 1.50, IF(AY16&gt;=50, 1.00, 0.00)))))))</f>
      </c>
      <c r="BA16" s="49">
        <f>IF(AY16&gt;=91,"A",IF(AY16&gt;=81,"B+",IF(AY16&gt;=70,"B",IF(AY16&gt;=65,"C+",IF(AY16&gt;=60,"C",IF(AY16&gt;=55,"D+",IF(AY16&gt;=50,"D","F")))))))</f>
      </c>
      <c r="BB16" s="40" t="str">
        <f>IF(AZ16&gt;90,"A",IF(AZ16&gt;80,"B+",IF(AZ16&gt;69,"B",IF(AZ16&gt;64,"C+",IF(AZ16&gt;59,"C",IF(AZ16&gt;54,"D+",IF(AZ16&gt;49,"D",IF(AZ16&gt;=0,"F"))))))))</f>
        <v>B</v>
      </c>
      <c r="BC16" s="43">
        <f>IF(BB16&gt;=91, 4.00, IF(BB16&gt;=81, 3.50, IF(BB16&gt;=70, 3.00, IF(BB16&gt;=65, 2.50, IF(BB16&gt;=60, 2.00, IF(BB16&gt;=55, 1.50, IF(BB16&gt;=50, 1.00, 0.00)))))))</f>
      </c>
      <c r="BD16" s="49">
        <f>IF(BB16&gt;=91,"A",IF(BB16&gt;=81,"B+",IF(BB16&gt;=70,"B",IF(BB16&gt;=65,"C+",IF(BB16&gt;=60,"C",IF(BB16&gt;=55,"D+",IF(BB16&gt;=50,"D","F")))))))</f>
      </c>
      <c r="BE16" s="40" t="str">
        <f>IF(BC16&gt;90,"A",IF(BC16&gt;80,"B+",IF(BC16&gt;69,"B",IF(BC16&gt;64,"C+",IF(BC16&gt;59,"C",IF(BC16&gt;54,"D+",IF(BC16&gt;49,"D",IF(BC16&gt;=0,"F"))))))))</f>
        <v>D+</v>
      </c>
      <c r="BF16" s="48">
        <f>IF(BE16&gt;=91, 4.00, IF(BE16&gt;=81, 3.50, IF(BE16&gt;=70, 3.00, IF(BE16&gt;=65, 2.50, IF(BE16&gt;=60, 2.00, IF(BE16&gt;=55, 1.50, IF(BE16&gt;=50, 1.00, 0.00)))))))</f>
      </c>
      <c r="BG16" s="49">
        <f>IF(BE16&gt;=91,"A",IF(BE16&gt;=81,"B+",IF(BE16&gt;=70,"B",IF(BE16&gt;=65,"C+",IF(BE16&gt;=60,"C",IF(BE16&gt;=55,"D+",IF(BE16&gt;=50,"D","F")))))))</f>
      </c>
      <c r="BH16" s="40" t="str">
        <f>IF(BF16&gt;90,"A",IF(BF16&gt;80,"B+",IF(BF16&gt;69,"B",IF(BF16&gt;64,"C+",IF(BF16&gt;59,"C",IF(BF16&gt;54,"D+",IF(BF16&gt;49,"D",IF(BF16&gt;=0,"F"))))))))</f>
        <v>B</v>
      </c>
      <c r="BI16" s="43">
        <f>IF(BH16&gt;=91, 4.00, IF(BH16&gt;=81, 3.50, IF(BH16&gt;=70, 3.00, IF(BH16&gt;=65, 2.50, IF(BH16&gt;=60, 2.00, IF(BH16&gt;=55, 1.50, IF(BH16&gt;=50, 1.00, 0.00)))))))</f>
      </c>
      <c r="BJ16" s="49">
        <f>IF(BH16&gt;=91,"A",IF(BH16&gt;=81,"B+",IF(BH16&gt;=70,"B",IF(BH16&gt;=65,"C+",IF(BH16&gt;=60,"C",IF(BH16&gt;=55,"D+",IF(BH16&gt;=50,"D","F")))))))</f>
      </c>
      <c r="BK16" s="40" t="str">
        <f>IF(BI16&gt;90,"A",IF(BI16&gt;80,"B+",IF(BI16&gt;69,"B",IF(BI16&gt;64,"C+",IF(BI16&gt;59,"C",IF(BI16&gt;54,"D+",IF(BI16&gt;49,"D",IF(BI16&gt;=0,"F"))))))))</f>
        <v>B+</v>
      </c>
      <c r="BL16" s="43">
        <f>IF(BK16&gt;=91, 4.00, IF(BK16&gt;=81, 3.50, IF(BK16&gt;=70, 3.00, IF(BK16&gt;=65, 2.50, IF(BK16&gt;=60, 2.00, IF(BK16&gt;=55, 1.50, IF(BK16&gt;=50, 1.00, 0.00)))))))</f>
      </c>
      <c r="BM16" s="49">
        <f>IF(BK16&gt;=91,"A",IF(BK16&gt;=81,"B+",IF(BK16&gt;=70,"B",IF(BK16&gt;=65,"C+",IF(BK16&gt;=60,"C",IF(BK16&gt;=55,"D+",IF(BK16&gt;=50,"D","F")))))))</f>
      </c>
      <c r="BN16" s="40" t="str">
        <f>IF(BL16&gt;90,"A",IF(BL16&gt;80,"B+",IF(BL16&gt;69,"B",IF(BL16&gt;64,"C+",IF(BL16&gt;59,"C",IF(BL16&gt;54,"D+",IF(BL16&gt;49,"D",IF(BL16&gt;=0,"F"))))))))</f>
        <v>B</v>
      </c>
      <c r="BO16" s="49">
        <f>IF(BN16&gt;=91, 4.00, IF(BN16&gt;=81, 3.50, IF(BN16&gt;=70, 3.00, IF(BN16&gt;=65, 2.50, IF(BN16&gt;=60, 2.00, IF(BN16&gt;=55, 1.50, IF(BN16&gt;=50, 1.00, 0.00)))))))</f>
      </c>
      <c r="BP16" s="49">
        <f>IF(BN16&gt;=91,"A",IF(BN16&gt;=81,"B+",IF(BN16&gt;=70,"B",IF(BN16&gt;=65,"C+",IF(BN16&gt;=60,"C",IF(BN16&gt;=55,"D+",IF(BN16&gt;=50,"D","F")))))))</f>
      </c>
      <c r="BQ16" s="40">
        <f>ROUND((AN16*3+AQ16*2+AT16*1+AW16*2+AZ16*1+BC16*1+BF16*2+BI16*2+BL16*2+BO16*3)/19, 2)</f>
      </c>
      <c r="BR16" s="49">
        <v>85</v>
      </c>
      <c r="BS16" s="49" t="str">
        <f>IF(BR16&gt;90,"4.00",IF(BR16&gt;80,"3.50",IF(BR16&gt;69,"3.00",IF(BR16&gt;64,"2.50",IF(BR16&gt;59,"2.00",IF(BR16&gt;54,"1.50",IF(BR16&gt;49,"1.00","0.00")))))))</f>
        <v>3.50</v>
      </c>
      <c r="BT16" s="40" t="str">
        <f>IF(BR16&gt;90,"A",IF(BR16&gt;80,"B+",IF(BR16&gt;69,"B",IF(BR16&gt;64,"C+",IF(BR16&gt;59,"C",IF(BR16&gt;54,"D+",IF(BR16&gt;49,"D",IF(BR16&gt;=0,"F"))))))))</f>
        <v>B+</v>
      </c>
      <c r="BU16" s="49">
        <v>78</v>
      </c>
      <c r="BV16" s="49" t="str">
        <f>IF(BU16&gt;90,"4.00",IF(BU16&gt;80,"3.50",IF(BU16&gt;69,"3.00",IF(BU16&gt;64,"2.50",IF(BU16&gt;59,"2.00",IF(BU16&gt;54,"1.50",IF(BU16&gt;49,"1.00","0.00")))))))</f>
        <v>3.00</v>
      </c>
      <c r="BW16" s="40" t="str">
        <f>IF(BU16&gt;90,"A",IF(BU16&gt;80,"B+",IF(BU16&gt;69,"B",IF(BU16&gt;64,"C+",IF(BU16&gt;59,"C",IF(BU16&gt;54,"D+",IF(BU16&gt;49,"D",IF(BU16&gt;=0,"F"))))))))</f>
        <v>B</v>
      </c>
      <c r="BX16" s="50">
        <f>(AX16*3+BA16*2+BD16*1+BG16*2+BJ16*1+BM16*1+BP16*2+BS16*2+BV16*2)/(3+2+1+2+1+1+2+2+2)</f>
        <v>3</v>
      </c>
      <c r="BY16" s="50">
        <f>(AL16+BX16)/2</f>
        <v>3.0294117647058822</v>
      </c>
      <c r="BZ16" s="51">
        <f>RANK(BY16,$BY$7:BY44)</f>
        <v>12</v>
      </c>
      <c r="CA16" s="58"/>
      <c r="CB16" s="52"/>
      <c r="CC16" s="52"/>
      <c r="CD16" s="52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</row>
    <row r="17" ht="20" customHeight="1" spans="1:193" s="39" customFormat="1" x14ac:dyDescent="0.25">
      <c r="A17" s="40">
        <v>11</v>
      </c>
      <c r="B17" s="65" t="s">
        <v>104</v>
      </c>
      <c r="C17" s="40" t="s">
        <v>51</v>
      </c>
      <c r="D17" s="42" t="s">
        <v>105</v>
      </c>
      <c r="E17" s="42" t="s">
        <v>106</v>
      </c>
      <c r="F17" s="43" t="s">
        <v>107</v>
      </c>
      <c r="G17" s="43" t="s">
        <v>108</v>
      </c>
      <c r="H17" s="44" t="s">
        <v>109</v>
      </c>
      <c r="I17" s="45" t="s">
        <v>49</v>
      </c>
      <c r="J17" s="40">
        <v>1</v>
      </c>
      <c r="K17" s="55">
        <v>27</v>
      </c>
      <c r="L17" s="56">
        <f>IF(K17&gt;=91, 4.00, IF(K17&gt;=81, 3.50, IF(K17&gt;=70, 3.00, IF(K17&gt;=65, 2.50, IF(K17&gt;=60, 2.00, IF(K17&gt;=55, 1.50, IF(K17&gt;=50, 1.00, 0.00)))))))</f>
      </c>
      <c r="M17" s="57">
        <f>IF(K17&gt;=91,"A",IF(K17&gt;=81,"B+",IF(K17&gt;=70,"B",IF(K17&gt;=65,"C+",IF(K17&gt;=60,"C",IF(K17&gt;=55,"D+",IF(K17&gt;=50,"D","F")))))))</f>
      </c>
      <c r="N17" s="42">
        <v>73</v>
      </c>
      <c r="O17" s="40">
        <f>IF(N17&gt;=91, 4.00, IF(N17&gt;=81, 3.50, IF(N17&gt;=70, 3.00, IF(N17&gt;=65, 2.50, IF(N17&gt;=60, 2.00, IF(N17&gt;=55, 1.50, IF(N17&gt;=50, 1.00, 0.00)))))))</f>
      </c>
      <c r="P17" s="40">
        <f>IF(N17&gt;=91,"A",IF(N17&gt;=81,"B+",IF(N17&gt;=70,"B",IF(N17&gt;=65,"C+",IF(N17&gt;=60,"C",IF(N17&gt;=55,"D+",IF(N17&gt;=50,"D","F")))))))</f>
      </c>
      <c r="Q17" s="55">
        <v>39</v>
      </c>
      <c r="R17" s="56">
        <f>IF(Q17&gt;=91, 4.00, IF(Q17&gt;=81, 3.50, IF(Q17&gt;=70, 3.00, IF(Q17&gt;=65, 2.50, IF(Q17&gt;=60, 2.00, IF(Q17&gt;=55, 1.50, IF(Q17&gt;=50, 1.00, 0.00)))))))</f>
      </c>
      <c r="S17" s="57">
        <f>IF(Q17&gt;=91,"A",IF(Q17&gt;=81,"B+",IF(Q17&gt;=70,"B",IF(Q17&gt;=65,"C+",IF(Q17&gt;=60,"C",IF(Q17&gt;=55,"D+",IF(Q17&gt;=50,"D","F")))))))</f>
      </c>
      <c r="T17" s="55">
        <v>46</v>
      </c>
      <c r="U17" s="56">
        <f>IF(T17&gt;=91, 4.00, IF(T17&gt;=81, 3.50, IF(T17&gt;=70, 3.00, IF(T17&gt;=65, 2.50, IF(T17&gt;=60, 2.00, IF(T17&gt;=55, 1.50, IF(T17&gt;=50, 1.00, 0.00)))))))</f>
      </c>
      <c r="V17" s="57">
        <f>IF(T17&gt;=91,"A",IF(T17&gt;=81,"B+",IF(T17&gt;=70,"B",IF(T17&gt;=65,"C+",IF(T17&gt;=60,"C",IF(T17&gt;=55,"D+",IF(T17&gt;=50,"D","F")))))))</f>
      </c>
      <c r="W17" s="55">
        <v>27</v>
      </c>
      <c r="X17" s="56">
        <f>IF(W17&gt;=91, 4.00, IF(W17&gt;=81, 3.50, IF(W17&gt;=70, 3.00, IF(W17&gt;=65, 2.50, IF(W17&gt;=60, 2.00, IF(W17&gt;=55, 1.50, IF(W17&gt;=50, 1.00, 0.00)))))))</f>
      </c>
      <c r="Y17" s="57">
        <f>IF(W17&gt;=91,"A",IF(W17&gt;=81,"B+",IF(W17&gt;=70,"B",IF(W17&gt;=65,"C+",IF(W17&gt;=60,"C",IF(W17&gt;=55,"D+",IF(W17&gt;=50,"D","F")))))))</f>
      </c>
      <c r="Z17" s="46">
        <v>83.51</v>
      </c>
      <c r="AA17" s="40">
        <f>IF(Z17&gt;=91, 4.00, IF(Z17&gt;=81, 3.50, IF(Z17&gt;=70, 3.00, IF(Z17&gt;=65, 2.50, IF(Z17&gt;=60, 2.00, IF(Z17&gt;=55, 1.50, IF(Z17&gt;=50, 1.00, 0.00)))))))</f>
      </c>
      <c r="AB17" s="40">
        <f>IF(Z17&gt;=91,"A",IF(Z17&gt;=81,"B+",IF(Z17&gt;=70,"B",IF(Z17&gt;=65,"C+",IF(Z17&gt;=60,"C",IF(Z17&gt;=55,"D+",IF(Z17&gt;=50,"D","F")))))))</f>
      </c>
      <c r="AC17" s="46">
        <v>71.5</v>
      </c>
      <c r="AD17" s="40">
        <f>IF(AC17&gt;=91, 4.00, IF(AC17&gt;=81, 3.50, IF(AC17&gt;=70, 3.00, IF(AC17&gt;=65, 2.50, IF(AC17&gt;=60, 2.00, IF(AC17&gt;=55, 1.50, IF(AC17&gt;=50, 1.00, 0.00)))))))</f>
      </c>
      <c r="AE17" s="40">
        <f>IF(AC17&gt;=91,"A",IF(AC17&gt;=81,"B+",IF(AC17&gt;=70,"B",IF(AC17&gt;=65,"C+",IF(AC17&gt;=60,"C",IF(AC17&gt;=55,"D+",IF(AC17&gt;=50,"D","F")))))))</f>
      </c>
      <c r="AF17" s="40">
        <v>82</v>
      </c>
      <c r="AG17" s="40">
        <f>IF(AF17&gt;=91, 4.00, IF(AF17&gt;=81, 3.50, IF(AF17&gt;=70, 3.00, IF(AF17&gt;=65, 2.50, IF(AF17&gt;=60, 2.00, IF(AF17&gt;=55, 1.50, IF(AF17&gt;=50, 1.00, 0.00)))))))</f>
      </c>
      <c r="AH17" s="40">
        <f>IF(AF17&gt;=91,"A",IF(AF17&gt;=81,"B+",IF(AF17&gt;=70,"B",IF(AF17&gt;=65,"C+",IF(AF17&gt;=60,"C",IF(AF17&gt;=55,"D+",IF(AF17&gt;=50,"D","F")))))))</f>
      </c>
      <c r="AI17" s="40">
        <v>91</v>
      </c>
      <c r="AJ17" s="40">
        <f>IF(AI17&gt;=91, 4.00, IF(AI17&gt;=81, 3.50, IF(AI17&gt;=70, 3.00, IF(AI17&gt;=65, 2.50, IF(AI17&gt;=60, 2.00, IF(AI17&gt;=55, 1.50, IF(AI17&gt;=50, 1.00, 0.00)))))))</f>
      </c>
      <c r="AK17" s="40">
        <f>IF(AI17&gt;=91,"A",IF(AI17&gt;=81,"B+",IF(AI17&gt;=70,"B",IF(AI17&gt;=65,"C+",IF(AI17&gt;=60,"C",IF(AI17&gt;=55,"D+",IF(AI17&gt;=50,"D","F")))))))</f>
      </c>
      <c r="AL17" s="40">
        <f>ROUND((L17*3+O17*2+R17*1+U17*2+X17*1+AA17*2+AD17*2+AG17*2+AJ17*2)/17, 2)</f>
      </c>
      <c r="AM17" s="47">
        <v>81</v>
      </c>
      <c r="AN17" s="40">
        <f>IF(AM17&gt;=91, 4.00, IF(AM17&gt;=81, 3.50, IF(AM17&gt;=70, 3.00, IF(AM17&gt;=65, 2.50, IF(AM17&gt;=60, 2.00, IF(AM17&gt;=55, 1.50, IF(AM17&gt;=50, 1.00, 0.00)))))))</f>
      </c>
      <c r="AO17" s="65">
        <f>IF(AM17&gt;=91,"A",IF(AM17&gt;=81,"B+",IF(AM17&gt;=70,"B",IF(AM17&gt;=65,"C+",IF(AM17&gt;=60,"C",IF(AM17&gt;=55,"D+",IF(AM17&gt;=50,"D","F")))))))</f>
      </c>
      <c r="AP17" s="40" t="s">
        <v>51</v>
      </c>
      <c r="AQ17" s="42">
        <f>IF(AP17&gt;=91, 4.00, IF(AP17&gt;=81, 3.50, IF(AP17&gt;=70, 3.00, IF(AP17&gt;=65, 2.50, IF(AP17&gt;=60, 2.00, IF(AP17&gt;=55, 1.50, IF(AP17&gt;=50, 1.00, 0.00)))))))</f>
      </c>
      <c r="AR17" s="42">
        <f>IF(AP17&gt;=91,"A",IF(AP17&gt;=81,"B+",IF(AP17&gt;=70,"B",IF(AP17&gt;=65,"C+",IF(AP17&gt;=60,"C",IF(AP17&gt;=55,"D+",IF(AP17&gt;=50,"D","F")))))))</f>
      </c>
      <c r="AS17" s="43" t="s">
        <v>107</v>
      </c>
      <c r="AT17" s="43">
        <f>IF(AS17&gt;=91, 4.00, IF(AS17&gt;=81, 3.50, IF(AS17&gt;=70, 3.00, IF(AS17&gt;=65, 2.50, IF(AS17&gt;=60, 2.00, IF(AS17&gt;=55, 1.50, IF(AS17&gt;=50, 1.00, 0.00)))))))</f>
      </c>
      <c r="AU17" s="44">
        <f>IF(AS17&gt;=91,"A",IF(AS17&gt;=81,"B+",IF(AS17&gt;=70,"B",IF(AS17&gt;=65,"C+",IF(AS17&gt;=60,"C",IF(AS17&gt;=55,"D+",IF(AS17&gt;=50,"D","F")))))))</f>
      </c>
      <c r="AV17" s="45" t="s">
        <v>49</v>
      </c>
      <c r="AW17" s="59">
        <f>IF(AV17&gt;=91, 4.00, IF(AV17&gt;=81, 3.50, IF(AV17&gt;=70, 3.00, IF(AV17&gt;=65, 2.50, IF(AV17&gt;=60, 2.00, IF(AV17&gt;=55, 1.50, IF(AV17&gt;=50, 1.00, 0.00)))))))</f>
      </c>
      <c r="AX17" s="60">
        <f>IF(AV17&gt;=91,"A",IF(AV17&gt;=81,"B+",IF(AV17&gt;=70,"B",IF(AV17&gt;=65,"C+",IF(AV17&gt;=60,"C",IF(AV17&gt;=55,"D+",IF(AV17&gt;=50,"D","F")))))))</f>
      </c>
      <c r="AY17" s="60" t="str">
        <f>IF(AW17&gt;90,"A",IF(AW17&gt;80,"B+",IF(AW17&gt;69,"B",IF(AW17&gt;64,"C+",IF(AW17&gt;59,"C",IF(AW17&gt;54,"D+",IF(AW17&gt;49,"D",IF(AW17&gt;=0,"F"))))))))</f>
        <v>F</v>
      </c>
      <c r="AZ17" s="48">
        <f>IF(AY17&gt;=91, 4.00, IF(AY17&gt;=81, 3.50, IF(AY17&gt;=70, 3.00, IF(AY17&gt;=65, 2.50, IF(AY17&gt;=60, 2.00, IF(AY17&gt;=55, 1.50, IF(AY17&gt;=50, 1.00, 0.00)))))))</f>
      </c>
      <c r="BA17" s="49">
        <f>IF(AY17&gt;=91,"A",IF(AY17&gt;=81,"B+",IF(AY17&gt;=70,"B",IF(AY17&gt;=65,"C+",IF(AY17&gt;=60,"C",IF(AY17&gt;=55,"D+",IF(AY17&gt;=50,"D","F")))))))</f>
      </c>
      <c r="BB17" s="40" t="str">
        <f>IF(AZ17&gt;90,"A",IF(AZ17&gt;80,"B+",IF(AZ17&gt;69,"B",IF(AZ17&gt;64,"C+",IF(AZ17&gt;59,"C",IF(AZ17&gt;54,"D+",IF(AZ17&gt;49,"D",IF(AZ17&gt;=0,"F"))))))))</f>
        <v>D+</v>
      </c>
      <c r="BC17" s="43">
        <f>IF(BB17&gt;=91, 4.00, IF(BB17&gt;=81, 3.50, IF(BB17&gt;=70, 3.00, IF(BB17&gt;=65, 2.50, IF(BB17&gt;=60, 2.00, IF(BB17&gt;=55, 1.50, IF(BB17&gt;=50, 1.00, 0.00)))))))</f>
      </c>
      <c r="BD17" s="49">
        <f>IF(BB17&gt;=91,"A",IF(BB17&gt;=81,"B+",IF(BB17&gt;=70,"B",IF(BB17&gt;=65,"C+",IF(BB17&gt;=60,"C",IF(BB17&gt;=55,"D+",IF(BB17&gt;=50,"D","F")))))))</f>
      </c>
      <c r="BE17" s="40" t="str">
        <f>IF(BC17&gt;90,"A",IF(BC17&gt;80,"B+",IF(BC17&gt;69,"B",IF(BC17&gt;64,"C+",IF(BC17&gt;59,"C",IF(BC17&gt;54,"D+",IF(BC17&gt;49,"D",IF(BC17&gt;=0,"F"))))))))</f>
        <v>D</v>
      </c>
      <c r="BF17" s="59">
        <f>IF(BE17&gt;=91, 4.00, IF(BE17&gt;=81, 3.50, IF(BE17&gt;=70, 3.00, IF(BE17&gt;=65, 2.50, IF(BE17&gt;=60, 2.00, IF(BE17&gt;=55, 1.50, IF(BE17&gt;=50, 1.00, 0.00)))))))</f>
      </c>
      <c r="BG17" s="60">
        <f>IF(BE17&gt;=91,"A",IF(BE17&gt;=81,"B+",IF(BE17&gt;=70,"B",IF(BE17&gt;=65,"C+",IF(BE17&gt;=60,"C",IF(BE17&gt;=55,"D+",IF(BE17&gt;=50,"D","F")))))))</f>
      </c>
      <c r="BH17" s="60" t="str">
        <f>IF(BF17&gt;90,"A",IF(BF17&gt;80,"B+",IF(BF17&gt;69,"B",IF(BF17&gt;64,"C+",IF(BF17&gt;59,"C",IF(BF17&gt;54,"D+",IF(BF17&gt;49,"D",IF(BF17&gt;=0,"F"))))))))</f>
        <v>F</v>
      </c>
      <c r="BI17" s="43">
        <f>IF(BH17&gt;=91, 4.00, IF(BH17&gt;=81, 3.50, IF(BH17&gt;=70, 3.00, IF(BH17&gt;=65, 2.50, IF(BH17&gt;=60, 2.00, IF(BH17&gt;=55, 1.50, IF(BH17&gt;=50, 1.00, 0.00)))))))</f>
      </c>
      <c r="BJ17" s="49">
        <f>IF(BH17&gt;=91,"A",IF(BH17&gt;=81,"B+",IF(BH17&gt;=70,"B",IF(BH17&gt;=65,"C+",IF(BH17&gt;=60,"C",IF(BH17&gt;=55,"D+",IF(BH17&gt;=50,"D","F")))))))</f>
      </c>
      <c r="BK17" s="40" t="str">
        <f>IF(BI17&gt;90,"A",IF(BI17&gt;80,"B+",IF(BI17&gt;69,"B",IF(BI17&gt;64,"C+",IF(BI17&gt;59,"C",IF(BI17&gt;54,"D+",IF(BI17&gt;49,"D",IF(BI17&gt;=0,"F"))))))))</f>
        <v>C</v>
      </c>
      <c r="BL17" s="43">
        <f>IF(BK17&gt;=91, 4.00, IF(BK17&gt;=81, 3.50, IF(BK17&gt;=70, 3.00, IF(BK17&gt;=65, 2.50, IF(BK17&gt;=60, 2.00, IF(BK17&gt;=55, 1.50, IF(BK17&gt;=50, 1.00, 0.00)))))))</f>
      </c>
      <c r="BM17" s="49">
        <f>IF(BK17&gt;=91,"A",IF(BK17&gt;=81,"B+",IF(BK17&gt;=70,"B",IF(BK17&gt;=65,"C+",IF(BK17&gt;=60,"C",IF(BK17&gt;=55,"D+",IF(BK17&gt;=50,"D","F")))))))</f>
      </c>
      <c r="BN17" s="40" t="str">
        <f>IF(BL17&gt;90,"A",IF(BL17&gt;80,"B+",IF(BL17&gt;69,"B",IF(BL17&gt;64,"C+",IF(BL17&gt;59,"C",IF(BL17&gt;54,"D+",IF(BL17&gt;49,"D",IF(BL17&gt;=0,"F"))))))))</f>
        <v>D+</v>
      </c>
      <c r="BO17" s="49">
        <f>IF(BN17&gt;=91, 4.00, IF(BN17&gt;=81, 3.50, IF(BN17&gt;=70, 3.00, IF(BN17&gt;=65, 2.50, IF(BN17&gt;=60, 2.00, IF(BN17&gt;=55, 1.50, IF(BN17&gt;=50, 1.00, 0.00)))))))</f>
      </c>
      <c r="BP17" s="49">
        <f>IF(BN17&gt;=91,"A",IF(BN17&gt;=81,"B+",IF(BN17&gt;=70,"B",IF(BN17&gt;=65,"C+",IF(BN17&gt;=60,"C",IF(BN17&gt;=55,"D+",IF(BN17&gt;=50,"D","F")))))))</f>
      </c>
      <c r="BQ17" s="40">
        <f>ROUND((AN17*3+AQ17*2+AT17*1+AW17*2+AZ17*1+BC17*1+BF17*2+BI17*2+BL17*2+BO17*3)/19, 2)</f>
      </c>
      <c r="BR17" s="49">
        <v>54</v>
      </c>
      <c r="BS17" s="49" t="str">
        <f>IF(BR17&gt;90,"4.00",IF(BR17&gt;80,"3.50",IF(BR17&gt;69,"3.00",IF(BR17&gt;64,"2.50",IF(BR17&gt;59,"2.00",IF(BR17&gt;54,"1.50",IF(BR17&gt;49,"1.00","0.00")))))))</f>
        <v>1.00</v>
      </c>
      <c r="BT17" s="40" t="str">
        <f>IF(BR17&gt;90,"A",IF(BR17&gt;80,"B+",IF(BR17&gt;69,"B",IF(BR17&gt;64,"C+",IF(BR17&gt;59,"C",IF(BR17&gt;54,"D+",IF(BR17&gt;49,"D",IF(BR17&gt;=0,"F"))))))))</f>
        <v>D</v>
      </c>
      <c r="BU17" s="49">
        <v>60</v>
      </c>
      <c r="BV17" s="49" t="str">
        <f>IF(BU17&gt;90,"4.00",IF(BU17&gt;80,"3.50",IF(BU17&gt;69,"3.00",IF(BU17&gt;64,"2.50",IF(BU17&gt;59,"2.00",IF(BU17&gt;54,"1.50",IF(BU17&gt;49,"1.00","0.00")))))))</f>
        <v>2.00</v>
      </c>
      <c r="BW17" s="40" t="str">
        <f>IF(BU17&gt;90,"A",IF(BU17&gt;80,"B+",IF(BU17&gt;69,"B",IF(BU17&gt;64,"C+",IF(BU17&gt;59,"C",IF(BU17&gt;54,"D+",IF(BU17&gt;49,"D",IF(BU17&gt;=0,"F"))))))))</f>
        <v>C</v>
      </c>
      <c r="BX17" s="50">
        <f>(AX17*3+BA17*2+BD17*1+BG17*2+BJ17*1+BM17*1+BP17*2+BS17*2+BV17*2)/(3+2+1+2+1+1+2+2+2)</f>
        <v>1.15625</v>
      </c>
      <c r="BY17" s="50">
        <f>(AL17+BX17)/2</f>
        <v>1.4751838235294117</v>
      </c>
      <c r="BZ17" s="51">
        <f>RANK(BY17,$BY$7:BY45)</f>
        <v>21</v>
      </c>
      <c r="CA17" s="40"/>
      <c r="CB17" s="52"/>
      <c r="CC17" s="52"/>
      <c r="CD17" s="52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</row>
    <row r="18" ht="20" customHeight="1" spans="1:193" s="39" customFormat="1" x14ac:dyDescent="0.25">
      <c r="A18" s="40">
        <v>12</v>
      </c>
      <c r="B18" s="65" t="s">
        <v>110</v>
      </c>
      <c r="C18" s="40" t="s">
        <v>43</v>
      </c>
      <c r="D18" s="42" t="s">
        <v>111</v>
      </c>
      <c r="E18" s="42" t="s">
        <v>112</v>
      </c>
      <c r="F18" s="43" t="s">
        <v>113</v>
      </c>
      <c r="G18" s="43" t="s">
        <v>114</v>
      </c>
      <c r="H18" s="44" t="s">
        <v>115</v>
      </c>
      <c r="I18" s="45" t="s">
        <v>116</v>
      </c>
      <c r="J18" s="40">
        <v>1</v>
      </c>
      <c r="K18" s="55">
        <v>0</v>
      </c>
      <c r="L18" s="56">
        <f>IF(K18&gt;=91, 4.00, IF(K18&gt;=81, 3.50, IF(K18&gt;=70, 3.00, IF(K18&gt;=65, 2.50, IF(K18&gt;=60, 2.00, IF(K18&gt;=55, 1.50, IF(K18&gt;=50, 1.00, 0.00)))))))</f>
      </c>
      <c r="M18" s="57">
        <f>IF(K18&gt;=91,"A",IF(K18&gt;=81,"B+",IF(K18&gt;=70,"B",IF(K18&gt;=65,"C+",IF(K18&gt;=60,"C",IF(K18&gt;=55,"D+",IF(K18&gt;=50,"D","F")))))))</f>
      </c>
      <c r="N18" s="42">
        <v>86</v>
      </c>
      <c r="O18" s="40">
        <f>IF(N18&gt;=91, 4.00, IF(N18&gt;=81, 3.50, IF(N18&gt;=70, 3.00, IF(N18&gt;=65, 2.50, IF(N18&gt;=60, 2.00, IF(N18&gt;=55, 1.50, IF(N18&gt;=50, 1.00, 0.00)))))))</f>
      </c>
      <c r="P18" s="40">
        <f>IF(N18&gt;=91,"A",IF(N18&gt;=81,"B+",IF(N18&gt;=70,"B",IF(N18&gt;=65,"C+",IF(N18&gt;=60,"C",IF(N18&gt;=55,"D+",IF(N18&gt;=50,"D","F")))))))</f>
      </c>
      <c r="Q18" s="42">
        <v>76</v>
      </c>
      <c r="R18" s="40">
        <f>IF(Q18&gt;=91, 4.00, IF(Q18&gt;=81, 3.50, IF(Q18&gt;=70, 3.00, IF(Q18&gt;=65, 2.50, IF(Q18&gt;=60, 2.00, IF(Q18&gt;=55, 1.50, IF(Q18&gt;=50, 1.00, 0.00)))))))</f>
      </c>
      <c r="S18" s="40">
        <f>IF(Q18&gt;=91,"A",IF(Q18&gt;=81,"B+",IF(Q18&gt;=70,"B",IF(Q18&gt;=65,"C+",IF(Q18&gt;=60,"C",IF(Q18&gt;=55,"D+",IF(Q18&gt;=50,"D","F")))))))</f>
      </c>
      <c r="T18" s="55">
        <v>0</v>
      </c>
      <c r="U18" s="56">
        <f>IF(T18&gt;=91, 4.00, IF(T18&gt;=81, 3.50, IF(T18&gt;=70, 3.00, IF(T18&gt;=65, 2.50, IF(T18&gt;=60, 2.00, IF(T18&gt;=55, 1.50, IF(T18&gt;=50, 1.00, 0.00)))))))</f>
      </c>
      <c r="V18" s="57">
        <f>IF(T18&gt;=91,"A",IF(T18&gt;=81,"B+",IF(T18&gt;=70,"B",IF(T18&gt;=65,"C+",IF(T18&gt;=60,"C",IF(T18&gt;=55,"D+",IF(T18&gt;=50,"D","F")))))))</f>
      </c>
      <c r="W18" s="55">
        <v>0</v>
      </c>
      <c r="X18" s="56">
        <f>IF(W18&gt;=91, 4.00, IF(W18&gt;=81, 3.50, IF(W18&gt;=70, 3.00, IF(W18&gt;=65, 2.50, IF(W18&gt;=60, 2.00, IF(W18&gt;=55, 1.50, IF(W18&gt;=50, 1.00, 0.00)))))))</f>
      </c>
      <c r="Y18" s="57">
        <f>IF(W18&gt;=91,"A",IF(W18&gt;=81,"B+",IF(W18&gt;=70,"B",IF(W18&gt;=65,"C+",IF(W18&gt;=60,"C",IF(W18&gt;=55,"D+",IF(W18&gt;=50,"D","F")))))))</f>
      </c>
      <c r="Z18" s="46">
        <v>80.95</v>
      </c>
      <c r="AA18" s="40">
        <f>IF(Z18&gt;=91, 4.00, IF(Z18&gt;=81, 3.50, IF(Z18&gt;=70, 3.00, IF(Z18&gt;=65, 2.50, IF(Z18&gt;=60, 2.00, IF(Z18&gt;=55, 1.50, IF(Z18&gt;=50, 1.00, 0.00)))))))</f>
      </c>
      <c r="AB18" s="40">
        <f>IF(Z18&gt;=91,"A",IF(Z18&gt;=81,"B+",IF(Z18&gt;=70,"B",IF(Z18&gt;=65,"C+",IF(Z18&gt;=60,"C",IF(Z18&gt;=55,"D+",IF(Z18&gt;=50,"D","F")))))))</f>
      </c>
      <c r="AC18" s="46">
        <v>65</v>
      </c>
      <c r="AD18" s="40">
        <f>IF(AC18&gt;=91, 4.00, IF(AC18&gt;=81, 3.50, IF(AC18&gt;=70, 3.00, IF(AC18&gt;=65, 2.50, IF(AC18&gt;=60, 2.00, IF(AC18&gt;=55, 1.50, IF(AC18&gt;=50, 1.00, 0.00)))))))</f>
      </c>
      <c r="AE18" s="40">
        <f>IF(AC18&gt;=91,"A",IF(AC18&gt;=81,"B+",IF(AC18&gt;=70,"B",IF(AC18&gt;=65,"C+",IF(AC18&gt;=60,"C",IF(AC18&gt;=55,"D+",IF(AC18&gt;=50,"D","F")))))))</f>
      </c>
      <c r="AF18" s="40">
        <v>70</v>
      </c>
      <c r="AG18" s="40">
        <f>IF(AF18&gt;=91, 4.00, IF(AF18&gt;=81, 3.50, IF(AF18&gt;=70, 3.00, IF(AF18&gt;=65, 2.50, IF(AF18&gt;=60, 2.00, IF(AF18&gt;=55, 1.50, IF(AF18&gt;=50, 1.00, 0.00)))))))</f>
      </c>
      <c r="AH18" s="40">
        <f>IF(AF18&gt;=91,"A",IF(AF18&gt;=81,"B+",IF(AF18&gt;=70,"B",IF(AF18&gt;=65,"C+",IF(AF18&gt;=60,"C",IF(AF18&gt;=55,"D+",IF(AF18&gt;=50,"D","F")))))))</f>
      </c>
      <c r="AI18" s="40">
        <v>92</v>
      </c>
      <c r="AJ18" s="40">
        <f>IF(AI18&gt;=91, 4.00, IF(AI18&gt;=81, 3.50, IF(AI18&gt;=70, 3.00, IF(AI18&gt;=65, 2.50, IF(AI18&gt;=60, 2.00, IF(AI18&gt;=55, 1.50, IF(AI18&gt;=50, 1.00, 0.00)))))))</f>
      </c>
      <c r="AK18" s="40">
        <f>IF(AI18&gt;=91,"A",IF(AI18&gt;=81,"B+",IF(AI18&gt;=70,"B",IF(AI18&gt;=65,"C+",IF(AI18&gt;=60,"C",IF(AI18&gt;=55,"D+",IF(AI18&gt;=50,"D","F")))))))</f>
      </c>
      <c r="AL18" s="40">
        <f>ROUND((L18*3+O18*2+R18*1+U18*2+X18*1+AA18*2+AD18*2+AG18*2+AJ18*2)/17, 2)</f>
      </c>
      <c r="AM18" s="47">
        <v>84</v>
      </c>
      <c r="AN18" s="40">
        <f>IF(AM18&gt;=91, 4.00, IF(AM18&gt;=81, 3.50, IF(AM18&gt;=70, 3.00, IF(AM18&gt;=65, 2.50, IF(AM18&gt;=60, 2.00, IF(AM18&gt;=55, 1.50, IF(AM18&gt;=50, 1.00, 0.00)))))))</f>
      </c>
      <c r="AO18" s="65">
        <f>IF(AM18&gt;=91,"A",IF(AM18&gt;=81,"B+",IF(AM18&gt;=70,"B",IF(AM18&gt;=65,"C+",IF(AM18&gt;=60,"C",IF(AM18&gt;=55,"D+",IF(AM18&gt;=50,"D","F")))))))</f>
      </c>
      <c r="AP18" s="40" t="s">
        <v>43</v>
      </c>
      <c r="AQ18" s="42">
        <f>IF(AP18&gt;=91, 4.00, IF(AP18&gt;=81, 3.50, IF(AP18&gt;=70, 3.00, IF(AP18&gt;=65, 2.50, IF(AP18&gt;=60, 2.00, IF(AP18&gt;=55, 1.50, IF(AP18&gt;=50, 1.00, 0.00)))))))</f>
      </c>
      <c r="AR18" s="42">
        <f>IF(AP18&gt;=91,"A",IF(AP18&gt;=81,"B+",IF(AP18&gt;=70,"B",IF(AP18&gt;=65,"C+",IF(AP18&gt;=60,"C",IF(AP18&gt;=55,"D+",IF(AP18&gt;=50,"D","F")))))))</f>
      </c>
      <c r="AS18" s="43" t="s">
        <v>113</v>
      </c>
      <c r="AT18" s="43">
        <f>IF(AS18&gt;=91, 4.00, IF(AS18&gt;=81, 3.50, IF(AS18&gt;=70, 3.00, IF(AS18&gt;=65, 2.50, IF(AS18&gt;=60, 2.00, IF(AS18&gt;=55, 1.50, IF(AS18&gt;=50, 1.00, 0.00)))))))</f>
      </c>
      <c r="AU18" s="44">
        <f>IF(AS18&gt;=91,"A",IF(AS18&gt;=81,"B+",IF(AS18&gt;=70,"B",IF(AS18&gt;=65,"C+",IF(AS18&gt;=60,"C",IF(AS18&gt;=55,"D+",IF(AS18&gt;=50,"D","F")))))))</f>
      </c>
      <c r="AV18" s="45" t="s">
        <v>116</v>
      </c>
      <c r="AW18" s="48">
        <f>IF(AV18&gt;=91, 4.00, IF(AV18&gt;=81, 3.50, IF(AV18&gt;=70, 3.00, IF(AV18&gt;=65, 2.50, IF(AV18&gt;=60, 2.00, IF(AV18&gt;=55, 1.50, IF(AV18&gt;=50, 1.00, 0.00)))))))</f>
      </c>
      <c r="AX18" s="49">
        <f>IF(AV18&gt;=91,"A",IF(AV18&gt;=81,"B+",IF(AV18&gt;=70,"B",IF(AV18&gt;=65,"C+",IF(AV18&gt;=60,"C",IF(AV18&gt;=55,"D+",IF(AV18&gt;=50,"D","F")))))))</f>
      </c>
      <c r="AY18" s="40" t="str">
        <f>IF(AW18&gt;90,"A",IF(AW18&gt;80,"B+",IF(AW18&gt;69,"B",IF(AW18&gt;64,"C+",IF(AW18&gt;59,"C",IF(AW18&gt;54,"D+",IF(AW18&gt;49,"D",IF(AW18&gt;=0,"F"))))))))</f>
        <v>A</v>
      </c>
      <c r="AZ18" s="48">
        <f>IF(AY18&gt;=91, 4.00, IF(AY18&gt;=81, 3.50, IF(AY18&gt;=70, 3.00, IF(AY18&gt;=65, 2.50, IF(AY18&gt;=60, 2.00, IF(AY18&gt;=55, 1.50, IF(AY18&gt;=50, 1.00, 0.00)))))))</f>
      </c>
      <c r="BA18" s="49">
        <f>IF(AY18&gt;=91,"A",IF(AY18&gt;=81,"B+",IF(AY18&gt;=70,"B",IF(AY18&gt;=65,"C+",IF(AY18&gt;=60,"C",IF(AY18&gt;=55,"D+",IF(AY18&gt;=50,"D","F")))))))</f>
      </c>
      <c r="BB18" s="40" t="str">
        <f>IF(AZ18&gt;90,"A",IF(AZ18&gt;80,"B+",IF(AZ18&gt;69,"B",IF(AZ18&gt;64,"C+",IF(AZ18&gt;59,"C",IF(AZ18&gt;54,"D+",IF(AZ18&gt;49,"D",IF(AZ18&gt;=0,"F"))))))))</f>
        <v>A</v>
      </c>
      <c r="BC18" s="43">
        <f>IF(BB18&gt;=91, 4.00, IF(BB18&gt;=81, 3.50, IF(BB18&gt;=70, 3.00, IF(BB18&gt;=65, 2.50, IF(BB18&gt;=60, 2.00, IF(BB18&gt;=55, 1.50, IF(BB18&gt;=50, 1.00, 0.00)))))))</f>
      </c>
      <c r="BD18" s="49">
        <f>IF(BB18&gt;=91,"A",IF(BB18&gt;=81,"B+",IF(BB18&gt;=70,"B",IF(BB18&gt;=65,"C+",IF(BB18&gt;=60,"C",IF(BB18&gt;=55,"D+",IF(BB18&gt;=50,"D","F")))))))</f>
      </c>
      <c r="BE18" s="40" t="str">
        <f>IF(BC18&gt;90,"A",IF(BC18&gt;80,"B+",IF(BC18&gt;69,"B",IF(BC18&gt;64,"C+",IF(BC18&gt;59,"C",IF(BC18&gt;54,"D+",IF(BC18&gt;49,"D",IF(BC18&gt;=0,"F"))))))))</f>
        <v>A</v>
      </c>
      <c r="BF18" s="48">
        <f>IF(BE18&gt;=91, 4.00, IF(BE18&gt;=81, 3.50, IF(BE18&gt;=70, 3.00, IF(BE18&gt;=65, 2.50, IF(BE18&gt;=60, 2.00, IF(BE18&gt;=55, 1.50, IF(BE18&gt;=50, 1.00, 0.00)))))))</f>
      </c>
      <c r="BG18" s="49">
        <f>IF(BE18&gt;=91,"A",IF(BE18&gt;=81,"B+",IF(BE18&gt;=70,"B",IF(BE18&gt;=65,"C+",IF(BE18&gt;=60,"C",IF(BE18&gt;=55,"D+",IF(BE18&gt;=50,"D","F")))))))</f>
      </c>
      <c r="BH18" s="40" t="str">
        <f>IF(BF18&gt;90,"A",IF(BF18&gt;80,"B+",IF(BF18&gt;69,"B",IF(BF18&gt;64,"C+",IF(BF18&gt;59,"C",IF(BF18&gt;54,"D+",IF(BF18&gt;49,"D",IF(BF18&gt;=0,"F"))))))))</f>
        <v>A</v>
      </c>
      <c r="BI18" s="43">
        <f>IF(BH18&gt;=91, 4.00, IF(BH18&gt;=81, 3.50, IF(BH18&gt;=70, 3.00, IF(BH18&gt;=65, 2.50, IF(BH18&gt;=60, 2.00, IF(BH18&gt;=55, 1.50, IF(BH18&gt;=50, 1.00, 0.00)))))))</f>
      </c>
      <c r="BJ18" s="49">
        <f>IF(BH18&gt;=91,"A",IF(BH18&gt;=81,"B+",IF(BH18&gt;=70,"B",IF(BH18&gt;=65,"C+",IF(BH18&gt;=60,"C",IF(BH18&gt;=55,"D+",IF(BH18&gt;=50,"D","F")))))))</f>
      </c>
      <c r="BK18" s="40" t="str">
        <f>IF(BI18&gt;90,"A",IF(BI18&gt;80,"B+",IF(BI18&gt;69,"B",IF(BI18&gt;64,"C+",IF(BI18&gt;59,"C",IF(BI18&gt;54,"D+",IF(BI18&gt;49,"D",IF(BI18&gt;=0,"F"))))))))</f>
        <v>B+</v>
      </c>
      <c r="BL18" s="43">
        <f>IF(BK18&gt;=91, 4.00, IF(BK18&gt;=81, 3.50, IF(BK18&gt;=70, 3.00, IF(BK18&gt;=65, 2.50, IF(BK18&gt;=60, 2.00, IF(BK18&gt;=55, 1.50, IF(BK18&gt;=50, 1.00, 0.00)))))))</f>
      </c>
      <c r="BM18" s="49">
        <f>IF(BK18&gt;=91,"A",IF(BK18&gt;=81,"B+",IF(BK18&gt;=70,"B",IF(BK18&gt;=65,"C+",IF(BK18&gt;=60,"C",IF(BK18&gt;=55,"D+",IF(BK18&gt;=50,"D","F")))))))</f>
      </c>
      <c r="BN18" s="40" t="str">
        <f>IF(BL18&gt;90,"A",IF(BL18&gt;80,"B+",IF(BL18&gt;69,"B",IF(BL18&gt;64,"C+",IF(BL18&gt;59,"C",IF(BL18&gt;54,"D+",IF(BL18&gt;49,"D",IF(BL18&gt;=0,"F"))))))))</f>
        <v>A</v>
      </c>
      <c r="BO18" s="49">
        <f>IF(BN18&gt;=91, 4.00, IF(BN18&gt;=81, 3.50, IF(BN18&gt;=70, 3.00, IF(BN18&gt;=65, 2.50, IF(BN18&gt;=60, 2.00, IF(BN18&gt;=55, 1.50, IF(BN18&gt;=50, 1.00, 0.00)))))))</f>
      </c>
      <c r="BP18" s="49">
        <f>IF(BN18&gt;=91,"A",IF(BN18&gt;=81,"B+",IF(BN18&gt;=70,"B",IF(BN18&gt;=65,"C+",IF(BN18&gt;=60,"C",IF(BN18&gt;=55,"D+",IF(BN18&gt;=50,"D","F")))))))</f>
      </c>
      <c r="BQ18" s="40">
        <f>ROUND((AN18*3+AQ18*2+AT18*1+AW18*2+AZ18*1+BC18*1+BF18*2+BI18*2+BL18*2+BO18*3)/19, 2)</f>
      </c>
      <c r="BR18" s="62">
        <v>29</v>
      </c>
      <c r="BS18" s="62" t="str">
        <f>IF(BR18&gt;90,"4.00",IF(BR18&gt;80,"3.50",IF(BR18&gt;69,"3.00",IF(BR18&gt;64,"2.50",IF(BR18&gt;59,"2.00",IF(BR18&gt;54,"1.50",IF(BR18&gt;49,"1.00","0.00")))))))</f>
        <v>0.00</v>
      </c>
      <c r="BT18" s="63" t="str">
        <f>IF(BR18&gt;90,"A",IF(BR18&gt;80,"B+",IF(BR18&gt;69,"B",IF(BR18&gt;64,"C+",IF(BR18&gt;59,"C",IF(BR18&gt;54,"D+",IF(BR18&gt;49,"D",IF(BR18&gt;=0,"F"))))))))</f>
        <v>F</v>
      </c>
      <c r="BU18" s="49">
        <v>60</v>
      </c>
      <c r="BV18" s="49" t="str">
        <f>IF(BU18&gt;90,"4.00",IF(BU18&gt;80,"3.50",IF(BU18&gt;69,"3.00",IF(BU18&gt;64,"2.50",IF(BU18&gt;59,"2.00",IF(BU18&gt;54,"1.50",IF(BU18&gt;49,"1.00","0.00")))))))</f>
        <v>2.00</v>
      </c>
      <c r="BW18" s="40" t="str">
        <f>IF(BU18&gt;90,"A",IF(BU18&gt;80,"B+",IF(BU18&gt;69,"B",IF(BU18&gt;64,"C+",IF(BU18&gt;59,"C",IF(BU18&gt;54,"D+",IF(BU18&gt;49,"D",IF(BU18&gt;=0,"F"))))))))</f>
        <v>C</v>
      </c>
      <c r="BX18" s="50">
        <f>(AX18*3+BA18*2+BD18*1+BG18*2+BJ18*1+BM18*1+BP18*2+BS18*2+BV18*2)/(3+2+1+2+1+1+2+2+2)</f>
        <v>3.09375</v>
      </c>
      <c r="BY18" s="50">
        <f>(AL18+BX18)/2</f>
        <v>2.5027573529411766</v>
      </c>
      <c r="BZ18" s="51">
        <f>RANK(BY18,$BY$7:BY46)</f>
        <v>16</v>
      </c>
      <c r="CA18" s="58"/>
      <c r="CB18" s="52"/>
      <c r="CC18" s="52"/>
      <c r="CD18" s="52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</row>
    <row r="19" ht="20" customHeight="1" spans="1:193" s="39" customFormat="1" x14ac:dyDescent="0.25">
      <c r="A19" s="40">
        <v>13</v>
      </c>
      <c r="B19" s="65" t="s">
        <v>117</v>
      </c>
      <c r="C19" s="40" t="s">
        <v>43</v>
      </c>
      <c r="D19" s="42" t="s">
        <v>118</v>
      </c>
      <c r="E19" s="42" t="s">
        <v>119</v>
      </c>
      <c r="F19" s="43" t="s">
        <v>120</v>
      </c>
      <c r="G19" s="43" t="s">
        <v>121</v>
      </c>
      <c r="H19" s="44" t="s">
        <v>122</v>
      </c>
      <c r="I19" s="45" t="s">
        <v>49</v>
      </c>
      <c r="J19" s="40">
        <v>1</v>
      </c>
      <c r="K19" s="42">
        <v>75</v>
      </c>
      <c r="L19" s="40">
        <f>IF(K19&gt;=91, 4.00, IF(K19&gt;=81, 3.50, IF(K19&gt;=70, 3.00, IF(K19&gt;=65, 2.50, IF(K19&gt;=60, 2.00, IF(K19&gt;=55, 1.50, IF(K19&gt;=50, 1.00, 0.00)))))))</f>
      </c>
      <c r="M19" s="40">
        <f>IF(K19&gt;=91,"A",IF(K19&gt;=81,"B+",IF(K19&gt;=70,"B",IF(K19&gt;=65,"C+",IF(K19&gt;=60,"C",IF(K19&gt;=55,"D+",IF(K19&gt;=50,"D","F")))))))</f>
      </c>
      <c r="N19" s="42">
        <v>90</v>
      </c>
      <c r="O19" s="40">
        <f>IF(N19&gt;=91, 4.00, IF(N19&gt;=81, 3.50, IF(N19&gt;=70, 3.00, IF(N19&gt;=65, 2.50, IF(N19&gt;=60, 2.00, IF(N19&gt;=55, 1.50, IF(N19&gt;=50, 1.00, 0.00)))))))</f>
      </c>
      <c r="P19" s="40">
        <f>IF(N19&gt;=91,"A",IF(N19&gt;=81,"B+",IF(N19&gt;=70,"B",IF(N19&gt;=65,"C+",IF(N19&gt;=60,"C",IF(N19&gt;=55,"D+",IF(N19&gt;=50,"D","F")))))))</f>
      </c>
      <c r="Q19" s="42">
        <v>86</v>
      </c>
      <c r="R19" s="40">
        <f>IF(Q19&gt;=91, 4.00, IF(Q19&gt;=81, 3.50, IF(Q19&gt;=70, 3.00, IF(Q19&gt;=65, 2.50, IF(Q19&gt;=60, 2.00, IF(Q19&gt;=55, 1.50, IF(Q19&gt;=50, 1.00, 0.00)))))))</f>
      </c>
      <c r="S19" s="40">
        <f>IF(Q19&gt;=91,"A",IF(Q19&gt;=81,"B+",IF(Q19&gt;=70,"B",IF(Q19&gt;=65,"C+",IF(Q19&gt;=60,"C",IF(Q19&gt;=55,"D+",IF(Q19&gt;=50,"D","F")))))))</f>
      </c>
      <c r="T19" s="42">
        <v>68</v>
      </c>
      <c r="U19" s="40">
        <f>IF(T19&gt;=91, 4.00, IF(T19&gt;=81, 3.50, IF(T19&gt;=70, 3.00, IF(T19&gt;=65, 2.50, IF(T19&gt;=60, 2.00, IF(T19&gt;=55, 1.50, IF(T19&gt;=50, 1.00, 0.00)))))))</f>
      </c>
      <c r="V19" s="40">
        <f>IF(T19&gt;=91,"A",IF(T19&gt;=81,"B+",IF(T19&gt;=70,"B",IF(T19&gt;=65,"C+",IF(T19&gt;=60,"C",IF(T19&gt;=55,"D+",IF(T19&gt;=50,"D","F")))))))</f>
      </c>
      <c r="W19" s="42">
        <v>65</v>
      </c>
      <c r="X19" s="40">
        <f>IF(W19&gt;=91, 4.00, IF(W19&gt;=81, 3.50, IF(W19&gt;=70, 3.00, IF(W19&gt;=65, 2.50, IF(W19&gt;=60, 2.00, IF(W19&gt;=55, 1.50, IF(W19&gt;=50, 1.00, 0.00)))))))</f>
      </c>
      <c r="Y19" s="40">
        <f>IF(W19&gt;=91,"A",IF(W19&gt;=81,"B+",IF(W19&gt;=70,"B",IF(W19&gt;=65,"C+",IF(W19&gt;=60,"C",IF(W19&gt;=55,"D+",IF(W19&gt;=50,"D","F")))))))</f>
      </c>
      <c r="Z19" s="46">
        <v>90.12</v>
      </c>
      <c r="AA19" s="40">
        <f>IF(Z19&gt;=91, 4.00, IF(Z19&gt;=81, 3.50, IF(Z19&gt;=70, 3.00, IF(Z19&gt;=65, 2.50, IF(Z19&gt;=60, 2.00, IF(Z19&gt;=55, 1.50, IF(Z19&gt;=50, 1.00, 0.00)))))))</f>
      </c>
      <c r="AB19" s="40">
        <f>IF(Z19&gt;=91,"A",IF(Z19&gt;=81,"B+",IF(Z19&gt;=70,"B",IF(Z19&gt;=65,"C+",IF(Z19&gt;=60,"C",IF(Z19&gt;=55,"D+",IF(Z19&gt;=50,"D","F")))))))</f>
      </c>
      <c r="AC19" s="46">
        <v>81.5</v>
      </c>
      <c r="AD19" s="40">
        <f>IF(AC19&gt;=91, 4.00, IF(AC19&gt;=81, 3.50, IF(AC19&gt;=70, 3.00, IF(AC19&gt;=65, 2.50, IF(AC19&gt;=60, 2.00, IF(AC19&gt;=55, 1.50, IF(AC19&gt;=50, 1.00, 0.00)))))))</f>
      </c>
      <c r="AE19" s="40">
        <f>IF(AC19&gt;=91,"A",IF(AC19&gt;=81,"B+",IF(AC19&gt;=70,"B",IF(AC19&gt;=65,"C+",IF(AC19&gt;=60,"C",IF(AC19&gt;=55,"D+",IF(AC19&gt;=50,"D","F")))))))</f>
      </c>
      <c r="AF19" s="40">
        <v>85</v>
      </c>
      <c r="AG19" s="40">
        <f>IF(AF19&gt;=91, 4.00, IF(AF19&gt;=81, 3.50, IF(AF19&gt;=70, 3.00, IF(AF19&gt;=65, 2.50, IF(AF19&gt;=60, 2.00, IF(AF19&gt;=55, 1.50, IF(AF19&gt;=50, 1.00, 0.00)))))))</f>
      </c>
      <c r="AH19" s="40">
        <f>IF(AF19&gt;=91,"A",IF(AF19&gt;=81,"B+",IF(AF19&gt;=70,"B",IF(AF19&gt;=65,"C+",IF(AF19&gt;=60,"C",IF(AF19&gt;=55,"D+",IF(AF19&gt;=50,"D","F")))))))</f>
      </c>
      <c r="AI19" s="40">
        <v>93</v>
      </c>
      <c r="AJ19" s="40">
        <f>IF(AI19&gt;=91, 4.00, IF(AI19&gt;=81, 3.50, IF(AI19&gt;=70, 3.00, IF(AI19&gt;=65, 2.50, IF(AI19&gt;=60, 2.00, IF(AI19&gt;=55, 1.50, IF(AI19&gt;=50, 1.00, 0.00)))))))</f>
      </c>
      <c r="AK19" s="40">
        <f>IF(AI19&gt;=91,"A",IF(AI19&gt;=81,"B+",IF(AI19&gt;=70,"B",IF(AI19&gt;=65,"C+",IF(AI19&gt;=60,"C",IF(AI19&gt;=55,"D+",IF(AI19&gt;=50,"D","F")))))))</f>
      </c>
      <c r="AL19" s="40">
        <f>ROUND((L19*3+O19*2+R19*1+U19*2+X19*1+AA19*2+AD19*2+AG19*2+AJ19*2)/17, 2)</f>
      </c>
      <c r="AM19" s="47">
        <v>87</v>
      </c>
      <c r="AN19" s="40">
        <f>IF(AM19&gt;=91, 4.00, IF(AM19&gt;=81, 3.50, IF(AM19&gt;=70, 3.00, IF(AM19&gt;=65, 2.50, IF(AM19&gt;=60, 2.00, IF(AM19&gt;=55, 1.50, IF(AM19&gt;=50, 1.00, 0.00)))))))</f>
      </c>
      <c r="AO19" s="65">
        <f>IF(AM19&gt;=91,"A",IF(AM19&gt;=81,"B+",IF(AM19&gt;=70,"B",IF(AM19&gt;=65,"C+",IF(AM19&gt;=60,"C",IF(AM19&gt;=55,"D+",IF(AM19&gt;=50,"D","F")))))))</f>
      </c>
      <c r="AP19" s="40" t="s">
        <v>43</v>
      </c>
      <c r="AQ19" s="42">
        <f>IF(AP19&gt;=91, 4.00, IF(AP19&gt;=81, 3.50, IF(AP19&gt;=70, 3.00, IF(AP19&gt;=65, 2.50, IF(AP19&gt;=60, 2.00, IF(AP19&gt;=55, 1.50, IF(AP19&gt;=50, 1.00, 0.00)))))))</f>
      </c>
      <c r="AR19" s="42">
        <f>IF(AP19&gt;=91,"A",IF(AP19&gt;=81,"B+",IF(AP19&gt;=70,"B",IF(AP19&gt;=65,"C+",IF(AP19&gt;=60,"C",IF(AP19&gt;=55,"D+",IF(AP19&gt;=50,"D","F")))))))</f>
      </c>
      <c r="AS19" s="43" t="s">
        <v>120</v>
      </c>
      <c r="AT19" s="43">
        <f>IF(AS19&gt;=91, 4.00, IF(AS19&gt;=81, 3.50, IF(AS19&gt;=70, 3.00, IF(AS19&gt;=65, 2.50, IF(AS19&gt;=60, 2.00, IF(AS19&gt;=55, 1.50, IF(AS19&gt;=50, 1.00, 0.00)))))))</f>
      </c>
      <c r="AU19" s="44">
        <f>IF(AS19&gt;=91,"A",IF(AS19&gt;=81,"B+",IF(AS19&gt;=70,"B",IF(AS19&gt;=65,"C+",IF(AS19&gt;=60,"C",IF(AS19&gt;=55,"D+",IF(AS19&gt;=50,"D","F")))))))</f>
      </c>
      <c r="AV19" s="45" t="s">
        <v>49</v>
      </c>
      <c r="AW19" s="48">
        <f>IF(AV19&gt;=91, 4.00, IF(AV19&gt;=81, 3.50, IF(AV19&gt;=70, 3.00, IF(AV19&gt;=65, 2.50, IF(AV19&gt;=60, 2.00, IF(AV19&gt;=55, 1.50, IF(AV19&gt;=50, 1.00, 0.00)))))))</f>
      </c>
      <c r="AX19" s="49">
        <f>IF(AV19&gt;=91,"A",IF(AV19&gt;=81,"B+",IF(AV19&gt;=70,"B",IF(AV19&gt;=65,"C+",IF(AV19&gt;=60,"C",IF(AV19&gt;=55,"D+",IF(AV19&gt;=50,"D","F")))))))</f>
      </c>
      <c r="AY19" s="40" t="str">
        <f>IF(AW19&gt;90,"A",IF(AW19&gt;80,"B+",IF(AW19&gt;69,"B",IF(AW19&gt;64,"C+",IF(AW19&gt;59,"C",IF(AW19&gt;54,"D+",IF(AW19&gt;49,"D",IF(AW19&gt;=0,"F"))))))))</f>
        <v>A</v>
      </c>
      <c r="AZ19" s="48">
        <f>IF(AY19&gt;=91, 4.00, IF(AY19&gt;=81, 3.50, IF(AY19&gt;=70, 3.00, IF(AY19&gt;=65, 2.50, IF(AY19&gt;=60, 2.00, IF(AY19&gt;=55, 1.50, IF(AY19&gt;=50, 1.00, 0.00)))))))</f>
      </c>
      <c r="BA19" s="49">
        <f>IF(AY19&gt;=91,"A",IF(AY19&gt;=81,"B+",IF(AY19&gt;=70,"B",IF(AY19&gt;=65,"C+",IF(AY19&gt;=60,"C",IF(AY19&gt;=55,"D+",IF(AY19&gt;=50,"D","F")))))))</f>
      </c>
      <c r="BB19" s="40" t="str">
        <f>IF(AZ19&gt;90,"A",IF(AZ19&gt;80,"B+",IF(AZ19&gt;69,"B",IF(AZ19&gt;64,"C+",IF(AZ19&gt;59,"C",IF(AZ19&gt;54,"D+",IF(AZ19&gt;49,"D",IF(AZ19&gt;=0,"F"))))))))</f>
        <v>B+</v>
      </c>
      <c r="BC19" s="43">
        <f>IF(BB19&gt;=91, 4.00, IF(BB19&gt;=81, 3.50, IF(BB19&gt;=70, 3.00, IF(BB19&gt;=65, 2.50, IF(BB19&gt;=60, 2.00, IF(BB19&gt;=55, 1.50, IF(BB19&gt;=50, 1.00, 0.00)))))))</f>
      </c>
      <c r="BD19" s="49">
        <f>IF(BB19&gt;=91,"A",IF(BB19&gt;=81,"B+",IF(BB19&gt;=70,"B",IF(BB19&gt;=65,"C+",IF(BB19&gt;=60,"C",IF(BB19&gt;=55,"D+",IF(BB19&gt;=50,"D","F")))))))</f>
      </c>
      <c r="BE19" s="40" t="str">
        <f>IF(BC19&gt;90,"A",IF(BC19&gt;80,"B+",IF(BC19&gt;69,"B",IF(BC19&gt;64,"C+",IF(BC19&gt;59,"C",IF(BC19&gt;54,"D+",IF(BC19&gt;49,"D",IF(BC19&gt;=0,"F"))))))))</f>
        <v>B</v>
      </c>
      <c r="BF19" s="48">
        <f>IF(BE19&gt;=91, 4.00, IF(BE19&gt;=81, 3.50, IF(BE19&gt;=70, 3.00, IF(BE19&gt;=65, 2.50, IF(BE19&gt;=60, 2.00, IF(BE19&gt;=55, 1.50, IF(BE19&gt;=50, 1.00, 0.00)))))))</f>
      </c>
      <c r="BG19" s="49">
        <f>IF(BE19&gt;=91,"A",IF(BE19&gt;=81,"B+",IF(BE19&gt;=70,"B",IF(BE19&gt;=65,"C+",IF(BE19&gt;=60,"C",IF(BE19&gt;=55,"D+",IF(BE19&gt;=50,"D","F")))))))</f>
      </c>
      <c r="BH19" s="40" t="str">
        <f>IF(BF19&gt;90,"A",IF(BF19&gt;80,"B+",IF(BF19&gt;69,"B",IF(BF19&gt;64,"C+",IF(BF19&gt;59,"C",IF(BF19&gt;54,"D+",IF(BF19&gt;49,"D",IF(BF19&gt;=0,"F"))))))))</f>
        <v>B+</v>
      </c>
      <c r="BI19" s="43">
        <f>IF(BH19&gt;=91, 4.00, IF(BH19&gt;=81, 3.50, IF(BH19&gt;=70, 3.00, IF(BH19&gt;=65, 2.50, IF(BH19&gt;=60, 2.00, IF(BH19&gt;=55, 1.50, IF(BH19&gt;=50, 1.00, 0.00)))))))</f>
      </c>
      <c r="BJ19" s="49">
        <f>IF(BH19&gt;=91,"A",IF(BH19&gt;=81,"B+",IF(BH19&gt;=70,"B",IF(BH19&gt;=65,"C+",IF(BH19&gt;=60,"C",IF(BH19&gt;=55,"D+",IF(BH19&gt;=50,"D","F")))))))</f>
      </c>
      <c r="BK19" s="40" t="str">
        <f>IF(BI19&gt;90,"A",IF(BI19&gt;80,"B+",IF(BI19&gt;69,"B",IF(BI19&gt;64,"C+",IF(BI19&gt;59,"C",IF(BI19&gt;54,"D+",IF(BI19&gt;49,"D",IF(BI19&gt;=0,"F"))))))))</f>
        <v>A</v>
      </c>
      <c r="BL19" s="43">
        <f>IF(BK19&gt;=91, 4.00, IF(BK19&gt;=81, 3.50, IF(BK19&gt;=70, 3.00, IF(BK19&gt;=65, 2.50, IF(BK19&gt;=60, 2.00, IF(BK19&gt;=55, 1.50, IF(BK19&gt;=50, 1.00, 0.00)))))))</f>
      </c>
      <c r="BM19" s="49">
        <f>IF(BK19&gt;=91,"A",IF(BK19&gt;=81,"B+",IF(BK19&gt;=70,"B",IF(BK19&gt;=65,"C+",IF(BK19&gt;=60,"C",IF(BK19&gt;=55,"D+",IF(BK19&gt;=50,"D","F")))))))</f>
      </c>
      <c r="BN19" s="40" t="str">
        <f>IF(BL19&gt;90,"A",IF(BL19&gt;80,"B+",IF(BL19&gt;69,"B",IF(BL19&gt;64,"C+",IF(BL19&gt;59,"C",IF(BL19&gt;54,"D+",IF(BL19&gt;49,"D",IF(BL19&gt;=0,"F"))))))))</f>
        <v>A</v>
      </c>
      <c r="BO19" s="49">
        <f>IF(BN19&gt;=91, 4.00, IF(BN19&gt;=81, 3.50, IF(BN19&gt;=70, 3.00, IF(BN19&gt;=65, 2.50, IF(BN19&gt;=60, 2.00, IF(BN19&gt;=55, 1.50, IF(BN19&gt;=50, 1.00, 0.00)))))))</f>
      </c>
      <c r="BP19" s="49">
        <f>IF(BN19&gt;=91,"A",IF(BN19&gt;=81,"B+",IF(BN19&gt;=70,"B",IF(BN19&gt;=65,"C+",IF(BN19&gt;=60,"C",IF(BN19&gt;=55,"D+",IF(BN19&gt;=50,"D","F")))))))</f>
      </c>
      <c r="BQ19" s="40">
        <f>ROUND((AN19*3+AQ19*2+AT19*1+AW19*2+AZ19*1+BC19*1+BF19*2+BI19*2+BL19*2+BO19*3)/19, 2)</f>
      </c>
      <c r="BR19" s="49">
        <v>58</v>
      </c>
      <c r="BS19" s="49" t="str">
        <f>IF(BR19&gt;90,"4.00",IF(BR19&gt;80,"3.50",IF(BR19&gt;69,"3.00",IF(BR19&gt;64,"2.50",IF(BR19&gt;59,"2.00",IF(BR19&gt;54,"1.50",IF(BR19&gt;49,"1.00","0.00")))))))</f>
        <v>1.50</v>
      </c>
      <c r="BT19" s="40" t="str">
        <f>IF(BR19&gt;90,"A",IF(BR19&gt;80,"B+",IF(BR19&gt;69,"B",IF(BR19&gt;64,"C+",IF(BR19&gt;59,"C",IF(BR19&gt;54,"D+",IF(BR19&gt;49,"D",IF(BR19&gt;=0,"F"))))))))</f>
        <v>D+</v>
      </c>
      <c r="BU19" s="49">
        <v>61</v>
      </c>
      <c r="BV19" s="49" t="str">
        <f>IF(BU19&gt;90,"4.00",IF(BU19&gt;80,"3.50",IF(BU19&gt;69,"3.00",IF(BU19&gt;64,"2.50",IF(BU19&gt;59,"2.00",IF(BU19&gt;54,"1.50",IF(BU19&gt;49,"1.00","0.00")))))))</f>
        <v>2.00</v>
      </c>
      <c r="BW19" s="40" t="str">
        <f>IF(BU19&gt;90,"A",IF(BU19&gt;80,"B+",IF(BU19&gt;69,"B",IF(BU19&gt;64,"C+",IF(BU19&gt;59,"C",IF(BU19&gt;54,"D+",IF(BU19&gt;49,"D",IF(BU19&gt;=0,"F"))))))))</f>
        <v>C</v>
      </c>
      <c r="BX19" s="50">
        <f>(AX19*3+BA19*2+BD19*1+BG19*2+BJ19*1+BM19*1+BP19*2+BS19*2+BV19*2)/(3+2+1+2+1+1+2+2+2)</f>
        <v>3.125</v>
      </c>
      <c r="BY19" s="50">
        <f>(AL19+BX19)/2</f>
        <v>3.1213235294117645</v>
      </c>
      <c r="BZ19" s="51">
        <f>RANK(BY19,$BY$7:BY47)</f>
        <v>9</v>
      </c>
      <c r="CA19" s="40"/>
      <c r="CB19" s="52"/>
      <c r="CC19" s="52"/>
      <c r="CD19" s="52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</row>
    <row r="20" ht="20" customHeight="1" spans="1:193" s="39" customFormat="1" x14ac:dyDescent="0.25">
      <c r="A20" s="40">
        <v>14</v>
      </c>
      <c r="B20" s="65" t="s">
        <v>123</v>
      </c>
      <c r="C20" s="40" t="s">
        <v>43</v>
      </c>
      <c r="D20" s="42" t="s">
        <v>124</v>
      </c>
      <c r="E20" s="42" t="s">
        <v>125</v>
      </c>
      <c r="F20" s="43" t="s">
        <v>126</v>
      </c>
      <c r="G20" s="43" t="s">
        <v>127</v>
      </c>
      <c r="H20" s="44" t="s">
        <v>128</v>
      </c>
      <c r="I20" s="45" t="s">
        <v>49</v>
      </c>
      <c r="J20" s="40">
        <v>1</v>
      </c>
      <c r="K20" s="42">
        <v>79</v>
      </c>
      <c r="L20" s="40">
        <f>IF(K20&gt;=91, 4.00, IF(K20&gt;=81, 3.50, IF(K20&gt;=70, 3.00, IF(K20&gt;=65, 2.50, IF(K20&gt;=60, 2.00, IF(K20&gt;=55, 1.50, IF(K20&gt;=50, 1.00, 0.00)))))))</f>
      </c>
      <c r="M20" s="40">
        <f>IF(K20&gt;=91,"A",IF(K20&gt;=81,"B+",IF(K20&gt;=70,"B",IF(K20&gt;=65,"C+",IF(K20&gt;=60,"C",IF(K20&gt;=55,"D+",IF(K20&gt;=50,"D","F")))))))</f>
      </c>
      <c r="N20" s="42">
        <v>83</v>
      </c>
      <c r="O20" s="40">
        <f>IF(N20&gt;=91, 4.00, IF(N20&gt;=81, 3.50, IF(N20&gt;=70, 3.00, IF(N20&gt;=65, 2.50, IF(N20&gt;=60, 2.00, IF(N20&gt;=55, 1.50, IF(N20&gt;=50, 1.00, 0.00)))))))</f>
      </c>
      <c r="P20" s="40">
        <f>IF(N20&gt;=91,"A",IF(N20&gt;=81,"B+",IF(N20&gt;=70,"B",IF(N20&gt;=65,"C+",IF(N20&gt;=60,"C",IF(N20&gt;=55,"D+",IF(N20&gt;=50,"D","F")))))))</f>
      </c>
      <c r="Q20" s="42">
        <v>90</v>
      </c>
      <c r="R20" s="40">
        <f>IF(Q20&gt;=91, 4.00, IF(Q20&gt;=81, 3.50, IF(Q20&gt;=70, 3.00, IF(Q20&gt;=65, 2.50, IF(Q20&gt;=60, 2.00, IF(Q20&gt;=55, 1.50, IF(Q20&gt;=50, 1.00, 0.00)))))))</f>
      </c>
      <c r="S20" s="40">
        <f>IF(Q20&gt;=91,"A",IF(Q20&gt;=81,"B+",IF(Q20&gt;=70,"B",IF(Q20&gt;=65,"C+",IF(Q20&gt;=60,"C",IF(Q20&gt;=55,"D+",IF(Q20&gt;=50,"D","F")))))))</f>
      </c>
      <c r="T20" s="42">
        <v>69</v>
      </c>
      <c r="U20" s="40">
        <f>IF(T20&gt;=91, 4.00, IF(T20&gt;=81, 3.50, IF(T20&gt;=70, 3.00, IF(T20&gt;=65, 2.50, IF(T20&gt;=60, 2.00, IF(T20&gt;=55, 1.50, IF(T20&gt;=50, 1.00, 0.00)))))))</f>
      </c>
      <c r="V20" s="40">
        <f>IF(T20&gt;=91,"A",IF(T20&gt;=81,"B+",IF(T20&gt;=70,"B",IF(T20&gt;=65,"C+",IF(T20&gt;=60,"C",IF(T20&gt;=55,"D+",IF(T20&gt;=50,"D","F")))))))</f>
      </c>
      <c r="W20" s="42">
        <v>69</v>
      </c>
      <c r="X20" s="40">
        <f>IF(W20&gt;=91, 4.00, IF(W20&gt;=81, 3.50, IF(W20&gt;=70, 3.00, IF(W20&gt;=65, 2.50, IF(W20&gt;=60, 2.00, IF(W20&gt;=55, 1.50, IF(W20&gt;=50, 1.00, 0.00)))))))</f>
      </c>
      <c r="Y20" s="40">
        <f>IF(W20&gt;=91,"A",IF(W20&gt;=81,"B+",IF(W20&gt;=70,"B",IF(W20&gt;=65,"C+",IF(W20&gt;=60,"C",IF(W20&gt;=55,"D+",IF(W20&gt;=50,"D","F")))))))</f>
      </c>
      <c r="Z20" s="55">
        <v>28.71</v>
      </c>
      <c r="AA20" s="56">
        <f>IF(Z20&gt;=91, 4.00, IF(Z20&gt;=81, 3.50, IF(Z20&gt;=70, 3.00, IF(Z20&gt;=65, 2.50, IF(Z20&gt;=60, 2.00, IF(Z20&gt;=55, 1.50, IF(Z20&gt;=50, 1.00, 0.00)))))))</f>
      </c>
      <c r="AB20" s="57">
        <f>IF(Z20&gt;=91,"A",IF(Z20&gt;=81,"B+",IF(Z20&gt;=70,"B",IF(Z20&gt;=65,"C+",IF(Z20&gt;=60,"C",IF(Z20&gt;=55,"D+",IF(Z20&gt;=50,"D","F")))))))</f>
      </c>
      <c r="AC20" s="46">
        <v>49.5</v>
      </c>
      <c r="AD20" s="40">
        <f>IF(AC20&gt;=91, 4.00, IF(AC20&gt;=81, 3.50, IF(AC20&gt;=70, 3.00, IF(AC20&gt;=65, 2.50, IF(AC20&gt;=60, 2.00, IF(AC20&gt;=55, 1.50, IF(AC20&gt;=50, 1.00, 0.00)))))))</f>
      </c>
      <c r="AE20" s="40">
        <f>IF(AC20&gt;=91,"A",IF(AC20&gt;=81,"B+",IF(AC20&gt;=70,"B",IF(AC20&gt;=65,"C+",IF(AC20&gt;=60,"C",IF(AC20&gt;=55,"D+",IF(AC20&gt;=50,"D","F")))))))</f>
      </c>
      <c r="AF20" s="40">
        <v>78</v>
      </c>
      <c r="AG20" s="40">
        <f>IF(AF20&gt;=91, 4.00, IF(AF20&gt;=81, 3.50, IF(AF20&gt;=70, 3.00, IF(AF20&gt;=65, 2.50, IF(AF20&gt;=60, 2.00, IF(AF20&gt;=55, 1.50, IF(AF20&gt;=50, 1.00, 0.00)))))))</f>
      </c>
      <c r="AH20" s="40">
        <f>IF(AF20&gt;=91,"A",IF(AF20&gt;=81,"B+",IF(AF20&gt;=70,"B",IF(AF20&gt;=65,"C+",IF(AF20&gt;=60,"C",IF(AF20&gt;=55,"D+",IF(AF20&gt;=50,"D","F")))))))</f>
      </c>
      <c r="AI20" s="40">
        <v>94</v>
      </c>
      <c r="AJ20" s="40">
        <f>IF(AI20&gt;=91, 4.00, IF(AI20&gt;=81, 3.50, IF(AI20&gt;=70, 3.00, IF(AI20&gt;=65, 2.50, IF(AI20&gt;=60, 2.00, IF(AI20&gt;=55, 1.50, IF(AI20&gt;=50, 1.00, 0.00)))))))</f>
      </c>
      <c r="AK20" s="40">
        <f>IF(AI20&gt;=91,"A",IF(AI20&gt;=81,"B+",IF(AI20&gt;=70,"B",IF(AI20&gt;=65,"C+",IF(AI20&gt;=60,"C",IF(AI20&gt;=55,"D+",IF(AI20&gt;=50,"D","F")))))))</f>
      </c>
      <c r="AL20" s="40">
        <f>ROUND((L20*3+O20*2+R20*1+U20*2+X20*1+AA20*2+AD20*2+AG20*2+AJ20*2)/17, 2)</f>
      </c>
      <c r="AM20" s="47">
        <v>90</v>
      </c>
      <c r="AN20" s="40">
        <f>IF(AM20&gt;=91, 4.00, IF(AM20&gt;=81, 3.50, IF(AM20&gt;=70, 3.00, IF(AM20&gt;=65, 2.50, IF(AM20&gt;=60, 2.00, IF(AM20&gt;=55, 1.50, IF(AM20&gt;=50, 1.00, 0.00)))))))</f>
      </c>
      <c r="AO20" s="65">
        <f>IF(AM20&gt;=91,"A",IF(AM20&gt;=81,"B+",IF(AM20&gt;=70,"B",IF(AM20&gt;=65,"C+",IF(AM20&gt;=60,"C",IF(AM20&gt;=55,"D+",IF(AM20&gt;=50,"D","F")))))))</f>
      </c>
      <c r="AP20" s="40" t="s">
        <v>43</v>
      </c>
      <c r="AQ20" s="42">
        <f>IF(AP20&gt;=91, 4.00, IF(AP20&gt;=81, 3.50, IF(AP20&gt;=70, 3.00, IF(AP20&gt;=65, 2.50, IF(AP20&gt;=60, 2.00, IF(AP20&gt;=55, 1.50, IF(AP20&gt;=50, 1.00, 0.00)))))))</f>
      </c>
      <c r="AR20" s="42">
        <f>IF(AP20&gt;=91,"A",IF(AP20&gt;=81,"B+",IF(AP20&gt;=70,"B",IF(AP20&gt;=65,"C+",IF(AP20&gt;=60,"C",IF(AP20&gt;=55,"D+",IF(AP20&gt;=50,"D","F")))))))</f>
      </c>
      <c r="AS20" s="43" t="s">
        <v>126</v>
      </c>
      <c r="AT20" s="43">
        <f>IF(AS20&gt;=91, 4.00, IF(AS20&gt;=81, 3.50, IF(AS20&gt;=70, 3.00, IF(AS20&gt;=65, 2.50, IF(AS20&gt;=60, 2.00, IF(AS20&gt;=55, 1.50, IF(AS20&gt;=50, 1.00, 0.00)))))))</f>
      </c>
      <c r="AU20" s="44">
        <f>IF(AS20&gt;=91,"A",IF(AS20&gt;=81,"B+",IF(AS20&gt;=70,"B",IF(AS20&gt;=65,"C+",IF(AS20&gt;=60,"C",IF(AS20&gt;=55,"D+",IF(AS20&gt;=50,"D","F")))))))</f>
      </c>
      <c r="AV20" s="45" t="s">
        <v>49</v>
      </c>
      <c r="AW20" s="59">
        <f>IF(AV20&gt;=91, 4.00, IF(AV20&gt;=81, 3.50, IF(AV20&gt;=70, 3.00, IF(AV20&gt;=65, 2.50, IF(AV20&gt;=60, 2.00, IF(AV20&gt;=55, 1.50, IF(AV20&gt;=50, 1.00, 0.00)))))))</f>
      </c>
      <c r="AX20" s="60">
        <f>IF(AV20&gt;=91,"A",IF(AV20&gt;=81,"B+",IF(AV20&gt;=70,"B",IF(AV20&gt;=65,"C+",IF(AV20&gt;=60,"C",IF(AV20&gt;=55,"D+",IF(AV20&gt;=50,"D","F")))))))</f>
      </c>
      <c r="AY20" s="60" t="str">
        <f>IF(AW20&gt;90,"A",IF(AW20&gt;80,"B+",IF(AW20&gt;69,"B",IF(AW20&gt;64,"C+",IF(AW20&gt;59,"C",IF(AW20&gt;54,"D+",IF(AW20&gt;49,"D",IF(AW20&gt;=0,"F"))))))))</f>
        <v>F</v>
      </c>
      <c r="AZ20" s="59">
        <f>IF(AY20&gt;=91, 4.00, IF(AY20&gt;=81, 3.50, IF(AY20&gt;=70, 3.00, IF(AY20&gt;=65, 2.50, IF(AY20&gt;=60, 2.00, IF(AY20&gt;=55, 1.50, IF(AY20&gt;=50, 1.00, 0.00)))))))</f>
      </c>
      <c r="BA20" s="60">
        <f>IF(AY20&gt;=91,"A",IF(AY20&gt;=81,"B+",IF(AY20&gt;=70,"B",IF(AY20&gt;=65,"C+",IF(AY20&gt;=60,"C",IF(AY20&gt;=55,"D+",IF(AY20&gt;=50,"D","F")))))))</f>
      </c>
      <c r="BB20" s="60" t="str">
        <f>IF(AZ20&gt;90,"A",IF(AZ20&gt;80,"B+",IF(AZ20&gt;69,"B",IF(AZ20&gt;64,"C+",IF(AZ20&gt;59,"C",IF(AZ20&gt;54,"D+",IF(AZ20&gt;49,"D",IF(AZ20&gt;=0,"F"))))))))</f>
        <v>F</v>
      </c>
      <c r="BC20" s="61">
        <f>IF(BB20&gt;=91, 4.00, IF(BB20&gt;=81, 3.50, IF(BB20&gt;=70, 3.00, IF(BB20&gt;=65, 2.50, IF(BB20&gt;=60, 2.00, IF(BB20&gt;=55, 1.50, IF(BB20&gt;=50, 1.00, 0.00)))))))</f>
      </c>
      <c r="BD20" s="60">
        <f>IF(BB20&gt;=91,"A",IF(BB20&gt;=81,"B+",IF(BB20&gt;=70,"B",IF(BB20&gt;=65,"C+",IF(BB20&gt;=60,"C",IF(BB20&gt;=55,"D+",IF(BB20&gt;=50,"D","F")))))))</f>
      </c>
      <c r="BE20" s="60" t="str">
        <f>IF(BC20&gt;90,"A",IF(BC20&gt;80,"B+",IF(BC20&gt;69,"B",IF(BC20&gt;64,"C+",IF(BC20&gt;59,"C",IF(BC20&gt;54,"D+",IF(BC20&gt;49,"D",IF(BC20&gt;=0,"F"))))))))</f>
        <v>F</v>
      </c>
      <c r="BF20" s="59">
        <f>IF(BE20&gt;=91, 4.00, IF(BE20&gt;=81, 3.50, IF(BE20&gt;=70, 3.00, IF(BE20&gt;=65, 2.50, IF(BE20&gt;=60, 2.00, IF(BE20&gt;=55, 1.50, IF(BE20&gt;=50, 1.00, 0.00)))))))</f>
      </c>
      <c r="BG20" s="60">
        <f>IF(BE20&gt;=91,"A",IF(BE20&gt;=81,"B+",IF(BE20&gt;=70,"B",IF(BE20&gt;=65,"C+",IF(BE20&gt;=60,"C",IF(BE20&gt;=55,"D+",IF(BE20&gt;=50,"D","F")))))))</f>
      </c>
      <c r="BH20" s="60" t="str">
        <f>IF(BF20&gt;90,"A",IF(BF20&gt;80,"B+",IF(BF20&gt;69,"B",IF(BF20&gt;64,"C+",IF(BF20&gt;59,"C",IF(BF20&gt;54,"D+",IF(BF20&gt;49,"D",IF(BF20&gt;=0,"F"))))))))</f>
        <v>F</v>
      </c>
      <c r="BI20" s="61">
        <f>IF(BH20&gt;=91, 4.00, IF(BH20&gt;=81, 3.50, IF(BH20&gt;=70, 3.00, IF(BH20&gt;=65, 2.50, IF(BH20&gt;=60, 2.00, IF(BH20&gt;=55, 1.50, IF(BH20&gt;=50, 1.00, 0.00)))))))</f>
      </c>
      <c r="BJ20" s="60">
        <f>IF(BH20&gt;=91,"A",IF(BH20&gt;=81,"B+",IF(BH20&gt;=70,"B",IF(BH20&gt;=65,"C+",IF(BH20&gt;=60,"C",IF(BH20&gt;=55,"D+",IF(BH20&gt;=50,"D","F")))))))</f>
      </c>
      <c r="BK20" s="60" t="str">
        <f>IF(BI20&gt;90,"A",IF(BI20&gt;80,"B+",IF(BI20&gt;69,"B",IF(BI20&gt;64,"C+",IF(BI20&gt;59,"C",IF(BI20&gt;54,"D+",IF(BI20&gt;49,"D",IF(BI20&gt;=0,"F"))))))))</f>
        <v>F</v>
      </c>
      <c r="BL20" s="61">
        <f>IF(BK20&gt;=91, 4.00, IF(BK20&gt;=81, 3.50, IF(BK20&gt;=70, 3.00, IF(BK20&gt;=65, 2.50, IF(BK20&gt;=60, 2.00, IF(BK20&gt;=55, 1.50, IF(BK20&gt;=50, 1.00, 0.00)))))))</f>
      </c>
      <c r="BM20" s="60">
        <f>IF(BK20&gt;=91,"A",IF(BK20&gt;=81,"B+",IF(BK20&gt;=70,"B",IF(BK20&gt;=65,"C+",IF(BK20&gt;=60,"C",IF(BK20&gt;=55,"D+",IF(BK20&gt;=50,"D","F")))))))</f>
      </c>
      <c r="BN20" s="60" t="str">
        <f>IF(BL20&gt;90,"A",IF(BL20&gt;80,"B+",IF(BL20&gt;69,"B",IF(BL20&gt;64,"C+",IF(BL20&gt;59,"C",IF(BL20&gt;54,"D+",IF(BL20&gt;49,"D",IF(BL20&gt;=0,"F"))))))))</f>
        <v>F</v>
      </c>
      <c r="BO20" s="49">
        <f>IF(BN20&gt;=91, 4.00, IF(BN20&gt;=81, 3.50, IF(BN20&gt;=70, 3.00, IF(BN20&gt;=65, 2.50, IF(BN20&gt;=60, 2.00, IF(BN20&gt;=55, 1.50, IF(BN20&gt;=50, 1.00, 0.00)))))))</f>
      </c>
      <c r="BP20" s="49">
        <f>IF(BN20&gt;=91,"A",IF(BN20&gt;=81,"B+",IF(BN20&gt;=70,"B",IF(BN20&gt;=65,"C+",IF(BN20&gt;=60,"C",IF(BN20&gt;=55,"D+",IF(BN20&gt;=50,"D","F")))))))</f>
      </c>
      <c r="BQ20" s="40">
        <f>ROUND((AN20*3+AQ20*2+AT20*1+AW20*2+AZ20*1+BC20*1+BF20*2+BI20*2+BL20*2+BO20*3)/19, 2)</f>
      </c>
      <c r="BR20" s="62"/>
      <c r="BS20" s="62" t="str">
        <f>IF(BR20&gt;90,"4.00",IF(BR20&gt;80,"3.50",IF(BR20&gt;69,"3.00",IF(BR20&gt;64,"2.50",IF(BR20&gt;59,"2.00",IF(BR20&gt;54,"1.50",IF(BR20&gt;49,"1.00","0.00")))))))</f>
        <v>0.00</v>
      </c>
      <c r="BT20" s="63" t="str">
        <f>IF(BR20&gt;90,"A",IF(BR20&gt;80,"B+",IF(BR20&gt;69,"B",IF(BR20&gt;64,"C+",IF(BR20&gt;59,"C",IF(BR20&gt;54,"D+",IF(BR20&gt;49,"D",IF(BR20&gt;=0,"F"))))))))</f>
        <v>F</v>
      </c>
      <c r="BU20" s="62"/>
      <c r="BV20" s="62" t="str">
        <f>IF(BU20&gt;90,"4.00",IF(BU20&gt;80,"3.50",IF(BU20&gt;69,"3.00",IF(BU20&gt;64,"2.50",IF(BU20&gt;59,"2.00",IF(BU20&gt;54,"1.50",IF(BU20&gt;49,"1.00","0.00")))))))</f>
        <v>0.00</v>
      </c>
      <c r="BW20" s="63" t="str">
        <f>IF(BU20&gt;90,"A",IF(BU20&gt;80,"B+",IF(BU20&gt;69,"B",IF(BU20&gt;64,"C+",IF(BU20&gt;59,"C",IF(BU20&gt;54,"D+",IF(BU20&gt;49,"D",IF(BU20&gt;=0,"F"))))))))</f>
        <v>F</v>
      </c>
      <c r="BX20" s="50">
        <f>(AX20*3+BA20*2+BD20*1+BG20*2+BJ20*1+BM20*1+BP20*2+BS20*2+BV20*2)/(3+2+1+2+1+1+2+2+2)</f>
        <v>0</v>
      </c>
      <c r="BY20" s="50">
        <f>(AL20+BX20)/2</f>
        <v>1.2647058823529411</v>
      </c>
      <c r="BZ20" s="51">
        <f>RANK(BY20,$BY$7:BY48)</f>
        <v>25</v>
      </c>
      <c r="CA20" s="40"/>
      <c r="CB20" s="52"/>
      <c r="CC20" s="52"/>
      <c r="CD20" s="52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</row>
    <row r="21" ht="20" customHeight="1" spans="1:193" s="39" customFormat="1" x14ac:dyDescent="0.25">
      <c r="A21" s="40">
        <v>15</v>
      </c>
      <c r="B21" s="65" t="s">
        <v>129</v>
      </c>
      <c r="C21" s="40" t="s">
        <v>43</v>
      </c>
      <c r="D21" s="42" t="s">
        <v>130</v>
      </c>
      <c r="E21" s="42" t="s">
        <v>131</v>
      </c>
      <c r="F21" s="43" t="s">
        <v>132</v>
      </c>
      <c r="G21" s="43" t="s">
        <v>133</v>
      </c>
      <c r="H21" s="44" t="s">
        <v>134</v>
      </c>
      <c r="I21" s="45" t="s">
        <v>49</v>
      </c>
      <c r="J21" s="40">
        <v>1</v>
      </c>
      <c r="K21" s="42">
        <v>65</v>
      </c>
      <c r="L21" s="40">
        <f>IF(K21&gt;=91, 4.00, IF(K21&gt;=81, 3.50, IF(K21&gt;=70, 3.00, IF(K21&gt;=65, 2.50, IF(K21&gt;=60, 2.00, IF(K21&gt;=55, 1.50, IF(K21&gt;=50, 1.00, 0.00)))))))</f>
      </c>
      <c r="M21" s="40">
        <f>IF(K21&gt;=91,"A",IF(K21&gt;=81,"B+",IF(K21&gt;=70,"B",IF(K21&gt;=65,"C+",IF(K21&gt;=60,"C",IF(K21&gt;=55,"D+",IF(K21&gt;=50,"D","F")))))))</f>
      </c>
      <c r="N21" s="42">
        <v>93</v>
      </c>
      <c r="O21" s="40">
        <f>IF(N21&gt;=91, 4.00, IF(N21&gt;=81, 3.50, IF(N21&gt;=70, 3.00, IF(N21&gt;=65, 2.50, IF(N21&gt;=60, 2.00, IF(N21&gt;=55, 1.50, IF(N21&gt;=50, 1.00, 0.00)))))))</f>
      </c>
      <c r="P21" s="40">
        <f>IF(N21&gt;=91,"A",IF(N21&gt;=81,"B+",IF(N21&gt;=70,"B",IF(N21&gt;=65,"C+",IF(N21&gt;=60,"C",IF(N21&gt;=55,"D+",IF(N21&gt;=50,"D","F")))))))</f>
      </c>
      <c r="Q21" s="42">
        <v>84</v>
      </c>
      <c r="R21" s="40">
        <f>IF(Q21&gt;=91, 4.00, IF(Q21&gt;=81, 3.50, IF(Q21&gt;=70, 3.00, IF(Q21&gt;=65, 2.50, IF(Q21&gt;=60, 2.00, IF(Q21&gt;=55, 1.50, IF(Q21&gt;=50, 1.00, 0.00)))))))</f>
      </c>
      <c r="S21" s="40">
        <f>IF(Q21&gt;=91,"A",IF(Q21&gt;=81,"B+",IF(Q21&gt;=70,"B",IF(Q21&gt;=65,"C+",IF(Q21&gt;=60,"C",IF(Q21&gt;=55,"D+",IF(Q21&gt;=50,"D","F")))))))</f>
      </c>
      <c r="T21" s="42">
        <v>58</v>
      </c>
      <c r="U21" s="40">
        <f>IF(T21&gt;=91, 4.00, IF(T21&gt;=81, 3.50, IF(T21&gt;=70, 3.00, IF(T21&gt;=65, 2.50, IF(T21&gt;=60, 2.00, IF(T21&gt;=55, 1.50, IF(T21&gt;=50, 1.00, 0.00)))))))</f>
      </c>
      <c r="V21" s="40">
        <f>IF(T21&gt;=91,"A",IF(T21&gt;=81,"B+",IF(T21&gt;=70,"B",IF(T21&gt;=65,"C+",IF(T21&gt;=60,"C",IF(T21&gt;=55,"D+",IF(T21&gt;=50,"D","F")))))))</f>
      </c>
      <c r="W21" s="42">
        <v>55</v>
      </c>
      <c r="X21" s="40">
        <f>IF(W21&gt;=91, 4.00, IF(W21&gt;=81, 3.50, IF(W21&gt;=70, 3.00, IF(W21&gt;=65, 2.50, IF(W21&gt;=60, 2.00, IF(W21&gt;=55, 1.50, IF(W21&gt;=50, 1.00, 0.00)))))))</f>
      </c>
      <c r="Y21" s="40">
        <f>IF(W21&gt;=91,"A",IF(W21&gt;=81,"B+",IF(W21&gt;=70,"B",IF(W21&gt;=65,"C+",IF(W21&gt;=60,"C",IF(W21&gt;=55,"D+",IF(W21&gt;=50,"D","F")))))))</f>
      </c>
      <c r="Z21" s="46">
        <v>86.6</v>
      </c>
      <c r="AA21" s="40">
        <f>IF(Z21&gt;=91, 4.00, IF(Z21&gt;=81, 3.50, IF(Z21&gt;=70, 3.00, IF(Z21&gt;=65, 2.50, IF(Z21&gt;=60, 2.00, IF(Z21&gt;=55, 1.50, IF(Z21&gt;=50, 1.00, 0.00)))))))</f>
      </c>
      <c r="AB21" s="40">
        <f>IF(Z21&gt;=91,"A",IF(Z21&gt;=81,"B+",IF(Z21&gt;=70,"B",IF(Z21&gt;=65,"C+",IF(Z21&gt;=60,"C",IF(Z21&gt;=55,"D+",IF(Z21&gt;=50,"D","F")))))))</f>
      </c>
      <c r="AC21" s="46">
        <v>79.5</v>
      </c>
      <c r="AD21" s="40">
        <f>IF(AC21&gt;=91, 4.00, IF(AC21&gt;=81, 3.50, IF(AC21&gt;=70, 3.00, IF(AC21&gt;=65, 2.50, IF(AC21&gt;=60, 2.00, IF(AC21&gt;=55, 1.50, IF(AC21&gt;=50, 1.00, 0.00)))))))</f>
      </c>
      <c r="AE21" s="40">
        <f>IF(AC21&gt;=91,"A",IF(AC21&gt;=81,"B+",IF(AC21&gt;=70,"B",IF(AC21&gt;=65,"C+",IF(AC21&gt;=60,"C",IF(AC21&gt;=55,"D+",IF(AC21&gt;=50,"D","F")))))))</f>
      </c>
      <c r="AF21" s="40">
        <v>80</v>
      </c>
      <c r="AG21" s="40">
        <f>IF(AF21&gt;=91, 4.00, IF(AF21&gt;=81, 3.50, IF(AF21&gt;=70, 3.00, IF(AF21&gt;=65, 2.50, IF(AF21&gt;=60, 2.00, IF(AF21&gt;=55, 1.50, IF(AF21&gt;=50, 1.00, 0.00)))))))</f>
      </c>
      <c r="AH21" s="40">
        <f>IF(AF21&gt;=91,"A",IF(AF21&gt;=81,"B+",IF(AF21&gt;=70,"B",IF(AF21&gt;=65,"C+",IF(AF21&gt;=60,"C",IF(AF21&gt;=55,"D+",IF(AF21&gt;=50,"D","F")))))))</f>
      </c>
      <c r="AI21" s="40">
        <v>95</v>
      </c>
      <c r="AJ21" s="40">
        <f>IF(AI21&gt;=91, 4.00, IF(AI21&gt;=81, 3.50, IF(AI21&gt;=70, 3.00, IF(AI21&gt;=65, 2.50, IF(AI21&gt;=60, 2.00, IF(AI21&gt;=55, 1.50, IF(AI21&gt;=50, 1.00, 0.00)))))))</f>
      </c>
      <c r="AK21" s="40">
        <f>IF(AI21&gt;=91,"A",IF(AI21&gt;=81,"B+",IF(AI21&gt;=70,"B",IF(AI21&gt;=65,"C+",IF(AI21&gt;=60,"C",IF(AI21&gt;=55,"D+",IF(AI21&gt;=50,"D","F")))))))</f>
      </c>
      <c r="AL21" s="40">
        <f>ROUND((L21*3+O21*2+R21*1+U21*2+X21*1+AA21*2+AD21*2+AG21*2+AJ21*2)/17, 2)</f>
      </c>
      <c r="AM21" s="47">
        <v>93</v>
      </c>
      <c r="AN21" s="40">
        <f>IF(AM21&gt;=91, 4.00, IF(AM21&gt;=81, 3.50, IF(AM21&gt;=70, 3.00, IF(AM21&gt;=65, 2.50, IF(AM21&gt;=60, 2.00, IF(AM21&gt;=55, 1.50, IF(AM21&gt;=50, 1.00, 0.00)))))))</f>
      </c>
      <c r="AO21" s="65">
        <f>IF(AM21&gt;=91,"A",IF(AM21&gt;=81,"B+",IF(AM21&gt;=70,"B",IF(AM21&gt;=65,"C+",IF(AM21&gt;=60,"C",IF(AM21&gt;=55,"D+",IF(AM21&gt;=50,"D","F")))))))</f>
      </c>
      <c r="AP21" s="40" t="s">
        <v>43</v>
      </c>
      <c r="AQ21" s="42">
        <f>IF(AP21&gt;=91, 4.00, IF(AP21&gt;=81, 3.50, IF(AP21&gt;=70, 3.00, IF(AP21&gt;=65, 2.50, IF(AP21&gt;=60, 2.00, IF(AP21&gt;=55, 1.50, IF(AP21&gt;=50, 1.00, 0.00)))))))</f>
      </c>
      <c r="AR21" s="42">
        <f>IF(AP21&gt;=91,"A",IF(AP21&gt;=81,"B+",IF(AP21&gt;=70,"B",IF(AP21&gt;=65,"C+",IF(AP21&gt;=60,"C",IF(AP21&gt;=55,"D+",IF(AP21&gt;=50,"D","F")))))))</f>
      </c>
      <c r="AS21" s="43" t="s">
        <v>132</v>
      </c>
      <c r="AT21" s="43">
        <f>IF(AS21&gt;=91, 4.00, IF(AS21&gt;=81, 3.50, IF(AS21&gt;=70, 3.00, IF(AS21&gt;=65, 2.50, IF(AS21&gt;=60, 2.00, IF(AS21&gt;=55, 1.50, IF(AS21&gt;=50, 1.00, 0.00)))))))</f>
      </c>
      <c r="AU21" s="44">
        <f>IF(AS21&gt;=91,"A",IF(AS21&gt;=81,"B+",IF(AS21&gt;=70,"B",IF(AS21&gt;=65,"C+",IF(AS21&gt;=60,"C",IF(AS21&gt;=55,"D+",IF(AS21&gt;=50,"D","F")))))))</f>
      </c>
      <c r="AV21" s="45" t="s">
        <v>49</v>
      </c>
      <c r="AW21" s="48">
        <f>IF(AV21&gt;=91, 4.00, IF(AV21&gt;=81, 3.50, IF(AV21&gt;=70, 3.00, IF(AV21&gt;=65, 2.50, IF(AV21&gt;=60, 2.00, IF(AV21&gt;=55, 1.50, IF(AV21&gt;=50, 1.00, 0.00)))))))</f>
      </c>
      <c r="AX21" s="49">
        <f>IF(AV21&gt;=91,"A",IF(AV21&gt;=81,"B+",IF(AV21&gt;=70,"B",IF(AV21&gt;=65,"C+",IF(AV21&gt;=60,"C",IF(AV21&gt;=55,"D+",IF(AV21&gt;=50,"D","F")))))))</f>
      </c>
      <c r="AY21" s="40" t="str">
        <f>IF(AW21&gt;90,"A",IF(AW21&gt;80,"B+",IF(AW21&gt;69,"B",IF(AW21&gt;64,"C+",IF(AW21&gt;59,"C",IF(AW21&gt;54,"D+",IF(AW21&gt;49,"D",IF(AW21&gt;=0,"F"))))))))</f>
        <v>B</v>
      </c>
      <c r="AZ21" s="48">
        <f>IF(AY21&gt;=91, 4.00, IF(AY21&gt;=81, 3.50, IF(AY21&gt;=70, 3.00, IF(AY21&gt;=65, 2.50, IF(AY21&gt;=60, 2.00, IF(AY21&gt;=55, 1.50, IF(AY21&gt;=50, 1.00, 0.00)))))))</f>
      </c>
      <c r="BA21" s="49">
        <f>IF(AY21&gt;=91,"A",IF(AY21&gt;=81,"B+",IF(AY21&gt;=70,"B",IF(AY21&gt;=65,"C+",IF(AY21&gt;=60,"C",IF(AY21&gt;=55,"D+",IF(AY21&gt;=50,"D","F")))))))</f>
      </c>
      <c r="BB21" s="40" t="str">
        <f>IF(AZ21&gt;90,"A",IF(AZ21&gt;80,"B+",IF(AZ21&gt;69,"B",IF(AZ21&gt;64,"C+",IF(AZ21&gt;59,"C",IF(AZ21&gt;54,"D+",IF(AZ21&gt;49,"D",IF(AZ21&gt;=0,"F"))))))))</f>
        <v>B+</v>
      </c>
      <c r="BC21" s="43">
        <f>IF(BB21&gt;=91, 4.00, IF(BB21&gt;=81, 3.50, IF(BB21&gt;=70, 3.00, IF(BB21&gt;=65, 2.50, IF(BB21&gt;=60, 2.00, IF(BB21&gt;=55, 1.50, IF(BB21&gt;=50, 1.00, 0.00)))))))</f>
      </c>
      <c r="BD21" s="49">
        <f>IF(BB21&gt;=91,"A",IF(BB21&gt;=81,"B+",IF(BB21&gt;=70,"B",IF(BB21&gt;=65,"C+",IF(BB21&gt;=60,"C",IF(BB21&gt;=55,"D+",IF(BB21&gt;=50,"D","F")))))))</f>
      </c>
      <c r="BE21" s="40" t="str">
        <f>IF(BC21&gt;90,"A",IF(BC21&gt;80,"B+",IF(BC21&gt;69,"B",IF(BC21&gt;64,"C+",IF(BC21&gt;59,"C",IF(BC21&gt;54,"D+",IF(BC21&gt;49,"D",IF(BC21&gt;=0,"F"))))))))</f>
        <v>D</v>
      </c>
      <c r="BF21" s="48">
        <f>IF(BE21&gt;=91, 4.00, IF(BE21&gt;=81, 3.50, IF(BE21&gt;=70, 3.00, IF(BE21&gt;=65, 2.50, IF(BE21&gt;=60, 2.00, IF(BE21&gt;=55, 1.50, IF(BE21&gt;=50, 1.00, 0.00)))))))</f>
      </c>
      <c r="BG21" s="49">
        <f>IF(BE21&gt;=91,"A",IF(BE21&gt;=81,"B+",IF(BE21&gt;=70,"B",IF(BE21&gt;=65,"C+",IF(BE21&gt;=60,"C",IF(BE21&gt;=55,"D+",IF(BE21&gt;=50,"D","F")))))))</f>
      </c>
      <c r="BH21" s="40" t="str">
        <f>IF(BF21&gt;90,"A",IF(BF21&gt;80,"B+",IF(BF21&gt;69,"B",IF(BF21&gt;64,"C+",IF(BF21&gt;59,"C",IF(BF21&gt;54,"D+",IF(BF21&gt;49,"D",IF(BF21&gt;=0,"F"))))))))</f>
        <v>C+</v>
      </c>
      <c r="BI21" s="43">
        <f>IF(BH21&gt;=91, 4.00, IF(BH21&gt;=81, 3.50, IF(BH21&gt;=70, 3.00, IF(BH21&gt;=65, 2.50, IF(BH21&gt;=60, 2.00, IF(BH21&gt;=55, 1.50, IF(BH21&gt;=50, 1.00, 0.00)))))))</f>
      </c>
      <c r="BJ21" s="49">
        <f>IF(BH21&gt;=91,"A",IF(BH21&gt;=81,"B+",IF(BH21&gt;=70,"B",IF(BH21&gt;=65,"C+",IF(BH21&gt;=60,"C",IF(BH21&gt;=55,"D+",IF(BH21&gt;=50,"D","F")))))))</f>
      </c>
      <c r="BK21" s="40" t="str">
        <f>IF(BI21&gt;90,"A",IF(BI21&gt;80,"B+",IF(BI21&gt;69,"B",IF(BI21&gt;64,"C+",IF(BI21&gt;59,"C",IF(BI21&gt;54,"D+",IF(BI21&gt;49,"D",IF(BI21&gt;=0,"F"))))))))</f>
        <v>B</v>
      </c>
      <c r="BL21" s="43">
        <f>IF(BK21&gt;=91, 4.00, IF(BK21&gt;=81, 3.50, IF(BK21&gt;=70, 3.00, IF(BK21&gt;=65, 2.50, IF(BK21&gt;=60, 2.00, IF(BK21&gt;=55, 1.50, IF(BK21&gt;=50, 1.00, 0.00)))))))</f>
      </c>
      <c r="BM21" s="49">
        <f>IF(BK21&gt;=91,"A",IF(BK21&gt;=81,"B+",IF(BK21&gt;=70,"B",IF(BK21&gt;=65,"C+",IF(BK21&gt;=60,"C",IF(BK21&gt;=55,"D+",IF(BK21&gt;=50,"D","F")))))))</f>
      </c>
      <c r="BN21" s="40" t="str">
        <f>IF(BL21&gt;90,"A",IF(BL21&gt;80,"B+",IF(BL21&gt;69,"B",IF(BL21&gt;64,"C+",IF(BL21&gt;59,"C",IF(BL21&gt;54,"D+",IF(BL21&gt;49,"D",IF(BL21&gt;=0,"F"))))))))</f>
        <v>B+</v>
      </c>
      <c r="BO21" s="49">
        <f>IF(BN21&gt;=91, 4.00, IF(BN21&gt;=81, 3.50, IF(BN21&gt;=70, 3.00, IF(BN21&gt;=65, 2.50, IF(BN21&gt;=60, 2.00, IF(BN21&gt;=55, 1.50, IF(BN21&gt;=50, 1.00, 0.00)))))))</f>
      </c>
      <c r="BP21" s="49">
        <f>IF(BN21&gt;=91,"A",IF(BN21&gt;=81,"B+",IF(BN21&gt;=70,"B",IF(BN21&gt;=65,"C+",IF(BN21&gt;=60,"C",IF(BN21&gt;=55,"D+",IF(BN21&gt;=50,"D","F")))))))</f>
      </c>
      <c r="BQ21" s="40">
        <f>ROUND((AN21*3+AQ21*2+AT21*1+AW21*2+AZ21*1+BC21*1+BF21*2+BI21*2+BL21*2+BO21*3)/19, 2)</f>
      </c>
      <c r="BR21" s="49">
        <v>75</v>
      </c>
      <c r="BS21" s="49" t="str">
        <f>IF(BR21&gt;90,"4.00",IF(BR21&gt;80,"3.50",IF(BR21&gt;69,"3.00",IF(BR21&gt;64,"2.50",IF(BR21&gt;59,"2.00",IF(BR21&gt;54,"1.50",IF(BR21&gt;49,"1.00","0.00")))))))</f>
        <v>3.00</v>
      </c>
      <c r="BT21" s="40" t="str">
        <f>IF(BR21&gt;90,"A",IF(BR21&gt;80,"B+",IF(BR21&gt;69,"B",IF(BR21&gt;64,"C+",IF(BR21&gt;59,"C",IF(BR21&gt;54,"D+",IF(BR21&gt;49,"D",IF(BR21&gt;=0,"F"))))))))</f>
        <v>B</v>
      </c>
      <c r="BU21" s="49">
        <v>74</v>
      </c>
      <c r="BV21" s="49" t="str">
        <f>IF(BU21&gt;90,"4.00",IF(BU21&gt;80,"3.50",IF(BU21&gt;69,"3.00",IF(BU21&gt;64,"2.50",IF(BU21&gt;59,"2.00",IF(BU21&gt;54,"1.50",IF(BU21&gt;49,"1.00","0.00")))))))</f>
        <v>3.00</v>
      </c>
      <c r="BW21" s="40" t="str">
        <f>IF(BU21&gt;90,"A",IF(BU21&gt;80,"B+",IF(BU21&gt;69,"B",IF(BU21&gt;64,"C+",IF(BU21&gt;59,"C",IF(BU21&gt;54,"D+",IF(BU21&gt;49,"D",IF(BU21&gt;=0,"F"))))))))</f>
        <v>B</v>
      </c>
      <c r="BX21" s="50">
        <f>(AX21*3+BA21*2+BD21*1+BG21*2+BJ21*1+BM21*1+BP21*2+BS21*2+BV21*2)/(3+2+1+2+1+1+2+2+2)</f>
        <v>2.96875</v>
      </c>
      <c r="BY21" s="50">
        <f>(AL21+BX21)/2</f>
        <v>2.8667279411764706</v>
      </c>
      <c r="BZ21" s="51">
        <f>RANK(BY21,$BY$7:BY49)</f>
        <v>13</v>
      </c>
      <c r="CA21" s="58"/>
      <c r="CB21" s="52"/>
      <c r="CC21" s="52"/>
      <c r="CD21" s="52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</row>
    <row r="22" ht="20" customHeight="1" spans="1:193" s="39" customFormat="1" x14ac:dyDescent="0.25">
      <c r="A22" s="40">
        <v>16</v>
      </c>
      <c r="B22" s="65" t="s">
        <v>135</v>
      </c>
      <c r="C22" s="40" t="s">
        <v>43</v>
      </c>
      <c r="D22" s="42" t="s">
        <v>136</v>
      </c>
      <c r="E22" s="42" t="s">
        <v>137</v>
      </c>
      <c r="F22" s="43" t="s">
        <v>138</v>
      </c>
      <c r="G22" s="43" t="s">
        <v>139</v>
      </c>
      <c r="H22" s="44" t="s">
        <v>140</v>
      </c>
      <c r="I22" s="45" t="s">
        <v>49</v>
      </c>
      <c r="J22" s="40">
        <v>1</v>
      </c>
      <c r="K22" s="42">
        <v>82</v>
      </c>
      <c r="L22" s="40">
        <f>IF(K22&gt;=91, 4.00, IF(K22&gt;=81, 3.50, IF(K22&gt;=70, 3.00, IF(K22&gt;=65, 2.50, IF(K22&gt;=60, 2.00, IF(K22&gt;=55, 1.50, IF(K22&gt;=50, 1.00, 0.00)))))))</f>
      </c>
      <c r="M22" s="40">
        <f>IF(K22&gt;=91,"A",IF(K22&gt;=81,"B+",IF(K22&gt;=70,"B",IF(K22&gt;=65,"C+",IF(K22&gt;=60,"C",IF(K22&gt;=55,"D+",IF(K22&gt;=50,"D","F")))))))</f>
      </c>
      <c r="N22" s="42">
        <v>93</v>
      </c>
      <c r="O22" s="40">
        <f>IF(N22&gt;=91, 4.00, IF(N22&gt;=81, 3.50, IF(N22&gt;=70, 3.00, IF(N22&gt;=65, 2.50, IF(N22&gt;=60, 2.00, IF(N22&gt;=55, 1.50, IF(N22&gt;=50, 1.00, 0.00)))))))</f>
      </c>
      <c r="P22" s="40">
        <f>IF(N22&gt;=91,"A",IF(N22&gt;=81,"B+",IF(N22&gt;=70,"B",IF(N22&gt;=65,"C+",IF(N22&gt;=60,"C",IF(N22&gt;=55,"D+",IF(N22&gt;=50,"D","F")))))))</f>
      </c>
      <c r="Q22" s="42">
        <v>95</v>
      </c>
      <c r="R22" s="40">
        <f>IF(Q22&gt;=91, 4.00, IF(Q22&gt;=81, 3.50, IF(Q22&gt;=70, 3.00, IF(Q22&gt;=65, 2.50, IF(Q22&gt;=60, 2.00, IF(Q22&gt;=55, 1.50, IF(Q22&gt;=50, 1.00, 0.00)))))))</f>
      </c>
      <c r="S22" s="40">
        <f>IF(Q22&gt;=91,"A",IF(Q22&gt;=81,"B+",IF(Q22&gt;=70,"B",IF(Q22&gt;=65,"C+",IF(Q22&gt;=60,"C",IF(Q22&gt;=55,"D+",IF(Q22&gt;=50,"D","F")))))))</f>
      </c>
      <c r="T22" s="42">
        <v>79</v>
      </c>
      <c r="U22" s="40">
        <f>IF(T22&gt;=91, 4.00, IF(T22&gt;=81, 3.50, IF(T22&gt;=70, 3.00, IF(T22&gt;=65, 2.50, IF(T22&gt;=60, 2.00, IF(T22&gt;=55, 1.50, IF(T22&gt;=50, 1.00, 0.00)))))))</f>
      </c>
      <c r="V22" s="40">
        <f>IF(T22&gt;=91,"A",IF(T22&gt;=81,"B+",IF(T22&gt;=70,"B",IF(T22&gt;=65,"C+",IF(T22&gt;=60,"C",IF(T22&gt;=55,"D+",IF(T22&gt;=50,"D","F")))))))</f>
      </c>
      <c r="W22" s="42">
        <v>72</v>
      </c>
      <c r="X22" s="40">
        <f>IF(W22&gt;=91, 4.00, IF(W22&gt;=81, 3.50, IF(W22&gt;=70, 3.00, IF(W22&gt;=65, 2.50, IF(W22&gt;=60, 2.00, IF(W22&gt;=55, 1.50, IF(W22&gt;=50, 1.00, 0.00)))))))</f>
      </c>
      <c r="Y22" s="40">
        <f>IF(W22&gt;=91,"A",IF(W22&gt;=81,"B+",IF(W22&gt;=70,"B",IF(W22&gt;=65,"C+",IF(W22&gt;=60,"C",IF(W22&gt;=55,"D+",IF(W22&gt;=50,"D","F")))))))</f>
      </c>
      <c r="Z22" s="46">
        <v>88.43</v>
      </c>
      <c r="AA22" s="40">
        <f>IF(Z22&gt;=91, 4.00, IF(Z22&gt;=81, 3.50, IF(Z22&gt;=70, 3.00, IF(Z22&gt;=65, 2.50, IF(Z22&gt;=60, 2.00, IF(Z22&gt;=55, 1.50, IF(Z22&gt;=50, 1.00, 0.00)))))))</f>
      </c>
      <c r="AB22" s="40">
        <f>IF(Z22&gt;=91,"A",IF(Z22&gt;=81,"B+",IF(Z22&gt;=70,"B",IF(Z22&gt;=65,"C+",IF(Z22&gt;=60,"C",IF(Z22&gt;=55,"D+",IF(Z22&gt;=50,"D","F")))))))</f>
      </c>
      <c r="AC22" s="46">
        <v>78.5</v>
      </c>
      <c r="AD22" s="40">
        <f>IF(AC22&gt;=91, 4.00, IF(AC22&gt;=81, 3.50, IF(AC22&gt;=70, 3.00, IF(AC22&gt;=65, 2.50, IF(AC22&gt;=60, 2.00, IF(AC22&gt;=55, 1.50, IF(AC22&gt;=50, 1.00, 0.00)))))))</f>
      </c>
      <c r="AE22" s="40">
        <f>IF(AC22&gt;=91,"A",IF(AC22&gt;=81,"B+",IF(AC22&gt;=70,"B",IF(AC22&gt;=65,"C+",IF(AC22&gt;=60,"C",IF(AC22&gt;=55,"D+",IF(AC22&gt;=50,"D","F")))))))</f>
      </c>
      <c r="AF22" s="40">
        <v>80</v>
      </c>
      <c r="AG22" s="40">
        <f>IF(AF22&gt;=91, 4.00, IF(AF22&gt;=81, 3.50, IF(AF22&gt;=70, 3.00, IF(AF22&gt;=65, 2.50, IF(AF22&gt;=60, 2.00, IF(AF22&gt;=55, 1.50, IF(AF22&gt;=50, 1.00, 0.00)))))))</f>
      </c>
      <c r="AH22" s="40">
        <f>IF(AF22&gt;=91,"A",IF(AF22&gt;=81,"B+",IF(AF22&gt;=70,"B",IF(AF22&gt;=65,"C+",IF(AF22&gt;=60,"C",IF(AF22&gt;=55,"D+",IF(AF22&gt;=50,"D","F")))))))</f>
      </c>
      <c r="AI22" s="40">
        <v>96</v>
      </c>
      <c r="AJ22" s="40">
        <f>IF(AI22&gt;=91, 4.00, IF(AI22&gt;=81, 3.50, IF(AI22&gt;=70, 3.00, IF(AI22&gt;=65, 2.50, IF(AI22&gt;=60, 2.00, IF(AI22&gt;=55, 1.50, IF(AI22&gt;=50, 1.00, 0.00)))))))</f>
      </c>
      <c r="AK22" s="40">
        <f>IF(AI22&gt;=91,"A",IF(AI22&gt;=81,"B+",IF(AI22&gt;=70,"B",IF(AI22&gt;=65,"C+",IF(AI22&gt;=60,"C",IF(AI22&gt;=55,"D+",IF(AI22&gt;=50,"D","F")))))))</f>
      </c>
      <c r="AL22" s="40">
        <f>ROUND((L22*3+O22*2+R22*1+U22*2+X22*1+AA22*2+AD22*2+AG22*2+AJ22*2)/17, 2)</f>
      </c>
      <c r="AM22" s="47">
        <v>75</v>
      </c>
      <c r="AN22" s="40">
        <f>IF(AM22&gt;=91, 4.00, IF(AM22&gt;=81, 3.50, IF(AM22&gt;=70, 3.00, IF(AM22&gt;=65, 2.50, IF(AM22&gt;=60, 2.00, IF(AM22&gt;=55, 1.50, IF(AM22&gt;=50, 1.00, 0.00)))))))</f>
      </c>
      <c r="AO22" s="65">
        <f>IF(AM22&gt;=91,"A",IF(AM22&gt;=81,"B+",IF(AM22&gt;=70,"B",IF(AM22&gt;=65,"C+",IF(AM22&gt;=60,"C",IF(AM22&gt;=55,"D+",IF(AM22&gt;=50,"D","F")))))))</f>
      </c>
      <c r="AP22" s="40" t="s">
        <v>43</v>
      </c>
      <c r="AQ22" s="42">
        <f>IF(AP22&gt;=91, 4.00, IF(AP22&gt;=81, 3.50, IF(AP22&gt;=70, 3.00, IF(AP22&gt;=65, 2.50, IF(AP22&gt;=60, 2.00, IF(AP22&gt;=55, 1.50, IF(AP22&gt;=50, 1.00, 0.00)))))))</f>
      </c>
      <c r="AR22" s="42">
        <f>IF(AP22&gt;=91,"A",IF(AP22&gt;=81,"B+",IF(AP22&gt;=70,"B",IF(AP22&gt;=65,"C+",IF(AP22&gt;=60,"C",IF(AP22&gt;=55,"D+",IF(AP22&gt;=50,"D","F")))))))</f>
      </c>
      <c r="AS22" s="43" t="s">
        <v>138</v>
      </c>
      <c r="AT22" s="43">
        <f>IF(AS22&gt;=91, 4.00, IF(AS22&gt;=81, 3.50, IF(AS22&gt;=70, 3.00, IF(AS22&gt;=65, 2.50, IF(AS22&gt;=60, 2.00, IF(AS22&gt;=55, 1.50, IF(AS22&gt;=50, 1.00, 0.00)))))))</f>
      </c>
      <c r="AU22" s="44">
        <f>IF(AS22&gt;=91,"A",IF(AS22&gt;=81,"B+",IF(AS22&gt;=70,"B",IF(AS22&gt;=65,"C+",IF(AS22&gt;=60,"C",IF(AS22&gt;=55,"D+",IF(AS22&gt;=50,"D","F")))))))</f>
      </c>
      <c r="AV22" s="45" t="s">
        <v>49</v>
      </c>
      <c r="AW22" s="48">
        <f>IF(AV22&gt;=91, 4.00, IF(AV22&gt;=81, 3.50, IF(AV22&gt;=70, 3.00, IF(AV22&gt;=65, 2.50, IF(AV22&gt;=60, 2.00, IF(AV22&gt;=55, 1.50, IF(AV22&gt;=50, 1.00, 0.00)))))))</f>
      </c>
      <c r="AX22" s="49">
        <f>IF(AV22&gt;=91,"A",IF(AV22&gt;=81,"B+",IF(AV22&gt;=70,"B",IF(AV22&gt;=65,"C+",IF(AV22&gt;=60,"C",IF(AV22&gt;=55,"D+",IF(AV22&gt;=50,"D","F")))))))</f>
      </c>
      <c r="AY22" s="40" t="str">
        <f>IF(AW22&gt;90,"A",IF(AW22&gt;80,"B+",IF(AW22&gt;69,"B",IF(AW22&gt;64,"C+",IF(AW22&gt;59,"C",IF(AW22&gt;54,"D+",IF(AW22&gt;49,"D",IF(AW22&gt;=0,"F"))))))))</f>
        <v>A</v>
      </c>
      <c r="AZ22" s="48">
        <f>IF(AY22&gt;=91, 4.00, IF(AY22&gt;=81, 3.50, IF(AY22&gt;=70, 3.00, IF(AY22&gt;=65, 2.50, IF(AY22&gt;=60, 2.00, IF(AY22&gt;=55, 1.50, IF(AY22&gt;=50, 1.00, 0.00)))))))</f>
      </c>
      <c r="BA22" s="49">
        <f>IF(AY22&gt;=91,"A",IF(AY22&gt;=81,"B+",IF(AY22&gt;=70,"B",IF(AY22&gt;=65,"C+",IF(AY22&gt;=60,"C",IF(AY22&gt;=55,"D+",IF(AY22&gt;=50,"D","F")))))))</f>
      </c>
      <c r="BB22" s="40" t="str">
        <f>IF(AZ22&gt;90,"A",IF(AZ22&gt;80,"B+",IF(AZ22&gt;69,"B",IF(AZ22&gt;64,"C+",IF(AZ22&gt;59,"C",IF(AZ22&gt;54,"D+",IF(AZ22&gt;49,"D",IF(AZ22&gt;=0,"F"))))))))</f>
        <v>A</v>
      </c>
      <c r="BC22" s="43">
        <f>IF(BB22&gt;=91, 4.00, IF(BB22&gt;=81, 3.50, IF(BB22&gt;=70, 3.00, IF(BB22&gt;=65, 2.50, IF(BB22&gt;=60, 2.00, IF(BB22&gt;=55, 1.50, IF(BB22&gt;=50, 1.00, 0.00)))))))</f>
      </c>
      <c r="BD22" s="49">
        <f>IF(BB22&gt;=91,"A",IF(BB22&gt;=81,"B+",IF(BB22&gt;=70,"B",IF(BB22&gt;=65,"C+",IF(BB22&gt;=60,"C",IF(BB22&gt;=55,"D+",IF(BB22&gt;=50,"D","F")))))))</f>
      </c>
      <c r="BE22" s="40" t="str">
        <f>IF(BC22&gt;90,"A",IF(BC22&gt;80,"B+",IF(BC22&gt;69,"B",IF(BC22&gt;64,"C+",IF(BC22&gt;59,"C",IF(BC22&gt;54,"D+",IF(BC22&gt;49,"D",IF(BC22&gt;=0,"F"))))))))</f>
        <v>A</v>
      </c>
      <c r="BF22" s="48">
        <f>IF(BE22&gt;=91, 4.00, IF(BE22&gt;=81, 3.50, IF(BE22&gt;=70, 3.00, IF(BE22&gt;=65, 2.50, IF(BE22&gt;=60, 2.00, IF(BE22&gt;=55, 1.50, IF(BE22&gt;=50, 1.00, 0.00)))))))</f>
      </c>
      <c r="BG22" s="49">
        <f>IF(BE22&gt;=91,"A",IF(BE22&gt;=81,"B+",IF(BE22&gt;=70,"B",IF(BE22&gt;=65,"C+",IF(BE22&gt;=60,"C",IF(BE22&gt;=55,"D+",IF(BE22&gt;=50,"D","F")))))))</f>
      </c>
      <c r="BH22" s="40" t="str">
        <f>IF(BF22&gt;90,"A",IF(BF22&gt;80,"B+",IF(BF22&gt;69,"B",IF(BF22&gt;64,"C+",IF(BF22&gt;59,"C",IF(BF22&gt;54,"D+",IF(BF22&gt;49,"D",IF(BF22&gt;=0,"F"))))))))</f>
        <v>B+</v>
      </c>
      <c r="BI22" s="43">
        <f>IF(BH22&gt;=91, 4.00, IF(BH22&gt;=81, 3.50, IF(BH22&gt;=70, 3.00, IF(BH22&gt;=65, 2.50, IF(BH22&gt;=60, 2.00, IF(BH22&gt;=55, 1.50, IF(BH22&gt;=50, 1.00, 0.00)))))))</f>
      </c>
      <c r="BJ22" s="49">
        <f>IF(BH22&gt;=91,"A",IF(BH22&gt;=81,"B+",IF(BH22&gt;=70,"B",IF(BH22&gt;=65,"C+",IF(BH22&gt;=60,"C",IF(BH22&gt;=55,"D+",IF(BH22&gt;=50,"D","F")))))))</f>
      </c>
      <c r="BK22" s="40" t="str">
        <f>IF(BI22&gt;90,"A",IF(BI22&gt;80,"B+",IF(BI22&gt;69,"B",IF(BI22&gt;64,"C+",IF(BI22&gt;59,"C",IF(BI22&gt;54,"D+",IF(BI22&gt;49,"D",IF(BI22&gt;=0,"F"))))))))</f>
        <v>A</v>
      </c>
      <c r="BL22" s="43">
        <f>IF(BK22&gt;=91, 4.00, IF(BK22&gt;=81, 3.50, IF(BK22&gt;=70, 3.00, IF(BK22&gt;=65, 2.50, IF(BK22&gt;=60, 2.00, IF(BK22&gt;=55, 1.50, IF(BK22&gt;=50, 1.00, 0.00)))))))</f>
      </c>
      <c r="BM22" s="49">
        <f>IF(BK22&gt;=91,"A",IF(BK22&gt;=81,"B+",IF(BK22&gt;=70,"B",IF(BK22&gt;=65,"C+",IF(BK22&gt;=60,"C",IF(BK22&gt;=55,"D+",IF(BK22&gt;=50,"D","F")))))))</f>
      </c>
      <c r="BN22" s="40" t="str">
        <f>IF(BL22&gt;90,"A",IF(BL22&gt;80,"B+",IF(BL22&gt;69,"B",IF(BL22&gt;64,"C+",IF(BL22&gt;59,"C",IF(BL22&gt;54,"D+",IF(BL22&gt;49,"D",IF(BL22&gt;=0,"F"))))))))</f>
        <v>A</v>
      </c>
      <c r="BO22" s="49">
        <f>IF(BN22&gt;=91, 4.00, IF(BN22&gt;=81, 3.50, IF(BN22&gt;=70, 3.00, IF(BN22&gt;=65, 2.50, IF(BN22&gt;=60, 2.00, IF(BN22&gt;=55, 1.50, IF(BN22&gt;=50, 1.00, 0.00)))))))</f>
      </c>
      <c r="BP22" s="49">
        <f>IF(BN22&gt;=91,"A",IF(BN22&gt;=81,"B+",IF(BN22&gt;=70,"B",IF(BN22&gt;=65,"C+",IF(BN22&gt;=60,"C",IF(BN22&gt;=55,"D+",IF(BN22&gt;=50,"D","F")))))))</f>
      </c>
      <c r="BQ22" s="40">
        <f>ROUND((AN22*3+AQ22*2+AT22*1+AW22*2+AZ22*1+BC22*1+BF22*2+BI22*2+BL22*2+BO22*3)/19, 2)</f>
      </c>
      <c r="BR22" s="49">
        <v>83</v>
      </c>
      <c r="BS22" s="49" t="str">
        <f>IF(BR22&gt;90,"4.00",IF(BR22&gt;80,"3.50",IF(BR22&gt;69,"3.00",IF(BR22&gt;64,"2.50",IF(BR22&gt;59,"2.00",IF(BR22&gt;54,"1.50",IF(BR22&gt;49,"1.00","0.00")))))))</f>
        <v>3.50</v>
      </c>
      <c r="BT22" s="40" t="str">
        <f>IF(BR22&gt;90,"A",IF(BR22&gt;80,"B+",IF(BR22&gt;69,"B",IF(BR22&gt;64,"C+",IF(BR22&gt;59,"C",IF(BR22&gt;54,"D+",IF(BR22&gt;49,"D",IF(BR22&gt;=0,"F"))))))))</f>
        <v>B+</v>
      </c>
      <c r="BU22" s="49">
        <v>71</v>
      </c>
      <c r="BV22" s="49" t="str">
        <f>IF(BU22&gt;90,"4.00",IF(BU22&gt;80,"3.50",IF(BU22&gt;69,"3.00",IF(BU22&gt;64,"2.50",IF(BU22&gt;59,"2.00",IF(BU22&gt;54,"1.50",IF(BU22&gt;49,"1.00","0.00")))))))</f>
        <v>3.00</v>
      </c>
      <c r="BW22" s="40" t="str">
        <f>IF(BU22&gt;90,"A",IF(BU22&gt;80,"B+",IF(BU22&gt;69,"B",IF(BU22&gt;64,"C+",IF(BU22&gt;59,"C",IF(BU22&gt;54,"D+",IF(BU22&gt;49,"D",IF(BU22&gt;=0,"F"))))))))</f>
        <v>B</v>
      </c>
      <c r="BX22" s="50">
        <f>(AX22*3+BA22*2+BD22*1+BG22*2+BJ22*1+BM22*1+BP22*2+BS22*2+BV22*2)/(3+2+1+2+1+1+2+2+2)</f>
        <v>3.625</v>
      </c>
      <c r="BY22" s="50">
        <f>(AL22+BX22)/2</f>
        <v>3.4301470588235294</v>
      </c>
      <c r="BZ22" s="51">
        <f>RANK(BY22,$BY$7:BY52)</f>
        <v>2</v>
      </c>
      <c r="CA22" s="58"/>
      <c r="CB22" s="52"/>
      <c r="CC22" s="52"/>
      <c r="CD22" s="52"/>
      <c r="CE22" s="53"/>
      <c r="CF22" s="53"/>
      <c r="CG22" s="53"/>
      <c r="CH22" s="53"/>
      <c r="CI22" s="53"/>
      <c r="CJ22" s="53"/>
      <c r="CK22" s="53"/>
      <c r="CL22" s="53"/>
      <c r="CM22" s="53"/>
      <c r="CN22" s="53"/>
      <c r="CO22" s="53"/>
      <c r="CP22" s="53"/>
      <c r="CQ22" s="53"/>
      <c r="CR22" s="53"/>
      <c r="CS22" s="53"/>
      <c r="CT22" s="53"/>
      <c r="CU22" s="53"/>
      <c r="CV22" s="53"/>
      <c r="CW22" s="53"/>
      <c r="CX22" s="53"/>
      <c r="CY22" s="53"/>
      <c r="CZ22" s="53"/>
      <c r="DA22" s="53"/>
      <c r="DB22" s="53"/>
      <c r="DC22" s="53"/>
      <c r="DD22" s="53"/>
      <c r="DE22" s="53"/>
      <c r="DF22" s="53"/>
      <c r="DG22" s="53"/>
      <c r="DH22" s="53"/>
      <c r="DI22" s="53"/>
      <c r="DJ22" s="53"/>
      <c r="DK22" s="53"/>
      <c r="DL22" s="53"/>
      <c r="DM22" s="53"/>
      <c r="DN22" s="53"/>
      <c r="DO22" s="53"/>
      <c r="DP22" s="53"/>
      <c r="DQ22" s="53"/>
      <c r="DR22" s="53"/>
      <c r="DS22" s="53"/>
      <c r="DT22" s="53"/>
      <c r="DU22" s="53"/>
      <c r="DV22" s="53"/>
      <c r="DW22" s="53"/>
      <c r="DX22" s="53"/>
      <c r="DY22" s="53"/>
      <c r="DZ22" s="53"/>
      <c r="EA22" s="53"/>
      <c r="EB22" s="53"/>
      <c r="EC22" s="53"/>
      <c r="ED22" s="53"/>
      <c r="EE22" s="53"/>
      <c r="EF22" s="53"/>
      <c r="EG22" s="53"/>
      <c r="EH22" s="53"/>
      <c r="EI22" s="53"/>
      <c r="EJ22" s="53"/>
      <c r="EK22" s="53"/>
      <c r="EL22" s="53"/>
      <c r="EM22" s="53"/>
      <c r="EN22" s="53"/>
      <c r="EO22" s="53"/>
      <c r="EP22" s="53"/>
      <c r="EQ22" s="53"/>
      <c r="ER22" s="53"/>
      <c r="ES22" s="53"/>
      <c r="ET22" s="53"/>
      <c r="EU22" s="53"/>
      <c r="EV22" s="53"/>
      <c r="EW22" s="53"/>
      <c r="EX22" s="53"/>
      <c r="EY22" s="53"/>
      <c r="EZ22" s="53"/>
      <c r="FA22" s="53"/>
      <c r="FB22" s="53"/>
      <c r="FC22" s="53"/>
      <c r="FD22" s="53"/>
      <c r="FE22" s="53"/>
      <c r="FF22" s="53"/>
      <c r="FG22" s="53"/>
      <c r="FH22" s="53"/>
      <c r="FI22" s="53"/>
      <c r="FJ22" s="53"/>
      <c r="FK22" s="53"/>
      <c r="FL22" s="53"/>
      <c r="FM22" s="53"/>
      <c r="FN22" s="53"/>
      <c r="FO22" s="53"/>
      <c r="FP22" s="53"/>
      <c r="FQ22" s="53"/>
      <c r="FR22" s="53"/>
      <c r="FS22" s="53"/>
      <c r="FT22" s="53"/>
      <c r="FU22" s="53"/>
      <c r="FV22" s="53"/>
      <c r="FW22" s="53"/>
      <c r="FX22" s="53"/>
      <c r="FY22" s="53"/>
      <c r="FZ22" s="53"/>
      <c r="GA22" s="53"/>
      <c r="GB22" s="53"/>
      <c r="GC22" s="53"/>
      <c r="GD22" s="53"/>
      <c r="GE22" s="53"/>
      <c r="GF22" s="53"/>
      <c r="GG22" s="53"/>
      <c r="GH22" s="53"/>
      <c r="GI22" s="53"/>
      <c r="GJ22" s="53"/>
      <c r="GK22" s="53"/>
    </row>
    <row r="23" ht="20" customHeight="1" spans="1:193" s="39" customFormat="1" x14ac:dyDescent="0.25">
      <c r="A23" s="40">
        <v>17</v>
      </c>
      <c r="B23" s="65" t="s">
        <v>141</v>
      </c>
      <c r="C23" s="40" t="s">
        <v>43</v>
      </c>
      <c r="D23" s="42" t="s">
        <v>142</v>
      </c>
      <c r="E23" s="42" t="s">
        <v>143</v>
      </c>
      <c r="F23" s="43" t="s">
        <v>144</v>
      </c>
      <c r="G23" s="43" t="s">
        <v>145</v>
      </c>
      <c r="H23" s="44">
        <v>38637</v>
      </c>
      <c r="I23" s="45" t="s">
        <v>49</v>
      </c>
      <c r="J23" s="40">
        <v>1</v>
      </c>
      <c r="K23" s="42">
        <v>51</v>
      </c>
      <c r="L23" s="40">
        <f>IF(K23&gt;=91, 4.00, IF(K23&gt;=81, 3.50, IF(K23&gt;=70, 3.00, IF(K23&gt;=65, 2.50, IF(K23&gt;=60, 2.00, IF(K23&gt;=55, 1.50, IF(K23&gt;=50, 1.00, 0.00)))))))</f>
      </c>
      <c r="M23" s="40">
        <f>IF(K23&gt;=91,"A",IF(K23&gt;=81,"B+",IF(K23&gt;=70,"B",IF(K23&gt;=65,"C+",IF(K23&gt;=60,"C",IF(K23&gt;=55,"D+",IF(K23&gt;=50,"D","F")))))))</f>
      </c>
      <c r="N23" s="42">
        <v>78</v>
      </c>
      <c r="O23" s="40">
        <f>IF(N23&gt;=91, 4.00, IF(N23&gt;=81, 3.50, IF(N23&gt;=70, 3.00, IF(N23&gt;=65, 2.50, IF(N23&gt;=60, 2.00, IF(N23&gt;=55, 1.50, IF(N23&gt;=50, 1.00, 0.00)))))))</f>
      </c>
      <c r="P23" s="40">
        <f>IF(N23&gt;=91,"A",IF(N23&gt;=81,"B+",IF(N23&gt;=70,"B",IF(N23&gt;=65,"C+",IF(N23&gt;=60,"C",IF(N23&gt;=55,"D+",IF(N23&gt;=50,"D","F")))))))</f>
      </c>
      <c r="Q23" s="42">
        <v>66</v>
      </c>
      <c r="R23" s="40">
        <f>IF(Q23&gt;=91, 4.00, IF(Q23&gt;=81, 3.50, IF(Q23&gt;=70, 3.00, IF(Q23&gt;=65, 2.50, IF(Q23&gt;=60, 2.00, IF(Q23&gt;=55, 1.50, IF(Q23&gt;=50, 1.00, 0.00)))))))</f>
      </c>
      <c r="S23" s="40">
        <f>IF(Q23&gt;=91,"A",IF(Q23&gt;=81,"B+",IF(Q23&gt;=70,"B",IF(Q23&gt;=65,"C+",IF(Q23&gt;=60,"C",IF(Q23&gt;=55,"D+",IF(Q23&gt;=50,"D","F")))))))</f>
      </c>
      <c r="T23" s="55">
        <v>47</v>
      </c>
      <c r="U23" s="56">
        <f>IF(T23&gt;=91, 4.00, IF(T23&gt;=81, 3.50, IF(T23&gt;=70, 3.00, IF(T23&gt;=65, 2.50, IF(T23&gt;=60, 2.00, IF(T23&gt;=55, 1.50, IF(T23&gt;=50, 1.00, 0.00)))))))</f>
      </c>
      <c r="V23" s="57">
        <f>IF(T23&gt;=91,"A",IF(T23&gt;=81,"B+",IF(T23&gt;=70,"B",IF(T23&gt;=65,"C+",IF(T23&gt;=60,"C",IF(T23&gt;=55,"D+",IF(T23&gt;=50,"D","F")))))))</f>
      </c>
      <c r="W23" s="55">
        <v>41</v>
      </c>
      <c r="X23" s="56">
        <f>IF(W23&gt;=91, 4.00, IF(W23&gt;=81, 3.50, IF(W23&gt;=70, 3.00, IF(W23&gt;=65, 2.50, IF(W23&gt;=60, 2.00, IF(W23&gt;=55, 1.50, IF(W23&gt;=50, 1.00, 0.00)))))))</f>
      </c>
      <c r="Y23" s="57">
        <f>IF(W23&gt;=91,"A",IF(W23&gt;=81,"B+",IF(W23&gt;=70,"B",IF(W23&gt;=65,"C+",IF(W23&gt;=60,"C",IF(W23&gt;=55,"D+",IF(W23&gt;=50,"D","F")))))))</f>
      </c>
      <c r="Z23" s="55">
        <v>33.57</v>
      </c>
      <c r="AA23" s="56">
        <f>IF(Z23&gt;=91, 4.00, IF(Z23&gt;=81, 3.50, IF(Z23&gt;=70, 3.00, IF(Z23&gt;=65, 2.50, IF(Z23&gt;=60, 2.00, IF(Z23&gt;=55, 1.50, IF(Z23&gt;=50, 1.00, 0.00)))))))</f>
      </c>
      <c r="AB23" s="57">
        <f>IF(Z23&gt;=91,"A",IF(Z23&gt;=81,"B+",IF(Z23&gt;=70,"B",IF(Z23&gt;=65,"C+",IF(Z23&gt;=60,"C",IF(Z23&gt;=55,"D+",IF(Z23&gt;=50,"D","F")))))))</f>
      </c>
      <c r="AC23" s="46">
        <v>58.5</v>
      </c>
      <c r="AD23" s="40">
        <f>IF(AC23&gt;=91, 4.00, IF(AC23&gt;=81, 3.50, IF(AC23&gt;=70, 3.00, IF(AC23&gt;=65, 2.50, IF(AC23&gt;=60, 2.00, IF(AC23&gt;=55, 1.50, IF(AC23&gt;=50, 1.00, 0.00)))))))</f>
      </c>
      <c r="AE23" s="40">
        <f>IF(AC23&gt;=91,"A",IF(AC23&gt;=81,"B+",IF(AC23&gt;=70,"B",IF(AC23&gt;=65,"C+",IF(AC23&gt;=60,"C",IF(AC23&gt;=55,"D+",IF(AC23&gt;=50,"D","F")))))))</f>
      </c>
      <c r="AF23" s="40">
        <v>80</v>
      </c>
      <c r="AG23" s="40">
        <f>IF(AF23&gt;=91, 4.00, IF(AF23&gt;=81, 3.50, IF(AF23&gt;=70, 3.00, IF(AF23&gt;=65, 2.50, IF(AF23&gt;=60, 2.00, IF(AF23&gt;=55, 1.50, IF(AF23&gt;=50, 1.00, 0.00)))))))</f>
      </c>
      <c r="AH23" s="40">
        <f>IF(AF23&gt;=91,"A",IF(AF23&gt;=81,"B+",IF(AF23&gt;=70,"B",IF(AF23&gt;=65,"C+",IF(AF23&gt;=60,"C",IF(AF23&gt;=55,"D+",IF(AF23&gt;=50,"D","F")))))))</f>
      </c>
      <c r="AI23" s="40">
        <v>97</v>
      </c>
      <c r="AJ23" s="40">
        <f>IF(AI23&gt;=91, 4.00, IF(AI23&gt;=81, 3.50, IF(AI23&gt;=70, 3.00, IF(AI23&gt;=65, 2.50, IF(AI23&gt;=60, 2.00, IF(AI23&gt;=55, 1.50, IF(AI23&gt;=50, 1.00, 0.00)))))))</f>
      </c>
      <c r="AK23" s="40">
        <f>IF(AI23&gt;=91,"A",IF(AI23&gt;=81,"B+",IF(AI23&gt;=70,"B",IF(AI23&gt;=65,"C+",IF(AI23&gt;=60,"C",IF(AI23&gt;=55,"D+",IF(AI23&gt;=50,"D","F")))))))</f>
      </c>
      <c r="AL23" s="40">
        <f>ROUND((L23*3+O23*2+R23*1+U23*2+X23*1+AA23*2+AD23*2+AG23*2+AJ23*2)/17, 2)</f>
      </c>
      <c r="AM23" s="47">
        <v>78</v>
      </c>
      <c r="AN23" s="40">
        <f>IF(AM23&gt;=91, 4.00, IF(AM23&gt;=81, 3.50, IF(AM23&gt;=70, 3.00, IF(AM23&gt;=65, 2.50, IF(AM23&gt;=60, 2.00, IF(AM23&gt;=55, 1.50, IF(AM23&gt;=50, 1.00, 0.00)))))))</f>
      </c>
      <c r="AO23" s="65">
        <f>IF(AM23&gt;=91,"A",IF(AM23&gt;=81,"B+",IF(AM23&gt;=70,"B",IF(AM23&gt;=65,"C+",IF(AM23&gt;=60,"C",IF(AM23&gt;=55,"D+",IF(AM23&gt;=50,"D","F")))))))</f>
      </c>
      <c r="AP23" s="40" t="s">
        <v>43</v>
      </c>
      <c r="AQ23" s="42">
        <f>IF(AP23&gt;=91, 4.00, IF(AP23&gt;=81, 3.50, IF(AP23&gt;=70, 3.00, IF(AP23&gt;=65, 2.50, IF(AP23&gt;=60, 2.00, IF(AP23&gt;=55, 1.50, IF(AP23&gt;=50, 1.00, 0.00)))))))</f>
      </c>
      <c r="AR23" s="42">
        <f>IF(AP23&gt;=91,"A",IF(AP23&gt;=81,"B+",IF(AP23&gt;=70,"B",IF(AP23&gt;=65,"C+",IF(AP23&gt;=60,"C",IF(AP23&gt;=55,"D+",IF(AP23&gt;=50,"D","F")))))))</f>
      </c>
      <c r="AS23" s="43" t="s">
        <v>144</v>
      </c>
      <c r="AT23" s="43">
        <f>IF(AS23&gt;=91, 4.00, IF(AS23&gt;=81, 3.50, IF(AS23&gt;=70, 3.00, IF(AS23&gt;=65, 2.50, IF(AS23&gt;=60, 2.00, IF(AS23&gt;=55, 1.50, IF(AS23&gt;=50, 1.00, 0.00)))))))</f>
      </c>
      <c r="AU23" s="44">
        <f>IF(AS23&gt;=91,"A",IF(AS23&gt;=81,"B+",IF(AS23&gt;=70,"B",IF(AS23&gt;=65,"C+",IF(AS23&gt;=60,"C",IF(AS23&gt;=55,"D+",IF(AS23&gt;=50,"D","F")))))))</f>
      </c>
      <c r="AV23" s="45" t="s">
        <v>49</v>
      </c>
      <c r="AW23" s="59">
        <f>IF(AV23&gt;=91, 4.00, IF(AV23&gt;=81, 3.50, IF(AV23&gt;=70, 3.00, IF(AV23&gt;=65, 2.50, IF(AV23&gt;=60, 2.00, IF(AV23&gt;=55, 1.50, IF(AV23&gt;=50, 1.00, 0.00)))))))</f>
      </c>
      <c r="AX23" s="60">
        <f>IF(AV23&gt;=91,"A",IF(AV23&gt;=81,"B+",IF(AV23&gt;=70,"B",IF(AV23&gt;=65,"C+",IF(AV23&gt;=60,"C",IF(AV23&gt;=55,"D+",IF(AV23&gt;=50,"D","F")))))))</f>
      </c>
      <c r="AY23" s="60" t="str">
        <f>IF(AW23&gt;90,"A",IF(AW23&gt;80,"B+",IF(AW23&gt;69,"B",IF(AW23&gt;64,"C+",IF(AW23&gt;59,"C",IF(AW23&gt;54,"D+",IF(AW23&gt;49,"D",IF(AW23&gt;=0,"F"))))))))</f>
        <v>F</v>
      </c>
      <c r="AZ23" s="59">
        <f>IF(AY23&gt;=91, 4.00, IF(AY23&gt;=81, 3.50, IF(AY23&gt;=70, 3.00, IF(AY23&gt;=65, 2.50, IF(AY23&gt;=60, 2.00, IF(AY23&gt;=55, 1.50, IF(AY23&gt;=50, 1.00, 0.00)))))))</f>
      </c>
      <c r="BA23" s="60">
        <f>IF(AY23&gt;=91,"A",IF(AY23&gt;=81,"B+",IF(AY23&gt;=70,"B",IF(AY23&gt;=65,"C+",IF(AY23&gt;=60,"C",IF(AY23&gt;=55,"D+",IF(AY23&gt;=50,"D","F")))))))</f>
      </c>
      <c r="BB23" s="60" t="str">
        <f>IF(AZ23&gt;90,"A",IF(AZ23&gt;80,"B+",IF(AZ23&gt;69,"B",IF(AZ23&gt;64,"C+",IF(AZ23&gt;59,"C",IF(AZ23&gt;54,"D+",IF(AZ23&gt;49,"D",IF(AZ23&gt;=0,"F"))))))))</f>
        <v>F</v>
      </c>
      <c r="BC23" s="61">
        <f>IF(BB23&gt;=91, 4.00, IF(BB23&gt;=81, 3.50, IF(BB23&gt;=70, 3.00, IF(BB23&gt;=65, 2.50, IF(BB23&gt;=60, 2.00, IF(BB23&gt;=55, 1.50, IF(BB23&gt;=50, 1.00, 0.00)))))))</f>
      </c>
      <c r="BD23" s="60">
        <f>IF(BB23&gt;=91,"A",IF(BB23&gt;=81,"B+",IF(BB23&gt;=70,"B",IF(BB23&gt;=65,"C+",IF(BB23&gt;=60,"C",IF(BB23&gt;=55,"D+",IF(BB23&gt;=50,"D","F")))))))</f>
      </c>
      <c r="BE23" s="60" t="str">
        <f>IF(BC23&gt;90,"A",IF(BC23&gt;80,"B+",IF(BC23&gt;69,"B",IF(BC23&gt;64,"C+",IF(BC23&gt;59,"C",IF(BC23&gt;54,"D+",IF(BC23&gt;49,"D",IF(BC23&gt;=0,"F"))))))))</f>
        <v>F</v>
      </c>
      <c r="BF23" s="59">
        <f>IF(BE23&gt;=91, 4.00, IF(BE23&gt;=81, 3.50, IF(BE23&gt;=70, 3.00, IF(BE23&gt;=65, 2.50, IF(BE23&gt;=60, 2.00, IF(BE23&gt;=55, 1.50, IF(BE23&gt;=50, 1.00, 0.00)))))))</f>
      </c>
      <c r="BG23" s="60">
        <f>IF(BE23&gt;=91,"A",IF(BE23&gt;=81,"B+",IF(BE23&gt;=70,"B",IF(BE23&gt;=65,"C+",IF(BE23&gt;=60,"C",IF(BE23&gt;=55,"D+",IF(BE23&gt;=50,"D","F")))))))</f>
      </c>
      <c r="BH23" s="60" t="str">
        <f>IF(BF23&gt;90,"A",IF(BF23&gt;80,"B+",IF(BF23&gt;69,"B",IF(BF23&gt;64,"C+",IF(BF23&gt;59,"C",IF(BF23&gt;54,"D+",IF(BF23&gt;49,"D",IF(BF23&gt;=0,"F"))))))))</f>
        <v>F</v>
      </c>
      <c r="BI23" s="61">
        <f>IF(BH23&gt;=91, 4.00, IF(BH23&gt;=81, 3.50, IF(BH23&gt;=70, 3.00, IF(BH23&gt;=65, 2.50, IF(BH23&gt;=60, 2.00, IF(BH23&gt;=55, 1.50, IF(BH23&gt;=50, 1.00, 0.00)))))))</f>
      </c>
      <c r="BJ23" s="60">
        <f>IF(BH23&gt;=91,"A",IF(BH23&gt;=81,"B+",IF(BH23&gt;=70,"B",IF(BH23&gt;=65,"C+",IF(BH23&gt;=60,"C",IF(BH23&gt;=55,"D+",IF(BH23&gt;=50,"D","F")))))))</f>
      </c>
      <c r="BK23" s="60" t="str">
        <f>IF(BI23&gt;90,"A",IF(BI23&gt;80,"B+",IF(BI23&gt;69,"B",IF(BI23&gt;64,"C+",IF(BI23&gt;59,"C",IF(BI23&gt;54,"D+",IF(BI23&gt;49,"D",IF(BI23&gt;=0,"F"))))))))</f>
        <v>F</v>
      </c>
      <c r="BL23" s="61">
        <f>IF(BK23&gt;=91, 4.00, IF(BK23&gt;=81, 3.50, IF(BK23&gt;=70, 3.00, IF(BK23&gt;=65, 2.50, IF(BK23&gt;=60, 2.00, IF(BK23&gt;=55, 1.50, IF(BK23&gt;=50, 1.00, 0.00)))))))</f>
      </c>
      <c r="BM23" s="60">
        <f>IF(BK23&gt;=91,"A",IF(BK23&gt;=81,"B+",IF(BK23&gt;=70,"B",IF(BK23&gt;=65,"C+",IF(BK23&gt;=60,"C",IF(BK23&gt;=55,"D+",IF(BK23&gt;=50,"D","F")))))))</f>
      </c>
      <c r="BN23" s="60" t="str">
        <f>IF(BL23&gt;90,"A",IF(BL23&gt;80,"B+",IF(BL23&gt;69,"B",IF(BL23&gt;64,"C+",IF(BL23&gt;59,"C",IF(BL23&gt;54,"D+",IF(BL23&gt;49,"D",IF(BL23&gt;=0,"F"))))))))</f>
        <v>F</v>
      </c>
      <c r="BO23" s="60">
        <f>IF(BN23&gt;=91, 4.00, IF(BN23&gt;=81, 3.50, IF(BN23&gt;=70, 3.00, IF(BN23&gt;=65, 2.50, IF(BN23&gt;=60, 2.00, IF(BN23&gt;=55, 1.50, IF(BN23&gt;=50, 1.00, 0.00)))))))</f>
      </c>
      <c r="BP23" s="60">
        <f>IF(BN23&gt;=91,"A",IF(BN23&gt;=81,"B+",IF(BN23&gt;=70,"B",IF(BN23&gt;=65,"C+",IF(BN23&gt;=60,"C",IF(BN23&gt;=55,"D+",IF(BN23&gt;=50,"D","F")))))))</f>
      </c>
      <c r="BQ23" s="60">
        <f>ROUND((AN23*3+AQ23*2+AT23*1+AW23*2+AZ23*1+BC23*1+BF23*2+BI23*2+BL23*2+BO23*3)/19, 2)</f>
      </c>
      <c r="BR23" s="49">
        <v>74</v>
      </c>
      <c r="BS23" s="49" t="str">
        <f>IF(BR23&gt;90,"4.00",IF(BR23&gt;80,"3.50",IF(BR23&gt;69,"3.00",IF(BR23&gt;64,"2.50",IF(BR23&gt;59,"2.00",IF(BR23&gt;54,"1.50",IF(BR23&gt;49,"1.00","0.00")))))))</f>
        <v>3.00</v>
      </c>
      <c r="BT23" s="40" t="str">
        <f>IF(BR23&gt;90,"A",IF(BR23&gt;80,"B+",IF(BR23&gt;69,"B",IF(BR23&gt;64,"C+",IF(BR23&gt;59,"C",IF(BR23&gt;54,"D+",IF(BR23&gt;49,"D",IF(BR23&gt;=0,"F"))))))))</f>
        <v>B</v>
      </c>
      <c r="BU23" s="49">
        <v>64</v>
      </c>
      <c r="BV23" s="49" t="str">
        <f>IF(BU23&gt;90,"4.00",IF(BU23&gt;80,"3.50",IF(BU23&gt;69,"3.00",IF(BU23&gt;64,"2.50",IF(BU23&gt;59,"2.00",IF(BU23&gt;54,"1.50",IF(BU23&gt;49,"1.00","0.00")))))))</f>
        <v>2.00</v>
      </c>
      <c r="BW23" s="40" t="str">
        <f>IF(BU23&gt;90,"A",IF(BU23&gt;80,"B+",IF(BU23&gt;69,"B",IF(BU23&gt;64,"C+",IF(BU23&gt;59,"C",IF(BU23&gt;54,"D+",IF(BU23&gt;49,"D",IF(BU23&gt;=0,"F"))))))))</f>
        <v>C</v>
      </c>
      <c r="BX23" s="50">
        <f>(AX23*3+BA23*2+BD23*1+BG23*2+BJ23*1+BM23*1+BP23*2+BS23*2+BV23*2)/(3+2+1+2+1+1+2+2+2)</f>
        <v>0.625</v>
      </c>
      <c r="BY23" s="50">
        <f>(AL23+BX23)/2</f>
        <v>1.1507352941176472</v>
      </c>
      <c r="BZ23" s="51">
        <f>RANK(BY23,$BY$7:BY55)</f>
        <v>26</v>
      </c>
      <c r="CA23" s="40"/>
      <c r="CB23" s="52"/>
      <c r="CC23" s="52"/>
      <c r="CD23" s="52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</row>
    <row r="24" ht="20" customHeight="1" spans="1:193" s="39" customFormat="1" x14ac:dyDescent="0.25">
      <c r="A24" s="40">
        <v>18</v>
      </c>
      <c r="B24" s="65" t="s">
        <v>146</v>
      </c>
      <c r="C24" s="40" t="s">
        <v>51</v>
      </c>
      <c r="D24" s="42" t="s">
        <v>147</v>
      </c>
      <c r="E24" s="42" t="s">
        <v>148</v>
      </c>
      <c r="F24" s="43" t="s">
        <v>149</v>
      </c>
      <c r="G24" s="43" t="s">
        <v>150</v>
      </c>
      <c r="H24" s="44" t="s">
        <v>151</v>
      </c>
      <c r="I24" s="45" t="s">
        <v>152</v>
      </c>
      <c r="J24" s="40">
        <v>1</v>
      </c>
      <c r="K24" s="42">
        <v>67</v>
      </c>
      <c r="L24" s="40">
        <f>IF(K24&gt;=91, 4.00, IF(K24&gt;=81, 3.50, IF(K24&gt;=70, 3.00, IF(K24&gt;=65, 2.50, IF(K24&gt;=60, 2.00, IF(K24&gt;=55, 1.50, IF(K24&gt;=50, 1.00, 0.00)))))))</f>
      </c>
      <c r="M24" s="40">
        <f>IF(K24&gt;=91,"A",IF(K24&gt;=81,"B+",IF(K24&gt;=70,"B",IF(K24&gt;=65,"C+",IF(K24&gt;=60,"C",IF(K24&gt;=55,"D+",IF(K24&gt;=50,"D","F")))))))</f>
      </c>
      <c r="N24" s="42">
        <v>90</v>
      </c>
      <c r="O24" s="40">
        <f>IF(N24&gt;=91, 4.00, IF(N24&gt;=81, 3.50, IF(N24&gt;=70, 3.00, IF(N24&gt;=65, 2.50, IF(N24&gt;=60, 2.00, IF(N24&gt;=55, 1.50, IF(N24&gt;=50, 1.00, 0.00)))))))</f>
      </c>
      <c r="P24" s="40">
        <f>IF(N24&gt;=91,"A",IF(N24&gt;=81,"B+",IF(N24&gt;=70,"B",IF(N24&gt;=65,"C+",IF(N24&gt;=60,"C",IF(N24&gt;=55,"D+",IF(N24&gt;=50,"D","F")))))))</f>
      </c>
      <c r="Q24" s="42">
        <v>90</v>
      </c>
      <c r="R24" s="40">
        <f>IF(Q24&gt;=91, 4.00, IF(Q24&gt;=81, 3.50, IF(Q24&gt;=70, 3.00, IF(Q24&gt;=65, 2.50, IF(Q24&gt;=60, 2.00, IF(Q24&gt;=55, 1.50, IF(Q24&gt;=50, 1.00, 0.00)))))))</f>
      </c>
      <c r="S24" s="40">
        <f>IF(Q24&gt;=91,"A",IF(Q24&gt;=81,"B+",IF(Q24&gt;=70,"B",IF(Q24&gt;=65,"C+",IF(Q24&gt;=60,"C",IF(Q24&gt;=55,"D+",IF(Q24&gt;=50,"D","F")))))))</f>
      </c>
      <c r="T24" s="42">
        <v>72</v>
      </c>
      <c r="U24" s="40">
        <f>IF(T24&gt;=91, 4.00, IF(T24&gt;=81, 3.50, IF(T24&gt;=70, 3.00, IF(T24&gt;=65, 2.50, IF(T24&gt;=60, 2.00, IF(T24&gt;=55, 1.50, IF(T24&gt;=50, 1.00, 0.00)))))))</f>
      </c>
      <c r="V24" s="40">
        <f>IF(T24&gt;=91,"A",IF(T24&gt;=81,"B+",IF(T24&gt;=70,"B",IF(T24&gt;=65,"C+",IF(T24&gt;=60,"C",IF(T24&gt;=55,"D+",IF(T24&gt;=50,"D","F")))))))</f>
      </c>
      <c r="W24" s="42">
        <v>57</v>
      </c>
      <c r="X24" s="40">
        <f>IF(W24&gt;=91, 4.00, IF(W24&gt;=81, 3.50, IF(W24&gt;=70, 3.00, IF(W24&gt;=65, 2.50, IF(W24&gt;=60, 2.00, IF(W24&gt;=55, 1.50, IF(W24&gt;=50, 1.00, 0.00)))))))</f>
      </c>
      <c r="Y24" s="40">
        <f>IF(W24&gt;=91,"A",IF(W24&gt;=81,"B+",IF(W24&gt;=70,"B",IF(W24&gt;=65,"C+",IF(W24&gt;=60,"C",IF(W24&gt;=55,"D+",IF(W24&gt;=50,"D","F")))))))</f>
      </c>
      <c r="Z24" s="46">
        <v>81.81</v>
      </c>
      <c r="AA24" s="40">
        <f>IF(Z24&gt;=91, 4.00, IF(Z24&gt;=81, 3.50, IF(Z24&gt;=70, 3.00, IF(Z24&gt;=65, 2.50, IF(Z24&gt;=60, 2.00, IF(Z24&gt;=55, 1.50, IF(Z24&gt;=50, 1.00, 0.00)))))))</f>
      </c>
      <c r="AB24" s="40">
        <f>IF(Z24&gt;=91,"A",IF(Z24&gt;=81,"B+",IF(Z24&gt;=70,"B",IF(Z24&gt;=65,"C+",IF(Z24&gt;=60,"C",IF(Z24&gt;=55,"D+",IF(Z24&gt;=50,"D","F")))))))</f>
      </c>
      <c r="AC24" s="46">
        <v>85.75</v>
      </c>
      <c r="AD24" s="40">
        <f>IF(AC24&gt;=91, 4.00, IF(AC24&gt;=81, 3.50, IF(AC24&gt;=70, 3.00, IF(AC24&gt;=65, 2.50, IF(AC24&gt;=60, 2.00, IF(AC24&gt;=55, 1.50, IF(AC24&gt;=50, 1.00, 0.00)))))))</f>
      </c>
      <c r="AE24" s="40">
        <f>IF(AC24&gt;=91,"A",IF(AC24&gt;=81,"B+",IF(AC24&gt;=70,"B",IF(AC24&gt;=65,"C+",IF(AC24&gt;=60,"C",IF(AC24&gt;=55,"D+",IF(AC24&gt;=50,"D","F")))))))</f>
      </c>
      <c r="AF24" s="40">
        <v>91</v>
      </c>
      <c r="AG24" s="40">
        <f>IF(AF24&gt;=91, 4.00, IF(AF24&gt;=81, 3.50, IF(AF24&gt;=70, 3.00, IF(AF24&gt;=65, 2.50, IF(AF24&gt;=60, 2.00, IF(AF24&gt;=55, 1.50, IF(AF24&gt;=50, 1.00, 0.00)))))))</f>
      </c>
      <c r="AH24" s="40">
        <f>IF(AF24&gt;=91,"A",IF(AF24&gt;=81,"B+",IF(AF24&gt;=70,"B",IF(AF24&gt;=65,"C+",IF(AF24&gt;=60,"C",IF(AF24&gt;=55,"D+",IF(AF24&gt;=50,"D","F")))))))</f>
      </c>
      <c r="AI24" s="40">
        <v>98</v>
      </c>
      <c r="AJ24" s="40">
        <f>IF(AI24&gt;=91, 4.00, IF(AI24&gt;=81, 3.50, IF(AI24&gt;=70, 3.00, IF(AI24&gt;=65, 2.50, IF(AI24&gt;=60, 2.00, IF(AI24&gt;=55, 1.50, IF(AI24&gt;=50, 1.00, 0.00)))))))</f>
      </c>
      <c r="AK24" s="40">
        <f>IF(AI24&gt;=91,"A",IF(AI24&gt;=81,"B+",IF(AI24&gt;=70,"B",IF(AI24&gt;=65,"C+",IF(AI24&gt;=60,"C",IF(AI24&gt;=55,"D+",IF(AI24&gt;=50,"D","F")))))))</f>
      </c>
      <c r="AL24" s="40">
        <f>ROUND((L24*3+O24*2+R24*1+U24*2+X24*1+AA24*2+AD24*2+AG24*2+AJ24*2)/17, 2)</f>
      </c>
      <c r="AM24" s="47">
        <v>81</v>
      </c>
      <c r="AN24" s="40">
        <f>IF(AM24&gt;=91, 4.00, IF(AM24&gt;=81, 3.50, IF(AM24&gt;=70, 3.00, IF(AM24&gt;=65, 2.50, IF(AM24&gt;=60, 2.00, IF(AM24&gt;=55, 1.50, IF(AM24&gt;=50, 1.00, 0.00)))))))</f>
      </c>
      <c r="AO24" s="65">
        <f>IF(AM24&gt;=91,"A",IF(AM24&gt;=81,"B+",IF(AM24&gt;=70,"B",IF(AM24&gt;=65,"C+",IF(AM24&gt;=60,"C",IF(AM24&gt;=55,"D+",IF(AM24&gt;=50,"D","F")))))))</f>
      </c>
      <c r="AP24" s="40" t="s">
        <v>51</v>
      </c>
      <c r="AQ24" s="42">
        <f>IF(AP24&gt;=91, 4.00, IF(AP24&gt;=81, 3.50, IF(AP24&gt;=70, 3.00, IF(AP24&gt;=65, 2.50, IF(AP24&gt;=60, 2.00, IF(AP24&gt;=55, 1.50, IF(AP24&gt;=50, 1.00, 0.00)))))))</f>
      </c>
      <c r="AR24" s="42">
        <f>IF(AP24&gt;=91,"A",IF(AP24&gt;=81,"B+",IF(AP24&gt;=70,"B",IF(AP24&gt;=65,"C+",IF(AP24&gt;=60,"C",IF(AP24&gt;=55,"D+",IF(AP24&gt;=50,"D","F")))))))</f>
      </c>
      <c r="AS24" s="43" t="s">
        <v>149</v>
      </c>
      <c r="AT24" s="43">
        <f>IF(AS24&gt;=91, 4.00, IF(AS24&gt;=81, 3.50, IF(AS24&gt;=70, 3.00, IF(AS24&gt;=65, 2.50, IF(AS24&gt;=60, 2.00, IF(AS24&gt;=55, 1.50, IF(AS24&gt;=50, 1.00, 0.00)))))))</f>
      </c>
      <c r="AU24" s="44">
        <f>IF(AS24&gt;=91,"A",IF(AS24&gt;=81,"B+",IF(AS24&gt;=70,"B",IF(AS24&gt;=65,"C+",IF(AS24&gt;=60,"C",IF(AS24&gt;=55,"D+",IF(AS24&gt;=50,"D","F")))))))</f>
      </c>
      <c r="AV24" s="45" t="s">
        <v>152</v>
      </c>
      <c r="AW24" s="48">
        <f>IF(AV24&gt;=91, 4.00, IF(AV24&gt;=81, 3.50, IF(AV24&gt;=70, 3.00, IF(AV24&gt;=65, 2.50, IF(AV24&gt;=60, 2.00, IF(AV24&gt;=55, 1.50, IF(AV24&gt;=50, 1.00, 0.00)))))))</f>
      </c>
      <c r="AX24" s="49">
        <f>IF(AV24&gt;=91,"A",IF(AV24&gt;=81,"B+",IF(AV24&gt;=70,"B",IF(AV24&gt;=65,"C+",IF(AV24&gt;=60,"C",IF(AV24&gt;=55,"D+",IF(AV24&gt;=50,"D","F")))))))</f>
      </c>
      <c r="AY24" s="40" t="str">
        <f>IF(AW24&gt;90,"A",IF(AW24&gt;80,"B+",IF(AW24&gt;69,"B",IF(AW24&gt;64,"C+",IF(AW24&gt;59,"C",IF(AW24&gt;54,"D+",IF(AW24&gt;49,"D",IF(AW24&gt;=0,"F"))))))))</f>
        <v>B</v>
      </c>
      <c r="AZ24" s="48">
        <f>IF(AY24&gt;=91, 4.00, IF(AY24&gt;=81, 3.50, IF(AY24&gt;=70, 3.00, IF(AY24&gt;=65, 2.50, IF(AY24&gt;=60, 2.00, IF(AY24&gt;=55, 1.50, IF(AY24&gt;=50, 1.00, 0.00)))))))</f>
      </c>
      <c r="BA24" s="49">
        <f>IF(AY24&gt;=91,"A",IF(AY24&gt;=81,"B+",IF(AY24&gt;=70,"B",IF(AY24&gt;=65,"C+",IF(AY24&gt;=60,"C",IF(AY24&gt;=55,"D+",IF(AY24&gt;=50,"D","F")))))))</f>
      </c>
      <c r="BB24" s="40" t="str">
        <f>IF(AZ24&gt;90,"A",IF(AZ24&gt;80,"B+",IF(AZ24&gt;69,"B",IF(AZ24&gt;64,"C+",IF(AZ24&gt;59,"C",IF(AZ24&gt;54,"D+",IF(AZ24&gt;49,"D",IF(AZ24&gt;=0,"F"))))))))</f>
        <v>B</v>
      </c>
      <c r="BC24" s="43">
        <f>IF(BB24&gt;=91, 4.00, IF(BB24&gt;=81, 3.50, IF(BB24&gt;=70, 3.00, IF(BB24&gt;=65, 2.50, IF(BB24&gt;=60, 2.00, IF(BB24&gt;=55, 1.50, IF(BB24&gt;=50, 1.00, 0.00)))))))</f>
      </c>
      <c r="BD24" s="49">
        <f>IF(BB24&gt;=91,"A",IF(BB24&gt;=81,"B+",IF(BB24&gt;=70,"B",IF(BB24&gt;=65,"C+",IF(BB24&gt;=60,"C",IF(BB24&gt;=55,"D+",IF(BB24&gt;=50,"D","F")))))))</f>
      </c>
      <c r="BE24" s="40" t="str">
        <f>IF(BC24&gt;90,"A",IF(BC24&gt;80,"B+",IF(BC24&gt;69,"B",IF(BC24&gt;64,"C+",IF(BC24&gt;59,"C",IF(BC24&gt;54,"D+",IF(BC24&gt;49,"D",IF(BC24&gt;=0,"F"))))))))</f>
        <v>B</v>
      </c>
      <c r="BF24" s="48">
        <f>IF(BE24&gt;=91, 4.00, IF(BE24&gt;=81, 3.50, IF(BE24&gt;=70, 3.00, IF(BE24&gt;=65, 2.50, IF(BE24&gt;=60, 2.00, IF(BE24&gt;=55, 1.50, IF(BE24&gt;=50, 1.00, 0.00)))))))</f>
      </c>
      <c r="BG24" s="49">
        <f>IF(BE24&gt;=91,"A",IF(BE24&gt;=81,"B+",IF(BE24&gt;=70,"B",IF(BE24&gt;=65,"C+",IF(BE24&gt;=60,"C",IF(BE24&gt;=55,"D+",IF(BE24&gt;=50,"D","F")))))))</f>
      </c>
      <c r="BH24" s="40" t="str">
        <f>IF(BF24&gt;90,"A",IF(BF24&gt;80,"B+",IF(BF24&gt;69,"B",IF(BF24&gt;64,"C+",IF(BF24&gt;59,"C",IF(BF24&gt;54,"D+",IF(BF24&gt;49,"D",IF(BF24&gt;=0,"F"))))))))</f>
        <v>B</v>
      </c>
      <c r="BI24" s="43">
        <f>IF(BH24&gt;=91, 4.00, IF(BH24&gt;=81, 3.50, IF(BH24&gt;=70, 3.00, IF(BH24&gt;=65, 2.50, IF(BH24&gt;=60, 2.00, IF(BH24&gt;=55, 1.50, IF(BH24&gt;=50, 1.00, 0.00)))))))</f>
      </c>
      <c r="BJ24" s="49">
        <f>IF(BH24&gt;=91,"A",IF(BH24&gt;=81,"B+",IF(BH24&gt;=70,"B",IF(BH24&gt;=65,"C+",IF(BH24&gt;=60,"C",IF(BH24&gt;=55,"D+",IF(BH24&gt;=50,"D","F")))))))</f>
      </c>
      <c r="BK24" s="40" t="str">
        <f>IF(BI24&gt;90,"A",IF(BI24&gt;80,"B+",IF(BI24&gt;69,"B",IF(BI24&gt;64,"C+",IF(BI24&gt;59,"C",IF(BI24&gt;54,"D+",IF(BI24&gt;49,"D",IF(BI24&gt;=0,"F"))))))))</f>
        <v>A</v>
      </c>
      <c r="BL24" s="43">
        <f>IF(BK24&gt;=91, 4.00, IF(BK24&gt;=81, 3.50, IF(BK24&gt;=70, 3.00, IF(BK24&gt;=65, 2.50, IF(BK24&gt;=60, 2.00, IF(BK24&gt;=55, 1.50, IF(BK24&gt;=50, 1.00, 0.00)))))))</f>
      </c>
      <c r="BM24" s="49">
        <f>IF(BK24&gt;=91,"A",IF(BK24&gt;=81,"B+",IF(BK24&gt;=70,"B",IF(BK24&gt;=65,"C+",IF(BK24&gt;=60,"C",IF(BK24&gt;=55,"D+",IF(BK24&gt;=50,"D","F")))))))</f>
      </c>
      <c r="BN24" s="40" t="str">
        <f>IF(BL24&gt;90,"A",IF(BL24&gt;80,"B+",IF(BL24&gt;69,"B",IF(BL24&gt;64,"C+",IF(BL24&gt;59,"C",IF(BL24&gt;54,"D+",IF(BL24&gt;49,"D",IF(BL24&gt;=0,"F"))))))))</f>
        <v>B+</v>
      </c>
      <c r="BO24" s="49">
        <f>IF(BN24&gt;=91, 4.00, IF(BN24&gt;=81, 3.50, IF(BN24&gt;=70, 3.00, IF(BN24&gt;=65, 2.50, IF(BN24&gt;=60, 2.00, IF(BN24&gt;=55, 1.50, IF(BN24&gt;=50, 1.00, 0.00)))))))</f>
      </c>
      <c r="BP24" s="49">
        <f>IF(BN24&gt;=91,"A",IF(BN24&gt;=81,"B+",IF(BN24&gt;=70,"B",IF(BN24&gt;=65,"C+",IF(BN24&gt;=60,"C",IF(BN24&gt;=55,"D+",IF(BN24&gt;=50,"D","F")))))))</f>
      </c>
      <c r="BQ24" s="40">
        <f>ROUND((AN24*3+AQ24*2+AT24*1+AW24*2+AZ24*1+BC24*1+BF24*2+BI24*2+BL24*2+BO24*3)/19, 2)</f>
      </c>
      <c r="BR24" s="49">
        <v>73</v>
      </c>
      <c r="BS24" s="49" t="str">
        <f>IF(BR24&gt;90,"4.00",IF(BR24&gt;80,"3.50",IF(BR24&gt;69,"3.00",IF(BR24&gt;64,"2.50",IF(BR24&gt;59,"2.00",IF(BR24&gt;54,"1.50",IF(BR24&gt;49,"1.00","0.00")))))))</f>
        <v>3.00</v>
      </c>
      <c r="BT24" s="40" t="str">
        <f>IF(BR24&gt;90,"A",IF(BR24&gt;80,"B+",IF(BR24&gt;69,"B",IF(BR24&gt;64,"C+",IF(BR24&gt;59,"C",IF(BR24&gt;54,"D+",IF(BR24&gt;49,"D",IF(BR24&gt;=0,"F"))))))))</f>
        <v>B</v>
      </c>
      <c r="BU24" s="49">
        <v>71</v>
      </c>
      <c r="BV24" s="49" t="str">
        <f>IF(BU24&gt;90,"4.00",IF(BU24&gt;80,"3.50",IF(BU24&gt;69,"3.00",IF(BU24&gt;64,"2.50",IF(BU24&gt;59,"2.00",IF(BU24&gt;54,"1.50",IF(BU24&gt;49,"1.00","0.00")))))))</f>
        <v>3.00</v>
      </c>
      <c r="BW24" s="40" t="str">
        <f>IF(BU24&gt;90,"A",IF(BU24&gt;80,"B+",IF(BU24&gt;69,"B",IF(BU24&gt;64,"C+",IF(BU24&gt;59,"C",IF(BU24&gt;54,"D+",IF(BU24&gt;49,"D",IF(BU24&gt;=0,"F"))))))))</f>
        <v>B</v>
      </c>
      <c r="BX24" s="50">
        <f>(AX24*3+BA24*2+BD24*1+BG24*2+BJ24*1+BM24*1+BP24*2+BS24*2+BV24*2)/(3+2+1+2+1+1+2+2+2)</f>
        <v>3.09375</v>
      </c>
      <c r="BY24" s="50">
        <f>(AL24+BX24)/2</f>
        <v>3.0762867647058822</v>
      </c>
      <c r="BZ24" s="51">
        <f>RANK(BY24,$BY$7:BY56)</f>
        <v>11</v>
      </c>
      <c r="CA24" s="66"/>
      <c r="CB24" s="52"/>
      <c r="CC24" s="52"/>
      <c r="CD24" s="52"/>
      <c r="CE24" s="53"/>
      <c r="CF24" s="53"/>
      <c r="CG24" s="53"/>
      <c r="CH24" s="53"/>
      <c r="CI24" s="53"/>
      <c r="CJ24" s="53"/>
      <c r="CK24" s="53"/>
      <c r="CL24" s="53"/>
      <c r="CM24" s="53"/>
      <c r="CN24" s="53"/>
      <c r="CO24" s="53"/>
      <c r="CP24" s="53"/>
      <c r="CQ24" s="53"/>
      <c r="CR24" s="53"/>
      <c r="CS24" s="53"/>
      <c r="CT24" s="53"/>
      <c r="CU24" s="53"/>
      <c r="CV24" s="53"/>
      <c r="CW24" s="53"/>
      <c r="CX24" s="53"/>
      <c r="CY24" s="53"/>
      <c r="CZ24" s="53"/>
      <c r="DA24" s="53"/>
      <c r="DB24" s="53"/>
      <c r="DC24" s="53"/>
      <c r="DD24" s="53"/>
      <c r="DE24" s="53"/>
      <c r="DF24" s="53"/>
      <c r="DG24" s="53"/>
      <c r="DH24" s="53"/>
      <c r="DI24" s="53"/>
      <c r="DJ24" s="53"/>
      <c r="DK24" s="53"/>
      <c r="DL24" s="53"/>
      <c r="DM24" s="53"/>
      <c r="DN24" s="53"/>
      <c r="DO24" s="53"/>
      <c r="DP24" s="53"/>
      <c r="DQ24" s="53"/>
      <c r="DR24" s="53"/>
      <c r="DS24" s="53"/>
      <c r="DT24" s="53"/>
      <c r="DU24" s="53"/>
      <c r="DV24" s="53"/>
      <c r="DW24" s="53"/>
      <c r="DX24" s="53"/>
      <c r="DY24" s="53"/>
      <c r="DZ24" s="53"/>
      <c r="EA24" s="53"/>
      <c r="EB24" s="53"/>
      <c r="EC24" s="53"/>
      <c r="ED24" s="53"/>
      <c r="EE24" s="53"/>
      <c r="EF24" s="53"/>
      <c r="EG24" s="53"/>
      <c r="EH24" s="53"/>
      <c r="EI24" s="53"/>
      <c r="EJ24" s="53"/>
      <c r="EK24" s="53"/>
      <c r="EL24" s="53"/>
      <c r="EM24" s="53"/>
      <c r="EN24" s="53"/>
      <c r="EO24" s="53"/>
      <c r="EP24" s="53"/>
      <c r="EQ24" s="53"/>
      <c r="ER24" s="53"/>
      <c r="ES24" s="53"/>
      <c r="ET24" s="53"/>
      <c r="EU24" s="53"/>
      <c r="EV24" s="53"/>
      <c r="EW24" s="53"/>
      <c r="EX24" s="53"/>
      <c r="EY24" s="53"/>
      <c r="EZ24" s="53"/>
      <c r="FA24" s="53"/>
      <c r="FB24" s="53"/>
      <c r="FC24" s="53"/>
      <c r="FD24" s="53"/>
      <c r="FE24" s="53"/>
      <c r="FF24" s="53"/>
      <c r="FG24" s="53"/>
      <c r="FH24" s="53"/>
      <c r="FI24" s="53"/>
      <c r="FJ24" s="53"/>
      <c r="FK24" s="53"/>
      <c r="FL24" s="53"/>
      <c r="FM24" s="53"/>
      <c r="FN24" s="53"/>
      <c r="FO24" s="53"/>
      <c r="FP24" s="53"/>
      <c r="FQ24" s="53"/>
      <c r="FR24" s="53"/>
      <c r="FS24" s="53"/>
      <c r="FT24" s="53"/>
      <c r="FU24" s="53"/>
      <c r="FV24" s="53"/>
      <c r="FW24" s="53"/>
      <c r="FX24" s="53"/>
      <c r="FY24" s="53"/>
      <c r="FZ24" s="53"/>
      <c r="GA24" s="53"/>
      <c r="GB24" s="53"/>
      <c r="GC24" s="53"/>
      <c r="GD24" s="53"/>
      <c r="GE24" s="53"/>
      <c r="GF24" s="53"/>
      <c r="GG24" s="53"/>
      <c r="GH24" s="53"/>
      <c r="GI24" s="53"/>
      <c r="GJ24" s="53"/>
      <c r="GK24" s="53"/>
    </row>
    <row r="25" ht="20" customHeight="1" spans="1:82" s="53" customFormat="1" x14ac:dyDescent="0.25">
      <c r="A25" s="40">
        <v>19</v>
      </c>
      <c r="B25" s="65" t="s">
        <v>153</v>
      </c>
      <c r="C25" s="40" t="s">
        <v>51</v>
      </c>
      <c r="D25" s="42" t="s">
        <v>154</v>
      </c>
      <c r="E25" s="42" t="s">
        <v>155</v>
      </c>
      <c r="F25" s="43" t="s">
        <v>156</v>
      </c>
      <c r="G25" s="43" t="s">
        <v>157</v>
      </c>
      <c r="H25" s="44" t="s">
        <v>158</v>
      </c>
      <c r="I25" s="45" t="s">
        <v>49</v>
      </c>
      <c r="J25" s="40">
        <v>1</v>
      </c>
      <c r="K25" s="42">
        <v>81</v>
      </c>
      <c r="L25" s="40">
        <f>IF(K25&gt;=91, 4.00, IF(K25&gt;=81, 3.50, IF(K25&gt;=70, 3.00, IF(K25&gt;=65, 2.50, IF(K25&gt;=60, 2.00, IF(K25&gt;=55, 1.50, IF(K25&gt;=50, 1.00, 0.00)))))))</f>
      </c>
      <c r="M25" s="40">
        <f>IF(K25&gt;=91,"A",IF(K25&gt;=81,"B+",IF(K25&gt;=70,"B",IF(K25&gt;=65,"C+",IF(K25&gt;=60,"C",IF(K25&gt;=55,"D+",IF(K25&gt;=50,"D","F")))))))</f>
      </c>
      <c r="N25" s="42">
        <v>97</v>
      </c>
      <c r="O25" s="40">
        <f>IF(N25&gt;=91, 4.00, IF(N25&gt;=81, 3.50, IF(N25&gt;=70, 3.00, IF(N25&gt;=65, 2.50, IF(N25&gt;=60, 2.00, IF(N25&gt;=55, 1.50, IF(N25&gt;=50, 1.00, 0.00)))))))</f>
      </c>
      <c r="P25" s="40">
        <f>IF(N25&gt;=91,"A",IF(N25&gt;=81,"B+",IF(N25&gt;=70,"B",IF(N25&gt;=65,"C+",IF(N25&gt;=60,"C",IF(N25&gt;=55,"D+",IF(N25&gt;=50,"D","F")))))))</f>
      </c>
      <c r="Q25" s="42">
        <v>96</v>
      </c>
      <c r="R25" s="40">
        <f>IF(Q25&gt;=91, 4.00, IF(Q25&gt;=81, 3.50, IF(Q25&gt;=70, 3.00, IF(Q25&gt;=65, 2.50, IF(Q25&gt;=60, 2.00, IF(Q25&gt;=55, 1.50, IF(Q25&gt;=50, 1.00, 0.00)))))))</f>
      </c>
      <c r="S25" s="40">
        <f>IF(Q25&gt;=91,"A",IF(Q25&gt;=81,"B+",IF(Q25&gt;=70,"B",IF(Q25&gt;=65,"C+",IF(Q25&gt;=60,"C",IF(Q25&gt;=55,"D+",IF(Q25&gt;=50,"D","F")))))))</f>
      </c>
      <c r="T25" s="42">
        <v>71</v>
      </c>
      <c r="U25" s="40">
        <f>IF(T25&gt;=91, 4.00, IF(T25&gt;=81, 3.50, IF(T25&gt;=70, 3.00, IF(T25&gt;=65, 2.50, IF(T25&gt;=60, 2.00, IF(T25&gt;=55, 1.50, IF(T25&gt;=50, 1.00, 0.00)))))))</f>
      </c>
      <c r="V25" s="40">
        <f>IF(T25&gt;=91,"A",IF(T25&gt;=81,"B+",IF(T25&gt;=70,"B",IF(T25&gt;=65,"C+",IF(T25&gt;=60,"C",IF(T25&gt;=55,"D+",IF(T25&gt;=50,"D","F")))))))</f>
      </c>
      <c r="W25" s="42">
        <v>71</v>
      </c>
      <c r="X25" s="40">
        <f>IF(W25&gt;=91, 4.00, IF(W25&gt;=81, 3.50, IF(W25&gt;=70, 3.00, IF(W25&gt;=65, 2.50, IF(W25&gt;=60, 2.00, IF(W25&gt;=55, 1.50, IF(W25&gt;=50, 1.00, 0.00)))))))</f>
      </c>
      <c r="Y25" s="40">
        <f>IF(W25&gt;=91,"A",IF(W25&gt;=81,"B+",IF(W25&gt;=70,"B",IF(W25&gt;=65,"C+",IF(W25&gt;=60,"C",IF(W25&gt;=55,"D+",IF(W25&gt;=50,"D","F")))))))</f>
      </c>
      <c r="Z25" s="46">
        <v>86.64</v>
      </c>
      <c r="AA25" s="40">
        <f>IF(Z25&gt;=91, 4.00, IF(Z25&gt;=81, 3.50, IF(Z25&gt;=70, 3.00, IF(Z25&gt;=65, 2.50, IF(Z25&gt;=60, 2.00, IF(Z25&gt;=55, 1.50, IF(Z25&gt;=50, 1.00, 0.00)))))))</f>
      </c>
      <c r="AB25" s="40">
        <f>IF(Z25&gt;=91,"A",IF(Z25&gt;=81,"B+",IF(Z25&gt;=70,"B",IF(Z25&gt;=65,"C+",IF(Z25&gt;=60,"C",IF(Z25&gt;=55,"D+",IF(Z25&gt;=50,"D","F")))))))</f>
      </c>
      <c r="AC25" s="46">
        <v>80</v>
      </c>
      <c r="AD25" s="40">
        <f>IF(AC25&gt;=91, 4.00, IF(AC25&gt;=81, 3.50, IF(AC25&gt;=70, 3.00, IF(AC25&gt;=65, 2.50, IF(AC25&gt;=60, 2.00, IF(AC25&gt;=55, 1.50, IF(AC25&gt;=50, 1.00, 0.00)))))))</f>
      </c>
      <c r="AE25" s="40">
        <f>IF(AC25&gt;=91,"A",IF(AC25&gt;=81,"B+",IF(AC25&gt;=70,"B",IF(AC25&gt;=65,"C+",IF(AC25&gt;=60,"C",IF(AC25&gt;=55,"D+",IF(AC25&gt;=50,"D","F")))))))</f>
      </c>
      <c r="AF25" s="40">
        <v>85</v>
      </c>
      <c r="AG25" s="40">
        <f>IF(AF25&gt;=91, 4.00, IF(AF25&gt;=81, 3.50, IF(AF25&gt;=70, 3.00, IF(AF25&gt;=65, 2.50, IF(AF25&gt;=60, 2.00, IF(AF25&gt;=55, 1.50, IF(AF25&gt;=50, 1.00, 0.00)))))))</f>
      </c>
      <c r="AH25" s="40">
        <f>IF(AF25&gt;=91,"A",IF(AF25&gt;=81,"B+",IF(AF25&gt;=70,"B",IF(AF25&gt;=65,"C+",IF(AF25&gt;=60,"C",IF(AF25&gt;=55,"D+",IF(AF25&gt;=50,"D","F")))))))</f>
      </c>
      <c r="AI25" s="40">
        <v>99</v>
      </c>
      <c r="AJ25" s="40">
        <f>IF(AI25&gt;=91, 4.00, IF(AI25&gt;=81, 3.50, IF(AI25&gt;=70, 3.00, IF(AI25&gt;=65, 2.50, IF(AI25&gt;=60, 2.00, IF(AI25&gt;=55, 1.50, IF(AI25&gt;=50, 1.00, 0.00)))))))</f>
      </c>
      <c r="AK25" s="40">
        <f>IF(AI25&gt;=91,"A",IF(AI25&gt;=81,"B+",IF(AI25&gt;=70,"B",IF(AI25&gt;=65,"C+",IF(AI25&gt;=60,"C",IF(AI25&gt;=55,"D+",IF(AI25&gt;=50,"D","F")))))))</f>
      </c>
      <c r="AL25" s="40">
        <f>ROUND((L25*3+O25*2+R25*1+U25*2+X25*1+AA25*2+AD25*2+AG25*2+AJ25*2)/17, 2)</f>
      </c>
      <c r="AM25" s="52">
        <v>84</v>
      </c>
      <c r="AN25" s="40">
        <f>IF(AM25&gt;=91, 4.00, IF(AM25&gt;=81, 3.50, IF(AM25&gt;=70, 3.00, IF(AM25&gt;=65, 2.50, IF(AM25&gt;=60, 2.00, IF(AM25&gt;=55, 1.50, IF(AM25&gt;=50, 1.00, 0.00)))))))</f>
      </c>
      <c r="AO25" s="65">
        <f>IF(AM25&gt;=91,"A",IF(AM25&gt;=81,"B+",IF(AM25&gt;=70,"B",IF(AM25&gt;=65,"C+",IF(AM25&gt;=60,"C",IF(AM25&gt;=55,"D+",IF(AM25&gt;=50,"D","F")))))))</f>
      </c>
      <c r="AP25" s="40" t="s">
        <v>51</v>
      </c>
      <c r="AQ25" s="42">
        <f>IF(AP25&gt;=91, 4.00, IF(AP25&gt;=81, 3.50, IF(AP25&gt;=70, 3.00, IF(AP25&gt;=65, 2.50, IF(AP25&gt;=60, 2.00, IF(AP25&gt;=55, 1.50, IF(AP25&gt;=50, 1.00, 0.00)))))))</f>
      </c>
      <c r="AR25" s="42">
        <f>IF(AP25&gt;=91,"A",IF(AP25&gt;=81,"B+",IF(AP25&gt;=70,"B",IF(AP25&gt;=65,"C+",IF(AP25&gt;=60,"C",IF(AP25&gt;=55,"D+",IF(AP25&gt;=50,"D","F")))))))</f>
      </c>
      <c r="AS25" s="43" t="s">
        <v>156</v>
      </c>
      <c r="AT25" s="43">
        <f>IF(AS25&gt;=91, 4.00, IF(AS25&gt;=81, 3.50, IF(AS25&gt;=70, 3.00, IF(AS25&gt;=65, 2.50, IF(AS25&gt;=60, 2.00, IF(AS25&gt;=55, 1.50, IF(AS25&gt;=50, 1.00, 0.00)))))))</f>
      </c>
      <c r="AU25" s="44">
        <f>IF(AS25&gt;=91,"A",IF(AS25&gt;=81,"B+",IF(AS25&gt;=70,"B",IF(AS25&gt;=65,"C+",IF(AS25&gt;=60,"C",IF(AS25&gt;=55,"D+",IF(AS25&gt;=50,"D","F")))))))</f>
      </c>
      <c r="AV25" s="45" t="s">
        <v>49</v>
      </c>
      <c r="AW25" s="48">
        <f>IF(AV25&gt;=91, 4.00, IF(AV25&gt;=81, 3.50, IF(AV25&gt;=70, 3.00, IF(AV25&gt;=65, 2.50, IF(AV25&gt;=60, 2.00, IF(AV25&gt;=55, 1.50, IF(AV25&gt;=50, 1.00, 0.00)))))))</f>
      </c>
      <c r="AX25" s="49">
        <f>IF(AV25&gt;=91,"A",IF(AV25&gt;=81,"B+",IF(AV25&gt;=70,"B",IF(AV25&gt;=65,"C+",IF(AV25&gt;=60,"C",IF(AV25&gt;=55,"D+",IF(AV25&gt;=50,"D","F")))))))</f>
      </c>
      <c r="AY25" s="40" t="str">
        <f>IF(AW25&gt;90,"A",IF(AW25&gt;80,"B+",IF(AW25&gt;69,"B",IF(AW25&gt;64,"C+",IF(AW25&gt;59,"C",IF(AW25&gt;54,"D+",IF(AW25&gt;49,"D",IF(AW25&gt;=0,"F"))))))))</f>
        <v>B+</v>
      </c>
      <c r="AZ25" s="48">
        <f>IF(AY25&gt;=91, 4.00, IF(AY25&gt;=81, 3.50, IF(AY25&gt;=70, 3.00, IF(AY25&gt;=65, 2.50, IF(AY25&gt;=60, 2.00, IF(AY25&gt;=55, 1.50, IF(AY25&gt;=50, 1.00, 0.00)))))))</f>
      </c>
      <c r="BA25" s="49">
        <f>IF(AY25&gt;=91,"A",IF(AY25&gt;=81,"B+",IF(AY25&gt;=70,"B",IF(AY25&gt;=65,"C+",IF(AY25&gt;=60,"C",IF(AY25&gt;=55,"D+",IF(AY25&gt;=50,"D","F")))))))</f>
      </c>
      <c r="BB25" s="40" t="str">
        <f>IF(AZ25&gt;90,"A",IF(AZ25&gt;80,"B+",IF(AZ25&gt;69,"B",IF(AZ25&gt;64,"C+",IF(AZ25&gt;59,"C",IF(AZ25&gt;54,"D+",IF(AZ25&gt;49,"D",IF(AZ25&gt;=0,"F"))))))))</f>
        <v>A</v>
      </c>
      <c r="BC25" s="43">
        <f>IF(BB25&gt;=91, 4.00, IF(BB25&gt;=81, 3.50, IF(BB25&gt;=70, 3.00, IF(BB25&gt;=65, 2.50, IF(BB25&gt;=60, 2.00, IF(BB25&gt;=55, 1.50, IF(BB25&gt;=50, 1.00, 0.00)))))))</f>
      </c>
      <c r="BD25" s="49">
        <f>IF(BB25&gt;=91,"A",IF(BB25&gt;=81,"B+",IF(BB25&gt;=70,"B",IF(BB25&gt;=65,"C+",IF(BB25&gt;=60,"C",IF(BB25&gt;=55,"D+",IF(BB25&gt;=50,"D","F")))))))</f>
      </c>
      <c r="BE25" s="40" t="str">
        <f>IF(BC25&gt;90,"A",IF(BC25&gt;80,"B+",IF(BC25&gt;69,"B",IF(BC25&gt;64,"C+",IF(BC25&gt;59,"C",IF(BC25&gt;54,"D+",IF(BC25&gt;49,"D",IF(BC25&gt;=0,"F"))))))))</f>
        <v>B+</v>
      </c>
      <c r="BF25" s="48">
        <f>IF(BE25&gt;=91, 4.00, IF(BE25&gt;=81, 3.50, IF(BE25&gt;=70, 3.00, IF(BE25&gt;=65, 2.50, IF(BE25&gt;=60, 2.00, IF(BE25&gt;=55, 1.50, IF(BE25&gt;=50, 1.00, 0.00)))))))</f>
      </c>
      <c r="BG25" s="49">
        <f>IF(BE25&gt;=91,"A",IF(BE25&gt;=81,"B+",IF(BE25&gt;=70,"B",IF(BE25&gt;=65,"C+",IF(BE25&gt;=60,"C",IF(BE25&gt;=55,"D+",IF(BE25&gt;=50,"D","F")))))))</f>
      </c>
      <c r="BH25" s="40" t="str">
        <f>IF(BF25&gt;90,"A",IF(BF25&gt;80,"B+",IF(BF25&gt;69,"B",IF(BF25&gt;64,"C+",IF(BF25&gt;59,"C",IF(BF25&gt;54,"D+",IF(BF25&gt;49,"D",IF(BF25&gt;=0,"F"))))))))</f>
        <v>B+</v>
      </c>
      <c r="BI25" s="43">
        <f>IF(BH25&gt;=91, 4.00, IF(BH25&gt;=81, 3.50, IF(BH25&gt;=70, 3.00, IF(BH25&gt;=65, 2.50, IF(BH25&gt;=60, 2.00, IF(BH25&gt;=55, 1.50, IF(BH25&gt;=50, 1.00, 0.00)))))))</f>
      </c>
      <c r="BJ25" s="49">
        <f>IF(BH25&gt;=91,"A",IF(BH25&gt;=81,"B+",IF(BH25&gt;=70,"B",IF(BH25&gt;=65,"C+",IF(BH25&gt;=60,"C",IF(BH25&gt;=55,"D+",IF(BH25&gt;=50,"D","F")))))))</f>
      </c>
      <c r="BK25" s="40" t="str">
        <f>IF(BI25&gt;90,"A",IF(BI25&gt;80,"B+",IF(BI25&gt;69,"B",IF(BI25&gt;64,"C+",IF(BI25&gt;59,"C",IF(BI25&gt;54,"D+",IF(BI25&gt;49,"D",IF(BI25&gt;=0,"F"))))))))</f>
        <v>A</v>
      </c>
      <c r="BL25" s="43">
        <f>IF(BK25&gt;=91, 4.00, IF(BK25&gt;=81, 3.50, IF(BK25&gt;=70, 3.00, IF(BK25&gt;=65, 2.50, IF(BK25&gt;=60, 2.00, IF(BK25&gt;=55, 1.50, IF(BK25&gt;=50, 1.00, 0.00)))))))</f>
      </c>
      <c r="BM25" s="49">
        <f>IF(BK25&gt;=91,"A",IF(BK25&gt;=81,"B+",IF(BK25&gt;=70,"B",IF(BK25&gt;=65,"C+",IF(BK25&gt;=60,"C",IF(BK25&gt;=55,"D+",IF(BK25&gt;=50,"D","F")))))))</f>
      </c>
      <c r="BN25" s="40" t="str">
        <f>IF(BL25&gt;90,"A",IF(BL25&gt;80,"B+",IF(BL25&gt;69,"B",IF(BL25&gt;64,"C+",IF(BL25&gt;59,"C",IF(BL25&gt;54,"D+",IF(BL25&gt;49,"D",IF(BL25&gt;=0,"F"))))))))</f>
        <v>B+</v>
      </c>
      <c r="BO25" s="49">
        <f>IF(BN25&gt;=91, 4.00, IF(BN25&gt;=81, 3.50, IF(BN25&gt;=70, 3.00, IF(BN25&gt;=65, 2.50, IF(BN25&gt;=60, 2.00, IF(BN25&gt;=55, 1.50, IF(BN25&gt;=50, 1.00, 0.00)))))))</f>
      </c>
      <c r="BP25" s="49">
        <f>IF(BN25&gt;=91,"A",IF(BN25&gt;=81,"B+",IF(BN25&gt;=70,"B",IF(BN25&gt;=65,"C+",IF(BN25&gt;=60,"C",IF(BN25&gt;=55,"D+",IF(BN25&gt;=50,"D","F")))))))</f>
      </c>
      <c r="BQ25" s="40">
        <f>ROUND((AN25*3+AQ25*2+AT25*1+AW25*2+AZ25*1+BC25*1+BF25*2+BI25*2+BL25*2+BO25*3)/19, 2)</f>
      </c>
      <c r="BR25" s="49">
        <v>89</v>
      </c>
      <c r="BS25" s="49" t="str">
        <f>IF(BR25&gt;90,"4.00",IF(BR25&gt;80,"3.50",IF(BR25&gt;69,"3.00",IF(BR25&gt;64,"2.50",IF(BR25&gt;59,"2.00",IF(BR25&gt;54,"1.50",IF(BR25&gt;49,"1.00","0.00")))))))</f>
        <v>3.50</v>
      </c>
      <c r="BT25" s="40" t="str">
        <f>IF(BR25&gt;90,"A",IF(BR25&gt;80,"B+",IF(BR25&gt;69,"B",IF(BR25&gt;64,"C+",IF(BR25&gt;59,"C",IF(BR25&gt;54,"D+",IF(BR25&gt;49,"D",IF(BR25&gt;=0,"F"))))))))</f>
        <v>B+</v>
      </c>
      <c r="BU25" s="49">
        <v>74</v>
      </c>
      <c r="BV25" s="49" t="str">
        <f>IF(BU25&gt;90,"4.00",IF(BU25&gt;80,"3.50",IF(BU25&gt;69,"3.00",IF(BU25&gt;64,"2.50",IF(BU25&gt;59,"2.00",IF(BU25&gt;54,"1.50",IF(BU25&gt;49,"1.00","0.00")))))))</f>
        <v>3.00</v>
      </c>
      <c r="BW25" s="40" t="str">
        <f>IF(BU25&gt;90,"A",IF(BU25&gt;80,"B+",IF(BU25&gt;69,"B",IF(BU25&gt;64,"C+",IF(BU25&gt;59,"C",IF(BU25&gt;54,"D+",IF(BU25&gt;49,"D",IF(BU25&gt;=0,"F"))))))))</f>
        <v>B</v>
      </c>
      <c r="BX25" s="50">
        <f>(AX25*3+BA25*2+BD25*1+BG25*2+BJ25*1+BM25*1+BP25*2+BS25*2+BV25*2)/(3+2+1+2+1+1+2+2+2)</f>
        <v>3.46875</v>
      </c>
      <c r="BY25" s="50">
        <f>(AL25+BX25)/2</f>
        <v>3.3814338235294117</v>
      </c>
      <c r="BZ25" s="51">
        <f>RANK(BY25,$BY$7:BY57)</f>
        <v>5</v>
      </c>
      <c r="CA25" s="67"/>
      <c r="CB25" s="52"/>
      <c r="CC25" s="52"/>
      <c r="CD25" s="52"/>
    </row>
    <row r="26" ht="20" customHeight="1" spans="1:82" s="53" customFormat="1" x14ac:dyDescent="0.25">
      <c r="A26" s="68">
        <v>20</v>
      </c>
      <c r="B26" s="69" t="s">
        <v>159</v>
      </c>
      <c r="C26" s="70" t="s">
        <v>43</v>
      </c>
      <c r="D26" s="71" t="s">
        <v>160</v>
      </c>
      <c r="E26" s="71" t="s">
        <v>161</v>
      </c>
      <c r="F26" s="72" t="s">
        <v>162</v>
      </c>
      <c r="G26" s="72" t="s">
        <v>163</v>
      </c>
      <c r="H26" s="44" t="s">
        <v>164</v>
      </c>
      <c r="I26" s="45" t="s">
        <v>49</v>
      </c>
      <c r="J26" s="40">
        <v>1</v>
      </c>
      <c r="K26" s="42">
        <v>82</v>
      </c>
      <c r="L26" s="40">
        <f>IF(K26&gt;=91, 4.00, IF(K26&gt;=81, 3.50, IF(K26&gt;=70, 3.00, IF(K26&gt;=65, 2.50, IF(K26&gt;=60, 2.00, IF(K26&gt;=55, 1.50, IF(K26&gt;=50, 1.00, 0.00)))))))</f>
      </c>
      <c r="M26" s="40">
        <f>IF(K26&gt;=91,"A",IF(K26&gt;=81,"B+",IF(K26&gt;=70,"B",IF(K26&gt;=65,"C+",IF(K26&gt;=60,"C",IF(K26&gt;=55,"D+",IF(K26&gt;=50,"D","F")))))))</f>
      </c>
      <c r="N26" s="40">
        <v>97</v>
      </c>
      <c r="O26" s="40">
        <f>IF(N26&gt;=91, 4.00, IF(N26&gt;=81, 3.50, IF(N26&gt;=70, 3.00, IF(N26&gt;=65, 2.50, IF(N26&gt;=60, 2.00, IF(N26&gt;=55, 1.50, IF(N26&gt;=50, 1.00, 0.00)))))))</f>
      </c>
      <c r="P26" s="40">
        <f>IF(N26&gt;=91,"A",IF(N26&gt;=81,"B+",IF(N26&gt;=70,"B",IF(N26&gt;=65,"C+",IF(N26&gt;=60,"C",IF(N26&gt;=55,"D+",IF(N26&gt;=50,"D","F")))))))</f>
      </c>
      <c r="Q26" s="42">
        <v>90</v>
      </c>
      <c r="R26" s="40">
        <f>IF(Q26&gt;=91, 4.00, IF(Q26&gt;=81, 3.50, IF(Q26&gt;=70, 3.00, IF(Q26&gt;=65, 2.50, IF(Q26&gt;=60, 2.00, IF(Q26&gt;=55, 1.50, IF(Q26&gt;=50, 1.00, 0.00)))))))</f>
      </c>
      <c r="S26" s="40">
        <f>IF(Q26&gt;=91,"A",IF(Q26&gt;=81,"B+",IF(Q26&gt;=70,"B",IF(Q26&gt;=65,"C+",IF(Q26&gt;=60,"C",IF(Q26&gt;=55,"D+",IF(Q26&gt;=50,"D","F")))))))</f>
      </c>
      <c r="T26" s="42">
        <v>75</v>
      </c>
      <c r="U26" s="40">
        <f>IF(T26&gt;=91, 4.00, IF(T26&gt;=81, 3.50, IF(T26&gt;=70, 3.00, IF(T26&gt;=65, 2.50, IF(T26&gt;=60, 2.00, IF(T26&gt;=55, 1.50, IF(T26&gt;=50, 1.00, 0.00)))))))</f>
      </c>
      <c r="V26" s="40">
        <f>IF(T26&gt;=91,"A",IF(T26&gt;=81,"B+",IF(T26&gt;=70,"B",IF(T26&gt;=65,"C+",IF(T26&gt;=60,"C",IF(T26&gt;=55,"D+",IF(T26&gt;=50,"D","F")))))))</f>
      </c>
      <c r="W26" s="42">
        <v>72</v>
      </c>
      <c r="X26" s="40">
        <f>IF(W26&gt;=91, 4.00, IF(W26&gt;=81, 3.50, IF(W26&gt;=70, 3.00, IF(W26&gt;=65, 2.50, IF(W26&gt;=60, 2.00, IF(W26&gt;=55, 1.50, IF(W26&gt;=50, 1.00, 0.00)))))))</f>
      </c>
      <c r="Y26" s="40">
        <f>IF(W26&gt;=91,"A",IF(W26&gt;=81,"B+",IF(W26&gt;=70,"B",IF(W26&gt;=65,"C+",IF(W26&gt;=60,"C",IF(W26&gt;=55,"D+",IF(W26&gt;=50,"D","F")))))))</f>
      </c>
      <c r="Z26" s="40">
        <v>89.22</v>
      </c>
      <c r="AA26" s="40">
        <f>IF(Z26&gt;=91, 4.00, IF(Z26&gt;=81, 3.50, IF(Z26&gt;=70, 3.00, IF(Z26&gt;=65, 2.50, IF(Z26&gt;=60, 2.00, IF(Z26&gt;=55, 1.50, IF(Z26&gt;=50, 1.00, 0.00)))))))</f>
      </c>
      <c r="AB26" s="40">
        <f>IF(Z26&gt;=91,"A",IF(Z26&gt;=81,"B+",IF(Z26&gt;=70,"B",IF(Z26&gt;=65,"C+",IF(Z26&gt;=60,"C",IF(Z26&gt;=55,"D+",IF(Z26&gt;=50,"D","F")))))))</f>
      </c>
      <c r="AC26" s="73">
        <v>88</v>
      </c>
      <c r="AD26" s="40">
        <f>IF(AC26&gt;=91, 4.00, IF(AC26&gt;=81, 3.50, IF(AC26&gt;=70, 3.00, IF(AC26&gt;=65, 2.50, IF(AC26&gt;=60, 2.00, IF(AC26&gt;=55, 1.50, IF(AC26&gt;=50, 1.00, 0.00)))))))</f>
      </c>
      <c r="AE26" s="40">
        <f>IF(AC26&gt;=91,"A",IF(AC26&gt;=81,"B+",IF(AC26&gt;=70,"B",IF(AC26&gt;=65,"C+",IF(AC26&gt;=60,"C",IF(AC26&gt;=55,"D+",IF(AC26&gt;=50,"D","F")))))))</f>
      </c>
      <c r="AF26" s="40">
        <v>73</v>
      </c>
      <c r="AG26" s="40">
        <f>IF(AF26&gt;=91, 4.00, IF(AF26&gt;=81, 3.50, IF(AF26&gt;=70, 3.00, IF(AF26&gt;=65, 2.50, IF(AF26&gt;=60, 2.00, IF(AF26&gt;=55, 1.50, IF(AF26&gt;=50, 1.00, 0.00)))))))</f>
      </c>
      <c r="AH26" s="40">
        <f>IF(AF26&gt;=91,"A",IF(AF26&gt;=81,"B+",IF(AF26&gt;=70,"B",IF(AF26&gt;=65,"C+",IF(AF26&gt;=60,"C",IF(AF26&gt;=55,"D+",IF(AF26&gt;=50,"D","F")))))))</f>
      </c>
      <c r="AI26" s="40">
        <v>100</v>
      </c>
      <c r="AJ26" s="40">
        <f>IF(AI26&gt;=91, 4.00, IF(AI26&gt;=81, 3.50, IF(AI26&gt;=70, 3.00, IF(AI26&gt;=65, 2.50, IF(AI26&gt;=60, 2.00, IF(AI26&gt;=55, 1.50, IF(AI26&gt;=50, 1.00, 0.00)))))))</f>
      </c>
      <c r="AK26" s="40">
        <f>IF(AI26&gt;=91,"A",IF(AI26&gt;=81,"B+",IF(AI26&gt;=70,"B",IF(AI26&gt;=65,"C+",IF(AI26&gt;=60,"C",IF(AI26&gt;=55,"D+",IF(AI26&gt;=50,"D","F")))))))</f>
      </c>
      <c r="AL26" s="40">
        <f>ROUND((L26*3+O26*2+R26*1+U26*2+X26*1+AA26*2+AD26*2+AG26*2+AJ26*2)/17, 2)</f>
      </c>
      <c r="AM26" s="52">
        <v>87</v>
      </c>
      <c r="AN26" s="40">
        <f>IF(AM26&gt;=91, 4.00, IF(AM26&gt;=81, 3.50, IF(AM26&gt;=70, 3.00, IF(AM26&gt;=65, 2.50, IF(AM26&gt;=60, 2.00, IF(AM26&gt;=55, 1.50, IF(AM26&gt;=50, 1.00, 0.00)))))))</f>
      </c>
      <c r="AO26" s="65">
        <f>IF(AM26&gt;=91,"A",IF(AM26&gt;=81,"B+",IF(AM26&gt;=70,"B",IF(AM26&gt;=65,"C+",IF(AM26&gt;=60,"C",IF(AM26&gt;=55,"D+",IF(AM26&gt;=50,"D","F")))))))</f>
      </c>
      <c r="AP26" s="40" t="s">
        <v>43</v>
      </c>
      <c r="AQ26" s="42">
        <f>IF(AP26&gt;=91, 4.00, IF(AP26&gt;=81, 3.50, IF(AP26&gt;=70, 3.00, IF(AP26&gt;=65, 2.50, IF(AP26&gt;=60, 2.00, IF(AP26&gt;=55, 1.50, IF(AP26&gt;=50, 1.00, 0.00)))))))</f>
      </c>
      <c r="AR26" s="42">
        <f>IF(AP26&gt;=91,"A",IF(AP26&gt;=81,"B+",IF(AP26&gt;=70,"B",IF(AP26&gt;=65,"C+",IF(AP26&gt;=60,"C",IF(AP26&gt;=55,"D+",IF(AP26&gt;=50,"D","F")))))))</f>
      </c>
      <c r="AS26" s="43" t="s">
        <v>162</v>
      </c>
      <c r="AT26" s="43">
        <f>IF(AS26&gt;=91, 4.00, IF(AS26&gt;=81, 3.50, IF(AS26&gt;=70, 3.00, IF(AS26&gt;=65, 2.50, IF(AS26&gt;=60, 2.00, IF(AS26&gt;=55, 1.50, IF(AS26&gt;=50, 1.00, 0.00)))))))</f>
      </c>
      <c r="AU26" s="44">
        <f>IF(AS26&gt;=91,"A",IF(AS26&gt;=81,"B+",IF(AS26&gt;=70,"B",IF(AS26&gt;=65,"C+",IF(AS26&gt;=60,"C",IF(AS26&gt;=55,"D+",IF(AS26&gt;=50,"D","F")))))))</f>
      </c>
      <c r="AV26" s="45" t="s">
        <v>49</v>
      </c>
      <c r="AW26" s="49">
        <f>IF(AV26&gt;=91, 4.00, IF(AV26&gt;=81, 3.50, IF(AV26&gt;=70, 3.00, IF(AV26&gt;=65, 2.50, IF(AV26&gt;=60, 2.00, IF(AV26&gt;=55, 1.50, IF(AV26&gt;=50, 1.00, 0.00)))))))</f>
      </c>
      <c r="AX26" s="49">
        <f>IF(AV26&gt;=91,"A",IF(AV26&gt;=81,"B+",IF(AV26&gt;=70,"B",IF(AV26&gt;=65,"C+",IF(AV26&gt;=60,"C",IF(AV26&gt;=55,"D+",IF(AV26&gt;=50,"D","F")))))))</f>
      </c>
      <c r="AY26" s="40" t="str">
        <f>IF(AW26&gt;90,"A",IF(AW26&gt;80,"B+",IF(AW26&gt;69,"B",IF(AW26&gt;64,"C+",IF(AW26&gt;59,"C",IF(AW26&gt;54,"D+",IF(AW26&gt;49,"D",IF(AW26&gt;=0,"F"))))))))</f>
        <v>B+</v>
      </c>
      <c r="AZ26" s="49">
        <f>IF(AY26&gt;=91, 4.00, IF(AY26&gt;=81, 3.50, IF(AY26&gt;=70, 3.00, IF(AY26&gt;=65, 2.50, IF(AY26&gt;=60, 2.00, IF(AY26&gt;=55, 1.50, IF(AY26&gt;=50, 1.00, 0.00)))))))</f>
      </c>
      <c r="BA26" s="49">
        <f>IF(AY26&gt;=91,"A",IF(AY26&gt;=81,"B+",IF(AY26&gt;=70,"B",IF(AY26&gt;=65,"C+",IF(AY26&gt;=60,"C",IF(AY26&gt;=55,"D+",IF(AY26&gt;=50,"D","F")))))))</f>
      </c>
      <c r="BB26" s="40" t="str">
        <f>IF(AZ26&gt;90,"A",IF(AZ26&gt;80,"B+",IF(AZ26&gt;69,"B",IF(AZ26&gt;64,"C+",IF(AZ26&gt;59,"C",IF(AZ26&gt;54,"D+",IF(AZ26&gt;49,"D",IF(AZ26&gt;=0,"F"))))))))</f>
        <v>A</v>
      </c>
      <c r="BC26" s="49">
        <f>IF(BB26&gt;=91, 4.00, IF(BB26&gt;=81, 3.50, IF(BB26&gt;=70, 3.00, IF(BB26&gt;=65, 2.50, IF(BB26&gt;=60, 2.00, IF(BB26&gt;=55, 1.50, IF(BB26&gt;=50, 1.00, 0.00)))))))</f>
      </c>
      <c r="BD26" s="49">
        <f>IF(BB26&gt;=91,"A",IF(BB26&gt;=81,"B+",IF(BB26&gt;=70,"B",IF(BB26&gt;=65,"C+",IF(BB26&gt;=60,"C",IF(BB26&gt;=55,"D+",IF(BB26&gt;=50,"D","F")))))))</f>
      </c>
      <c r="BE26" s="40" t="str">
        <f>IF(BC26&gt;90,"A",IF(BC26&gt;80,"B+",IF(BC26&gt;69,"B",IF(BC26&gt;64,"C+",IF(BC26&gt;59,"C",IF(BC26&gt;54,"D+",IF(BC26&gt;49,"D",IF(BC26&gt;=0,"F"))))))))</f>
        <v>B+</v>
      </c>
      <c r="BF26" s="49">
        <f>IF(BE26&gt;=91, 4.00, IF(BE26&gt;=81, 3.50, IF(BE26&gt;=70, 3.00, IF(BE26&gt;=65, 2.50, IF(BE26&gt;=60, 2.00, IF(BE26&gt;=55, 1.50, IF(BE26&gt;=50, 1.00, 0.00)))))))</f>
      </c>
      <c r="BG26" s="49">
        <f>IF(BE26&gt;=91,"A",IF(BE26&gt;=81,"B+",IF(BE26&gt;=70,"B",IF(BE26&gt;=65,"C+",IF(BE26&gt;=60,"C",IF(BE26&gt;=55,"D+",IF(BE26&gt;=50,"D","F")))))))</f>
      </c>
      <c r="BH26" s="40" t="str">
        <f>IF(BF26&gt;90,"A",IF(BF26&gt;80,"B+",IF(BF26&gt;69,"B",IF(BF26&gt;64,"C+",IF(BF26&gt;59,"C",IF(BF26&gt;54,"D+",IF(BF26&gt;49,"D",IF(BF26&gt;=0,"F"))))))))</f>
        <v>B+</v>
      </c>
      <c r="BI26" s="49">
        <f>IF(BH26&gt;=91, 4.00, IF(BH26&gt;=81, 3.50, IF(BH26&gt;=70, 3.00, IF(BH26&gt;=65, 2.50, IF(BH26&gt;=60, 2.00, IF(BH26&gt;=55, 1.50, IF(BH26&gt;=50, 1.00, 0.00)))))))</f>
      </c>
      <c r="BJ26" s="49">
        <f>IF(BH26&gt;=91,"A",IF(BH26&gt;=81,"B+",IF(BH26&gt;=70,"B",IF(BH26&gt;=65,"C+",IF(BH26&gt;=60,"C",IF(BH26&gt;=55,"D+",IF(BH26&gt;=50,"D","F")))))))</f>
      </c>
      <c r="BK26" s="40" t="str">
        <f>IF(BI26&gt;90,"A",IF(BI26&gt;80,"B+",IF(BI26&gt;69,"B",IF(BI26&gt;64,"C+",IF(BI26&gt;59,"C",IF(BI26&gt;54,"D+",IF(BI26&gt;49,"D",IF(BI26&gt;=0,"F"))))))))</f>
        <v>A</v>
      </c>
      <c r="BL26" s="49">
        <f>IF(BK26&gt;=91, 4.00, IF(BK26&gt;=81, 3.50, IF(BK26&gt;=70, 3.00, IF(BK26&gt;=65, 2.50, IF(BK26&gt;=60, 2.00, IF(BK26&gt;=55, 1.50, IF(BK26&gt;=50, 1.00, 0.00)))))))</f>
      </c>
      <c r="BM26" s="49">
        <f>IF(BK26&gt;=91,"A",IF(BK26&gt;=81,"B+",IF(BK26&gt;=70,"B",IF(BK26&gt;=65,"C+",IF(BK26&gt;=60,"C",IF(BK26&gt;=55,"D+",IF(BK26&gt;=50,"D","F")))))))</f>
      </c>
      <c r="BN26" s="40" t="str">
        <f>IF(BL26&gt;90,"A",IF(BL26&gt;80,"B+",IF(BL26&gt;69,"B",IF(BL26&gt;64,"C+",IF(BL26&gt;59,"C",IF(BL26&gt;54,"D+",IF(BL26&gt;49,"D",IF(BL26&gt;=0,"F"))))))))</f>
        <v>B+</v>
      </c>
      <c r="BO26" s="49">
        <f>IF(BN26&gt;=91, 4.00, IF(BN26&gt;=81, 3.50, IF(BN26&gt;=70, 3.00, IF(BN26&gt;=65, 2.50, IF(BN26&gt;=60, 2.00, IF(BN26&gt;=55, 1.50, IF(BN26&gt;=50, 1.00, 0.00)))))))</f>
      </c>
      <c r="BP26" s="49">
        <f>IF(BN26&gt;=91,"A",IF(BN26&gt;=81,"B+",IF(BN26&gt;=70,"B",IF(BN26&gt;=65,"C+",IF(BN26&gt;=60,"C",IF(BN26&gt;=55,"D+",IF(BN26&gt;=50,"D","F")))))))</f>
      </c>
      <c r="BQ26" s="40">
        <f>ROUND((AN26*3+AQ26*2+AT26*1+AW26*2+AZ26*1+BC26*1+BF26*2+BI26*2+BL26*2+BO26*3)/19, 2)</f>
      </c>
      <c r="BR26" s="49">
        <v>79</v>
      </c>
      <c r="BS26" s="49" t="str">
        <f>IF(BR26&gt;90,"4.00",IF(BR26&gt;80,"3.50",IF(BR26&gt;69,"3.00",IF(BR26&gt;64,"2.50",IF(BR26&gt;59,"2.00",IF(BR26&gt;54,"1.50",IF(BR26&gt;49,"1.00","0.00")))))))</f>
        <v>3.00</v>
      </c>
      <c r="BT26" s="40" t="str">
        <f>IF(BR26&gt;90,"A",IF(BR26&gt;80,"B+",IF(BR26&gt;69,"B",IF(BR26&gt;64,"C+",IF(BR26&gt;59,"C",IF(BR26&gt;54,"D+",IF(BR26&gt;49,"D",IF(BR26&gt;=0,"F"))))))))</f>
        <v>B</v>
      </c>
      <c r="BU26" s="49">
        <v>70</v>
      </c>
      <c r="BV26" s="49" t="str">
        <f>IF(BU26&gt;90,"4.00",IF(BU26&gt;80,"3.50",IF(BU26&gt;69,"3.00",IF(BU26&gt;64,"2.50",IF(BU26&gt;59,"2.00",IF(BU26&gt;54,"1.50",IF(BU26&gt;49,"1.00","0.00")))))))</f>
        <v>3.00</v>
      </c>
      <c r="BW26" s="40" t="str">
        <f>IF(BU26&gt;90,"A",IF(BU26&gt;80,"B+",IF(BU26&gt;69,"B",IF(BU26&gt;64,"C+",IF(BU26&gt;59,"C",IF(BU26&gt;54,"D+",IF(BU26&gt;49,"D",IF(BU26&gt;=0,"F"))))))))</f>
        <v>B</v>
      </c>
      <c r="BX26" s="50">
        <f>(AX26*3+BA26*2+BD26*1+BG26*2+BJ26*1+BM26*1+BP26*2+BS26*2+BV26*2)/(3+2+1+2+1+1+2+2+2)</f>
        <v>3.40625</v>
      </c>
      <c r="BY26" s="50">
        <f>(AL26+BX26)/2</f>
        <v>3.3354779411764706</v>
      </c>
      <c r="BZ26" s="51">
        <f>RANK(BY26,$BY$7:BY59)</f>
        <v>6</v>
      </c>
      <c r="CA26" s="67"/>
      <c r="CB26" s="52"/>
      <c r="CC26" s="52"/>
      <c r="CD26" s="52"/>
    </row>
    <row r="27" ht="20" customHeight="1" spans="1:82" s="53" customFormat="1" x14ac:dyDescent="0.25">
      <c r="A27" s="40">
        <v>21</v>
      </c>
      <c r="B27" s="65" t="s">
        <v>165</v>
      </c>
      <c r="C27" s="40" t="s">
        <v>51</v>
      </c>
      <c r="D27" s="42" t="s">
        <v>166</v>
      </c>
      <c r="E27" s="42" t="s">
        <v>167</v>
      </c>
      <c r="F27" s="43" t="s">
        <v>168</v>
      </c>
      <c r="G27" s="43" t="s">
        <v>169</v>
      </c>
      <c r="H27" s="74">
        <v>38631</v>
      </c>
      <c r="I27" s="45" t="s">
        <v>49</v>
      </c>
      <c r="J27" s="40">
        <v>1</v>
      </c>
      <c r="K27" s="42">
        <v>57</v>
      </c>
      <c r="L27" s="40">
        <f>IF(K27&gt;=91, 4.00, IF(K27&gt;=81, 3.50, IF(K27&gt;=70, 3.00, IF(K27&gt;=65, 2.50, IF(K27&gt;=60, 2.00, IF(K27&gt;=55, 1.50, IF(K27&gt;=50, 1.00, 0.00)))))))</f>
      </c>
      <c r="M27" s="40">
        <f>IF(K27&gt;=91,"A",IF(K27&gt;=81,"B+",IF(K27&gt;=70,"B",IF(K27&gt;=65,"C+",IF(K27&gt;=60,"C",IF(K27&gt;=55,"D+",IF(K27&gt;=50,"D","F")))))))</f>
      </c>
      <c r="N27" s="40">
        <v>91</v>
      </c>
      <c r="O27" s="40">
        <f>IF(N27&gt;=91, 4.00, IF(N27&gt;=81, 3.50, IF(N27&gt;=70, 3.00, IF(N27&gt;=65, 2.50, IF(N27&gt;=60, 2.00, IF(N27&gt;=55, 1.50, IF(N27&gt;=50, 1.00, 0.00)))))))</f>
      </c>
      <c r="P27" s="40">
        <f>IF(N27&gt;=91,"A",IF(N27&gt;=81,"B+",IF(N27&gt;=70,"B",IF(N27&gt;=65,"C+",IF(N27&gt;=60,"C",IF(N27&gt;=55,"D+",IF(N27&gt;=50,"D","F")))))))</f>
      </c>
      <c r="Q27" s="42">
        <v>85</v>
      </c>
      <c r="R27" s="40">
        <f>IF(Q27&gt;=91, 4.00, IF(Q27&gt;=81, 3.50, IF(Q27&gt;=70, 3.00, IF(Q27&gt;=65, 2.50, IF(Q27&gt;=60, 2.00, IF(Q27&gt;=55, 1.50, IF(Q27&gt;=50, 1.00, 0.00)))))))</f>
      </c>
      <c r="S27" s="40">
        <f>IF(Q27&gt;=91,"A",IF(Q27&gt;=81,"B+",IF(Q27&gt;=70,"B",IF(Q27&gt;=65,"C+",IF(Q27&gt;=60,"C",IF(Q27&gt;=55,"D+",IF(Q27&gt;=50,"D","F")))))))</f>
      </c>
      <c r="T27" s="42">
        <v>56</v>
      </c>
      <c r="U27" s="40">
        <f>IF(T27&gt;=91, 4.00, IF(T27&gt;=81, 3.50, IF(T27&gt;=70, 3.00, IF(T27&gt;=65, 2.50, IF(T27&gt;=60, 2.00, IF(T27&gt;=55, 1.50, IF(T27&gt;=50, 1.00, 0.00)))))))</f>
      </c>
      <c r="V27" s="40">
        <f>IF(T27&gt;=91,"A",IF(T27&gt;=81,"B+",IF(T27&gt;=70,"B",IF(T27&gt;=65,"C+",IF(T27&gt;=60,"C",IF(T27&gt;=55,"D+",IF(T27&gt;=50,"D","F")))))))</f>
      </c>
      <c r="W27" s="75">
        <v>47</v>
      </c>
      <c r="X27" s="56">
        <f>IF(W27&gt;=91, 4.00, IF(W27&gt;=81, 3.50, IF(W27&gt;=70, 3.00, IF(W27&gt;=65, 2.50, IF(W27&gt;=60, 2.00, IF(W27&gt;=55, 1.50, IF(W27&gt;=50, 1.00, 0.00)))))))</f>
      </c>
      <c r="Y27" s="57">
        <f>IF(W27&gt;=91,"A",IF(W27&gt;=81,"B+",IF(W27&gt;=70,"B",IF(W27&gt;=65,"C+",IF(W27&gt;=60,"C",IF(W27&gt;=55,"D+",IF(W27&gt;=50,"D","F")))))))</f>
      </c>
      <c r="Z27" s="40">
        <v>85.05</v>
      </c>
      <c r="AA27" s="40">
        <f>IF(Z27&gt;=91, 4.00, IF(Z27&gt;=81, 3.50, IF(Z27&gt;=70, 3.00, IF(Z27&gt;=65, 2.50, IF(Z27&gt;=60, 2.00, IF(Z27&gt;=55, 1.50, IF(Z27&gt;=50, 1.00, 0.00)))))))</f>
      </c>
      <c r="AB27" s="40">
        <f>IF(Z27&gt;=91,"A",IF(Z27&gt;=81,"B+",IF(Z27&gt;=70,"B",IF(Z27&gt;=65,"C+",IF(Z27&gt;=60,"C",IF(Z27&gt;=55,"D+",IF(Z27&gt;=50,"D","F")))))))</f>
      </c>
      <c r="AC27" s="73">
        <v>77.5</v>
      </c>
      <c r="AD27" s="40">
        <f>IF(AC27&gt;=91, 4.00, IF(AC27&gt;=81, 3.50, IF(AC27&gt;=70, 3.00, IF(AC27&gt;=65, 2.50, IF(AC27&gt;=60, 2.00, IF(AC27&gt;=55, 1.50, IF(AC27&gt;=50, 1.00, 0.00)))))))</f>
      </c>
      <c r="AE27" s="40">
        <f>IF(AC27&gt;=91,"A",IF(AC27&gt;=81,"B+",IF(AC27&gt;=70,"B",IF(AC27&gt;=65,"C+",IF(AC27&gt;=60,"C",IF(AC27&gt;=55,"D+",IF(AC27&gt;=50,"D","F")))))))</f>
      </c>
      <c r="AF27" s="40">
        <v>75</v>
      </c>
      <c r="AG27" s="40">
        <f>IF(AF27&gt;=91, 4.00, IF(AF27&gt;=81, 3.50, IF(AF27&gt;=70, 3.00, IF(AF27&gt;=65, 2.50, IF(AF27&gt;=60, 2.00, IF(AF27&gt;=55, 1.50, IF(AF27&gt;=50, 1.00, 0.00)))))))</f>
      </c>
      <c r="AH27" s="40">
        <f>IF(AF27&gt;=91,"A",IF(AF27&gt;=81,"B+",IF(AF27&gt;=70,"B",IF(AF27&gt;=65,"C+",IF(AF27&gt;=60,"C",IF(AF27&gt;=55,"D+",IF(AF27&gt;=50,"D","F")))))))</f>
      </c>
      <c r="AI27" s="40">
        <v>101</v>
      </c>
      <c r="AJ27" s="40">
        <f>IF(AI27&gt;=91, 4.00, IF(AI27&gt;=81, 3.50, IF(AI27&gt;=70, 3.00, IF(AI27&gt;=65, 2.50, IF(AI27&gt;=60, 2.00, IF(AI27&gt;=55, 1.50, IF(AI27&gt;=50, 1.00, 0.00)))))))</f>
      </c>
      <c r="AK27" s="40">
        <f>IF(AI27&gt;=91,"A",IF(AI27&gt;=81,"B+",IF(AI27&gt;=70,"B",IF(AI27&gt;=65,"C+",IF(AI27&gt;=60,"C",IF(AI27&gt;=55,"D+",IF(AI27&gt;=50,"D","F")))))))</f>
      </c>
      <c r="AL27" s="40">
        <f>ROUND((L27*3+O27*2+R27*1+U27*2+X27*1+AA27*2+AD27*2+AG27*2+AJ27*2)/17, 2)</f>
      </c>
      <c r="AM27" s="52">
        <v>90</v>
      </c>
      <c r="AN27" s="40">
        <f>IF(AM27&gt;=91, 4.00, IF(AM27&gt;=81, 3.50, IF(AM27&gt;=70, 3.00, IF(AM27&gt;=65, 2.50, IF(AM27&gt;=60, 2.00, IF(AM27&gt;=55, 1.50, IF(AM27&gt;=50, 1.00, 0.00)))))))</f>
      </c>
      <c r="AO27" s="65">
        <f>IF(AM27&gt;=91,"A",IF(AM27&gt;=81,"B+",IF(AM27&gt;=70,"B",IF(AM27&gt;=65,"C+",IF(AM27&gt;=60,"C",IF(AM27&gt;=55,"D+",IF(AM27&gt;=50,"D","F")))))))</f>
      </c>
      <c r="AP27" s="40" t="s">
        <v>51</v>
      </c>
      <c r="AQ27" s="42">
        <f>IF(AP27&gt;=91, 4.00, IF(AP27&gt;=81, 3.50, IF(AP27&gt;=70, 3.00, IF(AP27&gt;=65, 2.50, IF(AP27&gt;=60, 2.00, IF(AP27&gt;=55, 1.50, IF(AP27&gt;=50, 1.00, 0.00)))))))</f>
      </c>
      <c r="AR27" s="42">
        <f>IF(AP27&gt;=91,"A",IF(AP27&gt;=81,"B+",IF(AP27&gt;=70,"B",IF(AP27&gt;=65,"C+",IF(AP27&gt;=60,"C",IF(AP27&gt;=55,"D+",IF(AP27&gt;=50,"D","F")))))))</f>
      </c>
      <c r="AS27" s="43" t="s">
        <v>168</v>
      </c>
      <c r="AT27" s="43">
        <f>IF(AS27&gt;=91, 4.00, IF(AS27&gt;=81, 3.50, IF(AS27&gt;=70, 3.00, IF(AS27&gt;=65, 2.50, IF(AS27&gt;=60, 2.00, IF(AS27&gt;=55, 1.50, IF(AS27&gt;=50, 1.00, 0.00)))))))</f>
      </c>
      <c r="AU27" s="74">
        <f>IF(AS27&gt;=91,"A",IF(AS27&gt;=81,"B+",IF(AS27&gt;=70,"B",IF(AS27&gt;=65,"C+",IF(AS27&gt;=60,"C",IF(AS27&gt;=55,"D+",IF(AS27&gt;=50,"D","F")))))))</f>
      </c>
      <c r="AV27" s="45" t="s">
        <v>49</v>
      </c>
      <c r="AW27" s="49">
        <f>IF(AV27&gt;=91, 4.00, IF(AV27&gt;=81, 3.50, IF(AV27&gt;=70, 3.00, IF(AV27&gt;=65, 2.50, IF(AV27&gt;=60, 2.00, IF(AV27&gt;=55, 1.50, IF(AV27&gt;=50, 1.00, 0.00)))))))</f>
      </c>
      <c r="AX27" s="49">
        <f>IF(AV27&gt;=91,"A",IF(AV27&gt;=81,"B+",IF(AV27&gt;=70,"B",IF(AV27&gt;=65,"C+",IF(AV27&gt;=60,"C",IF(AV27&gt;=55,"D+",IF(AV27&gt;=50,"D","F")))))))</f>
      </c>
      <c r="AY27" s="40" t="str">
        <f>IF(AW27&gt;90,"A",IF(AW27&gt;80,"B+",IF(AW27&gt;69,"B",IF(AW27&gt;64,"C+",IF(AW27&gt;59,"C",IF(AW27&gt;54,"D+",IF(AW27&gt;49,"D",IF(AW27&gt;=0,"F"))))))))</f>
        <v>C</v>
      </c>
      <c r="AZ27" s="49">
        <f>IF(AY27&gt;=91, 4.00, IF(AY27&gt;=81, 3.50, IF(AY27&gt;=70, 3.00, IF(AY27&gt;=65, 2.50, IF(AY27&gt;=60, 2.00, IF(AY27&gt;=55, 1.50, IF(AY27&gt;=50, 1.00, 0.00)))))))</f>
      </c>
      <c r="BA27" s="49">
        <f>IF(AY27&gt;=91,"A",IF(AY27&gt;=81,"B+",IF(AY27&gt;=70,"B",IF(AY27&gt;=65,"C+",IF(AY27&gt;=60,"C",IF(AY27&gt;=55,"D+",IF(AY27&gt;=50,"D","F")))))))</f>
      </c>
      <c r="BB27" s="40" t="str">
        <f>IF(AZ27&gt;90,"A",IF(AZ27&gt;80,"B+",IF(AZ27&gt;69,"B",IF(AZ27&gt;64,"C+",IF(AZ27&gt;59,"C",IF(AZ27&gt;54,"D+",IF(AZ27&gt;49,"D",IF(AZ27&gt;=0,"F"))))))))</f>
        <v>C+</v>
      </c>
      <c r="BC27" s="49">
        <f>IF(BB27&gt;=91, 4.00, IF(BB27&gt;=81, 3.50, IF(BB27&gt;=70, 3.00, IF(BB27&gt;=65, 2.50, IF(BB27&gt;=60, 2.00, IF(BB27&gt;=55, 1.50, IF(BB27&gt;=50, 1.00, 0.00)))))))</f>
      </c>
      <c r="BD27" s="49">
        <f>IF(BB27&gt;=91,"A",IF(BB27&gt;=81,"B+",IF(BB27&gt;=70,"B",IF(BB27&gt;=65,"C+",IF(BB27&gt;=60,"C",IF(BB27&gt;=55,"D+",IF(BB27&gt;=50,"D","F")))))))</f>
      </c>
      <c r="BE27" s="40" t="str">
        <f>IF(BC27&gt;90,"A",IF(BC27&gt;80,"B+",IF(BC27&gt;69,"B",IF(BC27&gt;64,"C+",IF(BC27&gt;59,"C",IF(BC27&gt;54,"D+",IF(BC27&gt;49,"D",IF(BC27&gt;=0,"F"))))))))</f>
        <v>C</v>
      </c>
      <c r="BF27" s="49">
        <f>IF(BE27&gt;=91, 4.00, IF(BE27&gt;=81, 3.50, IF(BE27&gt;=70, 3.00, IF(BE27&gt;=65, 2.50, IF(BE27&gt;=60, 2.00, IF(BE27&gt;=55, 1.50, IF(BE27&gt;=50, 1.00, 0.00)))))))</f>
      </c>
      <c r="BG27" s="49">
        <f>IF(BE27&gt;=91,"A",IF(BE27&gt;=81,"B+",IF(BE27&gt;=70,"B",IF(BE27&gt;=65,"C+",IF(BE27&gt;=60,"C",IF(BE27&gt;=55,"D+",IF(BE27&gt;=50,"D","F")))))))</f>
      </c>
      <c r="BH27" s="40" t="str">
        <f>IF(BF27&gt;90,"A",IF(BF27&gt;80,"B+",IF(BF27&gt;69,"B",IF(BF27&gt;64,"C+",IF(BF27&gt;59,"C",IF(BF27&gt;54,"D+",IF(BF27&gt;49,"D",IF(BF27&gt;=0,"F"))))))))</f>
        <v>D+</v>
      </c>
      <c r="BI27" s="49">
        <f>IF(BH27&gt;=91, 4.00, IF(BH27&gt;=81, 3.50, IF(BH27&gt;=70, 3.00, IF(BH27&gt;=65, 2.50, IF(BH27&gt;=60, 2.00, IF(BH27&gt;=55, 1.50, IF(BH27&gt;=50, 1.00, 0.00)))))))</f>
      </c>
      <c r="BJ27" s="49">
        <f>IF(BH27&gt;=91,"A",IF(BH27&gt;=81,"B+",IF(BH27&gt;=70,"B",IF(BH27&gt;=65,"C+",IF(BH27&gt;=60,"C",IF(BH27&gt;=55,"D+",IF(BH27&gt;=50,"D","F")))))))</f>
      </c>
      <c r="BK27" s="40" t="str">
        <f>IF(BI27&gt;90,"A",IF(BI27&gt;80,"B+",IF(BI27&gt;69,"B",IF(BI27&gt;64,"C+",IF(BI27&gt;59,"C",IF(BI27&gt;54,"D+",IF(BI27&gt;49,"D",IF(BI27&gt;=0,"F"))))))))</f>
        <v>B+</v>
      </c>
      <c r="BL27" s="49">
        <f>IF(BK27&gt;=91, 4.00, IF(BK27&gt;=81, 3.50, IF(BK27&gt;=70, 3.00, IF(BK27&gt;=65, 2.50, IF(BK27&gt;=60, 2.00, IF(BK27&gt;=55, 1.50, IF(BK27&gt;=50, 1.00, 0.00)))))))</f>
      </c>
      <c r="BM27" s="49">
        <f>IF(BK27&gt;=91,"A",IF(BK27&gt;=81,"B+",IF(BK27&gt;=70,"B",IF(BK27&gt;=65,"C+",IF(BK27&gt;=60,"C",IF(BK27&gt;=55,"D+",IF(BK27&gt;=50,"D","F")))))))</f>
      </c>
      <c r="BN27" s="40" t="str">
        <f>IF(BL27&gt;90,"A",IF(BL27&gt;80,"B+",IF(BL27&gt;69,"B",IF(BL27&gt;64,"C+",IF(BL27&gt;59,"C",IF(BL27&gt;54,"D+",IF(BL27&gt;49,"D",IF(BL27&gt;=0,"F"))))))))</f>
        <v>C+</v>
      </c>
      <c r="BO27" s="49">
        <f>IF(BN27&gt;=91, 4.00, IF(BN27&gt;=81, 3.50, IF(BN27&gt;=70, 3.00, IF(BN27&gt;=65, 2.50, IF(BN27&gt;=60, 2.00, IF(BN27&gt;=55, 1.50, IF(BN27&gt;=50, 1.00, 0.00)))))))</f>
      </c>
      <c r="BP27" s="49">
        <f>IF(BN27&gt;=91,"A",IF(BN27&gt;=81,"B+",IF(BN27&gt;=70,"B",IF(BN27&gt;=65,"C+",IF(BN27&gt;=60,"C",IF(BN27&gt;=55,"D+",IF(BN27&gt;=50,"D","F")))))))</f>
      </c>
      <c r="BQ27" s="40">
        <f>ROUND((AN27*3+AQ27*2+AT27*1+AW27*2+AZ27*1+BC27*1+BF27*2+BI27*2+BL27*2+BO27*3)/19, 2)</f>
      </c>
      <c r="BR27" s="62">
        <v>43</v>
      </c>
      <c r="BS27" s="62" t="str">
        <f>IF(BR27&gt;90,"4.00",IF(BR27&gt;80,"3.50",IF(BR27&gt;69,"3.00",IF(BR27&gt;64,"2.50",IF(BR27&gt;59,"2.00",IF(BR27&gt;54,"1.50",IF(BR27&gt;49,"1.00","0.00")))))))</f>
        <v>0.00</v>
      </c>
      <c r="BT27" s="63" t="str">
        <f>IF(BR27&gt;90,"A",IF(BR27&gt;80,"B+",IF(BR27&gt;69,"B",IF(BR27&gt;64,"C+",IF(BR27&gt;59,"C",IF(BR27&gt;54,"D+",IF(BR27&gt;49,"D",IF(BR27&gt;=0,"F"))))))))</f>
        <v>F</v>
      </c>
      <c r="BU27" s="49">
        <v>62</v>
      </c>
      <c r="BV27" s="49" t="str">
        <f>IF(BU27&gt;90,"4.00",IF(BU27&gt;80,"3.50",IF(BU27&gt;69,"3.00",IF(BU27&gt;64,"2.50",IF(BU27&gt;59,"2.00",IF(BU27&gt;54,"1.50",IF(BU27&gt;49,"1.00","0.00")))))))</f>
        <v>2.00</v>
      </c>
      <c r="BW27" s="40" t="str">
        <f>IF(BU27&gt;90,"A",IF(BU27&gt;80,"B+",IF(BU27&gt;69,"B",IF(BU27&gt;64,"C+",IF(BU27&gt;59,"C",IF(BU27&gt;54,"D+",IF(BU27&gt;49,"D",IF(BU27&gt;=0,"F"))))))))</f>
        <v>C</v>
      </c>
      <c r="BX27" s="50">
        <f>(AX27*3+BA27*2+BD27*1+BG27*2+BJ27*1+BM27*1+BP27*2+BS27*2+BV27*2)/(3+2+1+2+1+1+2+2+2)</f>
        <v>2</v>
      </c>
      <c r="BY27" s="50">
        <f>(AL27+BX27)/2</f>
        <v>2.25</v>
      </c>
      <c r="BZ27" s="51">
        <f>RANK(BY27,$BY$7:BY60)</f>
        <v>18</v>
      </c>
      <c r="CA27" s="67"/>
      <c r="CB27" s="52"/>
      <c r="CC27" s="52"/>
      <c r="CD27" s="52"/>
    </row>
    <row r="28" ht="20" customHeight="1" spans="1:82" s="53" customFormat="1" x14ac:dyDescent="0.25">
      <c r="A28" s="40">
        <v>22</v>
      </c>
      <c r="B28" s="65" t="s">
        <v>170</v>
      </c>
      <c r="C28" s="40" t="s">
        <v>51</v>
      </c>
      <c r="D28" s="42" t="s">
        <v>171</v>
      </c>
      <c r="E28" s="42" t="s">
        <v>172</v>
      </c>
      <c r="F28" s="43" t="s">
        <v>173</v>
      </c>
      <c r="G28" s="43" t="s">
        <v>174</v>
      </c>
      <c r="H28" s="64">
        <v>38691</v>
      </c>
      <c r="I28" s="45" t="s">
        <v>49</v>
      </c>
      <c r="J28" s="40">
        <v>1</v>
      </c>
      <c r="K28" s="75">
        <v>45</v>
      </c>
      <c r="L28" s="56">
        <f>IF(K28&gt;=91, 4.00, IF(K28&gt;=81, 3.50, IF(K28&gt;=70, 3.00, IF(K28&gt;=65, 2.50, IF(K28&gt;=60, 2.00, IF(K28&gt;=55, 1.50, IF(K28&gt;=50, 1.00, 0.00)))))))</f>
      </c>
      <c r="M28" s="57">
        <f>IF(K28&gt;=91,"A",IF(K28&gt;=81,"B+",IF(K28&gt;=70,"B",IF(K28&gt;=65,"C+",IF(K28&gt;=60,"C",IF(K28&gt;=55,"D+",IF(K28&gt;=50,"D","F")))))))</f>
      </c>
      <c r="N28" s="40">
        <v>79</v>
      </c>
      <c r="O28" s="40">
        <f>IF(N28&gt;=91, 4.00, IF(N28&gt;=81, 3.50, IF(N28&gt;=70, 3.00, IF(N28&gt;=65, 2.50, IF(N28&gt;=60, 2.00, IF(N28&gt;=55, 1.50, IF(N28&gt;=50, 1.00, 0.00)))))))</f>
      </c>
      <c r="P28" s="40">
        <f>IF(N28&gt;=91,"A",IF(N28&gt;=81,"B+",IF(N28&gt;=70,"B",IF(N28&gt;=65,"C+",IF(N28&gt;=60,"C",IF(N28&gt;=55,"D+",IF(N28&gt;=50,"D","F")))))))</f>
      </c>
      <c r="Q28" s="42">
        <v>87</v>
      </c>
      <c r="R28" s="40">
        <f>IF(Q28&gt;=91, 4.00, IF(Q28&gt;=81, 3.50, IF(Q28&gt;=70, 3.00, IF(Q28&gt;=65, 2.50, IF(Q28&gt;=60, 2.00, IF(Q28&gt;=55, 1.50, IF(Q28&gt;=50, 1.00, 0.00)))))))</f>
      </c>
      <c r="S28" s="40">
        <f>IF(Q28&gt;=91,"A",IF(Q28&gt;=81,"B+",IF(Q28&gt;=70,"B",IF(Q28&gt;=65,"C+",IF(Q28&gt;=60,"C",IF(Q28&gt;=55,"D+",IF(Q28&gt;=50,"D","F")))))))</f>
      </c>
      <c r="T28" s="42">
        <v>51</v>
      </c>
      <c r="U28" s="40">
        <f>IF(T28&gt;=91, 4.00, IF(T28&gt;=81, 3.50, IF(T28&gt;=70, 3.00, IF(T28&gt;=65, 2.50, IF(T28&gt;=60, 2.00, IF(T28&gt;=55, 1.50, IF(T28&gt;=50, 1.00, 0.00)))))))</f>
      </c>
      <c r="V28" s="40">
        <f>IF(T28&gt;=91,"A",IF(T28&gt;=81,"B+",IF(T28&gt;=70,"B",IF(T28&gt;=65,"C+",IF(T28&gt;=60,"C",IF(T28&gt;=55,"D+",IF(T28&gt;=50,"D","F")))))))</f>
      </c>
      <c r="W28" s="75">
        <v>35</v>
      </c>
      <c r="X28" s="56">
        <f>IF(W28&gt;=91, 4.00, IF(W28&gt;=81, 3.50, IF(W28&gt;=70, 3.00, IF(W28&gt;=65, 2.50, IF(W28&gt;=60, 2.00, IF(W28&gt;=55, 1.50, IF(W28&gt;=50, 1.00, 0.00)))))))</f>
      </c>
      <c r="Y28" s="57">
        <f>IF(W28&gt;=91,"A",IF(W28&gt;=81,"B+",IF(W28&gt;=70,"B",IF(W28&gt;=65,"C+",IF(W28&gt;=60,"C",IF(W28&gt;=55,"D+",IF(W28&gt;=50,"D","F")))))))</f>
      </c>
      <c r="Z28" s="40">
        <v>81.71</v>
      </c>
      <c r="AA28" s="40">
        <f>IF(Z28&gt;=91, 4.00, IF(Z28&gt;=81, 3.50, IF(Z28&gt;=70, 3.00, IF(Z28&gt;=65, 2.50, IF(Z28&gt;=60, 2.00, IF(Z28&gt;=55, 1.50, IF(Z28&gt;=50, 1.00, 0.00)))))))</f>
      </c>
      <c r="AB28" s="40">
        <f>IF(Z28&gt;=91,"A",IF(Z28&gt;=81,"B+",IF(Z28&gt;=70,"B",IF(Z28&gt;=65,"C+",IF(Z28&gt;=60,"C",IF(Z28&gt;=55,"D+",IF(Z28&gt;=50,"D","F")))))))</f>
      </c>
      <c r="AC28" s="73">
        <v>68</v>
      </c>
      <c r="AD28" s="40">
        <f>IF(AC28&gt;=91, 4.00, IF(AC28&gt;=81, 3.50, IF(AC28&gt;=70, 3.00, IF(AC28&gt;=65, 2.50, IF(AC28&gt;=60, 2.00, IF(AC28&gt;=55, 1.50, IF(AC28&gt;=50, 1.00, 0.00)))))))</f>
      </c>
      <c r="AE28" s="40">
        <f>IF(AC28&gt;=91,"A",IF(AC28&gt;=81,"B+",IF(AC28&gt;=70,"B",IF(AC28&gt;=65,"C+",IF(AC28&gt;=60,"C",IF(AC28&gt;=55,"D+",IF(AC28&gt;=50,"D","F")))))))</f>
      </c>
      <c r="AF28" s="40">
        <v>78</v>
      </c>
      <c r="AG28" s="40">
        <f>IF(AF28&gt;=91, 4.00, IF(AF28&gt;=81, 3.50, IF(AF28&gt;=70, 3.00, IF(AF28&gt;=65, 2.50, IF(AF28&gt;=60, 2.00, IF(AF28&gt;=55, 1.50, IF(AF28&gt;=50, 1.00, 0.00)))))))</f>
      </c>
      <c r="AH28" s="40">
        <f>IF(AF28&gt;=91,"A",IF(AF28&gt;=81,"B+",IF(AF28&gt;=70,"B",IF(AF28&gt;=65,"C+",IF(AF28&gt;=60,"C",IF(AF28&gt;=55,"D+",IF(AF28&gt;=50,"D","F")))))))</f>
      </c>
      <c r="AI28" s="40">
        <v>102</v>
      </c>
      <c r="AJ28" s="40">
        <f>IF(AI28&gt;=91, 4.00, IF(AI28&gt;=81, 3.50, IF(AI28&gt;=70, 3.00, IF(AI28&gt;=65, 2.50, IF(AI28&gt;=60, 2.00, IF(AI28&gt;=55, 1.50, IF(AI28&gt;=50, 1.00, 0.00)))))))</f>
      </c>
      <c r="AK28" s="40">
        <f>IF(AI28&gt;=91,"A",IF(AI28&gt;=81,"B+",IF(AI28&gt;=70,"B",IF(AI28&gt;=65,"C+",IF(AI28&gt;=60,"C",IF(AI28&gt;=55,"D+",IF(AI28&gt;=50,"D","F")))))))</f>
      </c>
      <c r="AL28" s="40">
        <f>ROUND((L28*3+O28*2+R28*1+U28*2+X28*1+AA28*2+AD28*2+AG28*2+AJ28*2)/17, 2)</f>
      </c>
      <c r="AM28" s="52">
        <v>93</v>
      </c>
      <c r="AN28" s="40">
        <f>IF(AM28&gt;=91, 4.00, IF(AM28&gt;=81, 3.50, IF(AM28&gt;=70, 3.00, IF(AM28&gt;=65, 2.50, IF(AM28&gt;=60, 2.00, IF(AM28&gt;=55, 1.50, IF(AM28&gt;=50, 1.00, 0.00)))))))</f>
      </c>
      <c r="AO28" s="65">
        <f>IF(AM28&gt;=91,"A",IF(AM28&gt;=81,"B+",IF(AM28&gt;=70,"B",IF(AM28&gt;=65,"C+",IF(AM28&gt;=60,"C",IF(AM28&gt;=55,"D+",IF(AM28&gt;=50,"D","F")))))))</f>
      </c>
      <c r="AP28" s="40" t="s">
        <v>51</v>
      </c>
      <c r="AQ28" s="42">
        <f>IF(AP28&gt;=91, 4.00, IF(AP28&gt;=81, 3.50, IF(AP28&gt;=70, 3.00, IF(AP28&gt;=65, 2.50, IF(AP28&gt;=60, 2.00, IF(AP28&gt;=55, 1.50, IF(AP28&gt;=50, 1.00, 0.00)))))))</f>
      </c>
      <c r="AR28" s="42">
        <f>IF(AP28&gt;=91,"A",IF(AP28&gt;=81,"B+",IF(AP28&gt;=70,"B",IF(AP28&gt;=65,"C+",IF(AP28&gt;=60,"C",IF(AP28&gt;=55,"D+",IF(AP28&gt;=50,"D","F")))))))</f>
      </c>
      <c r="AS28" s="43" t="s">
        <v>173</v>
      </c>
      <c r="AT28" s="43">
        <f>IF(AS28&gt;=91, 4.00, IF(AS28&gt;=81, 3.50, IF(AS28&gt;=70, 3.00, IF(AS28&gt;=65, 2.50, IF(AS28&gt;=60, 2.00, IF(AS28&gt;=55, 1.50, IF(AS28&gt;=50, 1.00, 0.00)))))))</f>
      </c>
      <c r="AU28" s="64">
        <f>IF(AS28&gt;=91,"A",IF(AS28&gt;=81,"B+",IF(AS28&gt;=70,"B",IF(AS28&gt;=65,"C+",IF(AS28&gt;=60,"C",IF(AS28&gt;=55,"D+",IF(AS28&gt;=50,"D","F")))))))</f>
      </c>
      <c r="AV28" s="45" t="s">
        <v>49</v>
      </c>
      <c r="AW28" s="40">
        <f>IF(AV28&gt;=91, 4.00, IF(AV28&gt;=81, 3.50, IF(AV28&gt;=70, 3.00, IF(AV28&gt;=65, 2.50, IF(AV28&gt;=60, 2.00, IF(AV28&gt;=55, 1.50, IF(AV28&gt;=50, 1.00, 0.00)))))))</f>
      </c>
      <c r="AX28" s="49">
        <f>IF(AV28&gt;=91,"A",IF(AV28&gt;=81,"B+",IF(AV28&gt;=70,"B",IF(AV28&gt;=65,"C+",IF(AV28&gt;=60,"C",IF(AV28&gt;=55,"D+",IF(AV28&gt;=50,"D","F")))))))</f>
      </c>
      <c r="AY28" s="40" t="str">
        <f>IF(AW28&gt;90,"A",IF(AW28&gt;80,"B+",IF(AW28&gt;69,"B",IF(AW28&gt;64,"C+",IF(AW28&gt;59,"C",IF(AW28&gt;54,"D+",IF(AW28&gt;49,"D",IF(AW28&gt;=0,"F"))))))))</f>
        <v>B</v>
      </c>
      <c r="AZ28" s="49">
        <f>IF(AY28&gt;=91, 4.00, IF(AY28&gt;=81, 3.50, IF(AY28&gt;=70, 3.00, IF(AY28&gt;=65, 2.50, IF(AY28&gt;=60, 2.00, IF(AY28&gt;=55, 1.50, IF(AY28&gt;=50, 1.00, 0.00)))))))</f>
      </c>
      <c r="BA28" s="49">
        <f>IF(AY28&gt;=91,"A",IF(AY28&gt;=81,"B+",IF(AY28&gt;=70,"B",IF(AY28&gt;=65,"C+",IF(AY28&gt;=60,"C",IF(AY28&gt;=55,"D+",IF(AY28&gt;=50,"D","F")))))))</f>
      </c>
      <c r="BB28" s="40" t="str">
        <f>IF(AZ28&gt;90,"A",IF(AZ28&gt;80,"B+",IF(AZ28&gt;69,"B",IF(AZ28&gt;64,"C+",IF(AZ28&gt;59,"C",IF(AZ28&gt;54,"D+",IF(AZ28&gt;49,"D",IF(AZ28&gt;=0,"F"))))))))</f>
        <v>B</v>
      </c>
      <c r="BC28" s="49">
        <f>IF(BB28&gt;=91, 4.00, IF(BB28&gt;=81, 3.50, IF(BB28&gt;=70, 3.00, IF(BB28&gt;=65, 2.50, IF(BB28&gt;=60, 2.00, IF(BB28&gt;=55, 1.50, IF(BB28&gt;=50, 1.00, 0.00)))))))</f>
      </c>
      <c r="BD28" s="49">
        <f>IF(BB28&gt;=91,"A",IF(BB28&gt;=81,"B+",IF(BB28&gt;=70,"B",IF(BB28&gt;=65,"C+",IF(BB28&gt;=60,"C",IF(BB28&gt;=55,"D+",IF(BB28&gt;=50,"D","F")))))))</f>
      </c>
      <c r="BE28" s="40" t="str">
        <f>IF(BC28&gt;90,"A",IF(BC28&gt;80,"B+",IF(BC28&gt;69,"B",IF(BC28&gt;64,"C+",IF(BC28&gt;59,"C",IF(BC28&gt;54,"D+",IF(BC28&gt;49,"D",IF(BC28&gt;=0,"F"))))))))</f>
        <v>B</v>
      </c>
      <c r="BF28" s="49">
        <f>IF(BE28&gt;=91, 4.00, IF(BE28&gt;=81, 3.50, IF(BE28&gt;=70, 3.00, IF(BE28&gt;=65, 2.50, IF(BE28&gt;=60, 2.00, IF(BE28&gt;=55, 1.50, IF(BE28&gt;=50, 1.00, 0.00)))))))</f>
      </c>
      <c r="BG28" s="49">
        <f>IF(BE28&gt;=91,"A",IF(BE28&gt;=81,"B+",IF(BE28&gt;=70,"B",IF(BE28&gt;=65,"C+",IF(BE28&gt;=60,"C",IF(BE28&gt;=55,"D+",IF(BE28&gt;=50,"D","F")))))))</f>
      </c>
      <c r="BH28" s="40" t="str">
        <f>IF(BF28&gt;90,"A",IF(BF28&gt;80,"B+",IF(BF28&gt;69,"B",IF(BF28&gt;64,"C+",IF(BF28&gt;59,"C",IF(BF28&gt;54,"D+",IF(BF28&gt;49,"D",IF(BF28&gt;=0,"F"))))))))</f>
        <v>B</v>
      </c>
      <c r="BI28" s="49">
        <f>IF(BH28&gt;=91, 4.00, IF(BH28&gt;=81, 3.50, IF(BH28&gt;=70, 3.00, IF(BH28&gt;=65, 2.50, IF(BH28&gt;=60, 2.00, IF(BH28&gt;=55, 1.50, IF(BH28&gt;=50, 1.00, 0.00)))))))</f>
      </c>
      <c r="BJ28" s="49">
        <f>IF(BH28&gt;=91,"A",IF(BH28&gt;=81,"B+",IF(BH28&gt;=70,"B",IF(BH28&gt;=65,"C+",IF(BH28&gt;=60,"C",IF(BH28&gt;=55,"D+",IF(BH28&gt;=50,"D","F")))))))</f>
      </c>
      <c r="BK28" s="40" t="str">
        <f>IF(BI28&gt;90,"A",IF(BI28&gt;80,"B+",IF(BI28&gt;69,"B",IF(BI28&gt;64,"C+",IF(BI28&gt;59,"C",IF(BI28&gt;54,"D+",IF(BI28&gt;49,"D",IF(BI28&gt;=0,"F"))))))))</f>
        <v>C+</v>
      </c>
      <c r="BL28" s="49">
        <f>IF(BK28&gt;=91, 4.00, IF(BK28&gt;=81, 3.50, IF(BK28&gt;=70, 3.00, IF(BK28&gt;=65, 2.50, IF(BK28&gt;=60, 2.00, IF(BK28&gt;=55, 1.50, IF(BK28&gt;=50, 1.00, 0.00)))))))</f>
      </c>
      <c r="BM28" s="49">
        <f>IF(BK28&gt;=91,"A",IF(BK28&gt;=81,"B+",IF(BK28&gt;=70,"B",IF(BK28&gt;=65,"C+",IF(BK28&gt;=60,"C",IF(BK28&gt;=55,"D+",IF(BK28&gt;=50,"D","F")))))))</f>
      </c>
      <c r="BN28" s="40" t="str">
        <f>IF(BL28&gt;90,"A",IF(BL28&gt;80,"B+",IF(BL28&gt;69,"B",IF(BL28&gt;64,"C+",IF(BL28&gt;59,"C",IF(BL28&gt;54,"D+",IF(BL28&gt;49,"D",IF(BL28&gt;=0,"F"))))))))</f>
        <v>C+</v>
      </c>
      <c r="BO28" s="49">
        <f>IF(BN28&gt;=91, 4.00, IF(BN28&gt;=81, 3.50, IF(BN28&gt;=70, 3.00, IF(BN28&gt;=65, 2.50, IF(BN28&gt;=60, 2.00, IF(BN28&gt;=55, 1.50, IF(BN28&gt;=50, 1.00, 0.00)))))))</f>
      </c>
      <c r="BP28" s="49">
        <f>IF(BN28&gt;=91,"A",IF(BN28&gt;=81,"B+",IF(BN28&gt;=70,"B",IF(BN28&gt;=65,"C+",IF(BN28&gt;=60,"C",IF(BN28&gt;=55,"D+",IF(BN28&gt;=50,"D","F")))))))</f>
      </c>
      <c r="BQ28" s="40">
        <f>ROUND((AN28*3+AQ28*2+AT28*1+AW28*2+AZ28*1+BC28*1+BF28*2+BI28*2+BL28*2+BO28*3)/19, 2)</f>
      </c>
      <c r="BR28" s="49">
        <v>58</v>
      </c>
      <c r="BS28" s="49" t="str">
        <f>IF(BR28&gt;90,"4.00",IF(BR28&gt;80,"3.50",IF(BR28&gt;69,"3.00",IF(BR28&gt;64,"2.50",IF(BR28&gt;59,"2.00",IF(BR28&gt;54,"1.50",IF(BR28&gt;49,"1.00","0.00")))))))</f>
        <v>1.50</v>
      </c>
      <c r="BT28" s="40" t="str">
        <f>IF(BR28&gt;90,"A",IF(BR28&gt;80,"B+",IF(BR28&gt;69,"B",IF(BR28&gt;64,"C+",IF(BR28&gt;59,"C",IF(BR28&gt;54,"D+",IF(BR28&gt;49,"D",IF(BR28&gt;=0,"F"))))))))</f>
        <v>D+</v>
      </c>
      <c r="BU28" s="49">
        <v>71</v>
      </c>
      <c r="BV28" s="49" t="str">
        <f>IF(BU28&gt;90,"4.00",IF(BU28&gt;80,"3.50",IF(BU28&gt;69,"3.00",IF(BU28&gt;64,"2.50",IF(BU28&gt;59,"2.00",IF(BU28&gt;54,"1.50",IF(BU28&gt;49,"1.00","0.00")))))))</f>
        <v>3.00</v>
      </c>
      <c r="BW28" s="40" t="str">
        <f>IF(BU28&gt;90,"A",IF(BU28&gt;80,"B+",IF(BU28&gt;69,"B",IF(BU28&gt;64,"C+",IF(BU28&gt;59,"C",IF(BU28&gt;54,"D+",IF(BU28&gt;49,"D",IF(BU28&gt;=0,"F"))))))))</f>
        <v>B</v>
      </c>
      <c r="BX28" s="50">
        <f>(AX28*3+BA28*2+BD28*1+BG28*2+BJ28*1+BM28*1+BP28*2+BS28*2+BV28*2)/(3+2+1+2+1+1+2+2+2)</f>
        <v>2.75</v>
      </c>
      <c r="BY28" s="50">
        <f>(AL28+BX28)/2</f>
        <v>2.375</v>
      </c>
      <c r="BZ28" s="51">
        <f>RANK(BY28,$BY$7:BY61)</f>
        <v>17</v>
      </c>
      <c r="CA28" s="67"/>
      <c r="CB28" s="52"/>
      <c r="CC28" s="52"/>
      <c r="CD28" s="52"/>
    </row>
    <row r="29" ht="20" customHeight="1" spans="1:82" s="53" customFormat="1" x14ac:dyDescent="0.25">
      <c r="A29" s="40">
        <v>23</v>
      </c>
      <c r="B29" s="65" t="s">
        <v>175</v>
      </c>
      <c r="C29" s="40" t="s">
        <v>43</v>
      </c>
      <c r="D29" s="42" t="s">
        <v>176</v>
      </c>
      <c r="E29" s="42" t="s">
        <v>177</v>
      </c>
      <c r="F29" s="43" t="s">
        <v>178</v>
      </c>
      <c r="G29" s="43" t="s">
        <v>179</v>
      </c>
      <c r="H29" s="44" t="s">
        <v>180</v>
      </c>
      <c r="I29" s="45" t="s">
        <v>49</v>
      </c>
      <c r="J29" s="40">
        <v>1</v>
      </c>
      <c r="K29" s="42">
        <v>80</v>
      </c>
      <c r="L29" s="40">
        <f>IF(K29&gt;=91, 4.00, IF(K29&gt;=81, 3.50, IF(K29&gt;=70, 3.00, IF(K29&gt;=65, 2.50, IF(K29&gt;=60, 2.00, IF(K29&gt;=55, 1.50, IF(K29&gt;=50, 1.00, 0.00)))))))</f>
      </c>
      <c r="M29" s="40">
        <f>IF(K29&gt;=91,"A",IF(K29&gt;=81,"B+",IF(K29&gt;=70,"B",IF(K29&gt;=65,"C+",IF(K29&gt;=60,"C",IF(K29&gt;=55,"D+",IF(K29&gt;=50,"D","F")))))))</f>
      </c>
      <c r="N29" s="40">
        <v>95</v>
      </c>
      <c r="O29" s="40">
        <f>IF(N29&gt;=91, 4.00, IF(N29&gt;=81, 3.50, IF(N29&gt;=70, 3.00, IF(N29&gt;=65, 2.50, IF(N29&gt;=60, 2.00, IF(N29&gt;=55, 1.50, IF(N29&gt;=50, 1.00, 0.00)))))))</f>
      </c>
      <c r="P29" s="40">
        <f>IF(N29&gt;=91,"A",IF(N29&gt;=81,"B+",IF(N29&gt;=70,"B",IF(N29&gt;=65,"C+",IF(N29&gt;=60,"C",IF(N29&gt;=55,"D+",IF(N29&gt;=50,"D","F")))))))</f>
      </c>
      <c r="Q29" s="42">
        <v>85</v>
      </c>
      <c r="R29" s="40">
        <f>IF(Q29&gt;=91, 4.00, IF(Q29&gt;=81, 3.50, IF(Q29&gt;=70, 3.00, IF(Q29&gt;=65, 2.50, IF(Q29&gt;=60, 2.00, IF(Q29&gt;=55, 1.50, IF(Q29&gt;=50, 1.00, 0.00)))))))</f>
      </c>
      <c r="S29" s="40">
        <f>IF(Q29&gt;=91,"A",IF(Q29&gt;=81,"B+",IF(Q29&gt;=70,"B",IF(Q29&gt;=65,"C+",IF(Q29&gt;=60,"C",IF(Q29&gt;=55,"D+",IF(Q29&gt;=50,"D","F")))))))</f>
      </c>
      <c r="T29" s="42">
        <v>82</v>
      </c>
      <c r="U29" s="40">
        <f>IF(T29&gt;=91, 4.00, IF(T29&gt;=81, 3.50, IF(T29&gt;=70, 3.00, IF(T29&gt;=65, 2.50, IF(T29&gt;=60, 2.00, IF(T29&gt;=55, 1.50, IF(T29&gt;=50, 1.00, 0.00)))))))</f>
      </c>
      <c r="V29" s="40">
        <f>IF(T29&gt;=91,"A",IF(T29&gt;=81,"B+",IF(T29&gt;=70,"B",IF(T29&gt;=65,"C+",IF(T29&gt;=60,"C",IF(T29&gt;=55,"D+",IF(T29&gt;=50,"D","F")))))))</f>
      </c>
      <c r="W29" s="42">
        <v>70</v>
      </c>
      <c r="X29" s="40">
        <f>IF(W29&gt;=91, 4.00, IF(W29&gt;=81, 3.50, IF(W29&gt;=70, 3.00, IF(W29&gt;=65, 2.50, IF(W29&gt;=60, 2.00, IF(W29&gt;=55, 1.50, IF(W29&gt;=50, 1.00, 0.00)))))))</f>
      </c>
      <c r="Y29" s="40">
        <f>IF(W29&gt;=91,"A",IF(W29&gt;=81,"B+",IF(W29&gt;=70,"B",IF(W29&gt;=65,"C+",IF(W29&gt;=60,"C",IF(W29&gt;=55,"D+",IF(W29&gt;=50,"D","F")))))))</f>
      </c>
      <c r="Z29" s="40">
        <v>87.45</v>
      </c>
      <c r="AA29" s="40">
        <f>IF(Z29&gt;=91, 4.00, IF(Z29&gt;=81, 3.50, IF(Z29&gt;=70, 3.00, IF(Z29&gt;=65, 2.50, IF(Z29&gt;=60, 2.00, IF(Z29&gt;=55, 1.50, IF(Z29&gt;=50, 1.00, 0.00)))))))</f>
      </c>
      <c r="AB29" s="40">
        <f>IF(Z29&gt;=91,"A",IF(Z29&gt;=81,"B+",IF(Z29&gt;=70,"B",IF(Z29&gt;=65,"C+",IF(Z29&gt;=60,"C",IF(Z29&gt;=55,"D+",IF(Z29&gt;=50,"D","F")))))))</f>
      </c>
      <c r="AC29" s="73">
        <v>58</v>
      </c>
      <c r="AD29" s="40">
        <f>IF(AC29&gt;=91, 4.00, IF(AC29&gt;=81, 3.50, IF(AC29&gt;=70, 3.00, IF(AC29&gt;=65, 2.50, IF(AC29&gt;=60, 2.00, IF(AC29&gt;=55, 1.50, IF(AC29&gt;=50, 1.00, 0.00)))))))</f>
      </c>
      <c r="AE29" s="40">
        <f>IF(AC29&gt;=91,"A",IF(AC29&gt;=81,"B+",IF(AC29&gt;=70,"B",IF(AC29&gt;=65,"C+",IF(AC29&gt;=60,"C",IF(AC29&gt;=55,"D+",IF(AC29&gt;=50,"D","F")))))))</f>
      </c>
      <c r="AF29" s="40">
        <v>77</v>
      </c>
      <c r="AG29" s="40">
        <f>IF(AF29&gt;=91, 4.00, IF(AF29&gt;=81, 3.50, IF(AF29&gt;=70, 3.00, IF(AF29&gt;=65, 2.50, IF(AF29&gt;=60, 2.00, IF(AF29&gt;=55, 1.50, IF(AF29&gt;=50, 1.00, 0.00)))))))</f>
      </c>
      <c r="AH29" s="40">
        <f>IF(AF29&gt;=91,"A",IF(AF29&gt;=81,"B+",IF(AF29&gt;=70,"B",IF(AF29&gt;=65,"C+",IF(AF29&gt;=60,"C",IF(AF29&gt;=55,"D+",IF(AF29&gt;=50,"D","F")))))))</f>
      </c>
      <c r="AI29" s="40">
        <v>103</v>
      </c>
      <c r="AJ29" s="40">
        <f>IF(AI29&gt;=91, 4.00, IF(AI29&gt;=81, 3.50, IF(AI29&gt;=70, 3.00, IF(AI29&gt;=65, 2.50, IF(AI29&gt;=60, 2.00, IF(AI29&gt;=55, 1.50, IF(AI29&gt;=50, 1.00, 0.00)))))))</f>
      </c>
      <c r="AK29" s="40">
        <f>IF(AI29&gt;=91,"A",IF(AI29&gt;=81,"B+",IF(AI29&gt;=70,"B",IF(AI29&gt;=65,"C+",IF(AI29&gt;=60,"C",IF(AI29&gt;=55,"D+",IF(AI29&gt;=50,"D","F")))))))</f>
      </c>
      <c r="AL29" s="40">
        <f>ROUND((L29*3+O29*2+R29*1+U29*2+X29*1+AA29*2+AD29*2+AG29*2+AJ29*2)/17, 2)</f>
      </c>
      <c r="AM29" s="52">
        <v>75</v>
      </c>
      <c r="AN29" s="40">
        <f>IF(AM29&gt;=91, 4.00, IF(AM29&gt;=81, 3.50, IF(AM29&gt;=70, 3.00, IF(AM29&gt;=65, 2.50, IF(AM29&gt;=60, 2.00, IF(AM29&gt;=55, 1.50, IF(AM29&gt;=50, 1.00, 0.00)))))))</f>
      </c>
      <c r="AO29" s="65">
        <f>IF(AM29&gt;=91,"A",IF(AM29&gt;=81,"B+",IF(AM29&gt;=70,"B",IF(AM29&gt;=65,"C+",IF(AM29&gt;=60,"C",IF(AM29&gt;=55,"D+",IF(AM29&gt;=50,"D","F")))))))</f>
      </c>
      <c r="AP29" s="40" t="s">
        <v>43</v>
      </c>
      <c r="AQ29" s="42">
        <f>IF(AP29&gt;=91, 4.00, IF(AP29&gt;=81, 3.50, IF(AP29&gt;=70, 3.00, IF(AP29&gt;=65, 2.50, IF(AP29&gt;=60, 2.00, IF(AP29&gt;=55, 1.50, IF(AP29&gt;=50, 1.00, 0.00)))))))</f>
      </c>
      <c r="AR29" s="42">
        <f>IF(AP29&gt;=91,"A",IF(AP29&gt;=81,"B+",IF(AP29&gt;=70,"B",IF(AP29&gt;=65,"C+",IF(AP29&gt;=60,"C",IF(AP29&gt;=55,"D+",IF(AP29&gt;=50,"D","F")))))))</f>
      </c>
      <c r="AS29" s="43" t="s">
        <v>178</v>
      </c>
      <c r="AT29" s="43">
        <f>IF(AS29&gt;=91, 4.00, IF(AS29&gt;=81, 3.50, IF(AS29&gt;=70, 3.00, IF(AS29&gt;=65, 2.50, IF(AS29&gt;=60, 2.00, IF(AS29&gt;=55, 1.50, IF(AS29&gt;=50, 1.00, 0.00)))))))</f>
      </c>
      <c r="AU29" s="44">
        <f>IF(AS29&gt;=91,"A",IF(AS29&gt;=81,"B+",IF(AS29&gt;=70,"B",IF(AS29&gt;=65,"C+",IF(AS29&gt;=60,"C",IF(AS29&gt;=55,"D+",IF(AS29&gt;=50,"D","F")))))))</f>
      </c>
      <c r="AV29" s="45" t="s">
        <v>49</v>
      </c>
      <c r="AW29" s="40">
        <f>IF(AV29&gt;=91, 4.00, IF(AV29&gt;=81, 3.50, IF(AV29&gt;=70, 3.00, IF(AV29&gt;=65, 2.50, IF(AV29&gt;=60, 2.00, IF(AV29&gt;=55, 1.50, IF(AV29&gt;=50, 1.00, 0.00)))))))</f>
      </c>
      <c r="AX29" s="49">
        <f>IF(AV29&gt;=91,"A",IF(AV29&gt;=81,"B+",IF(AV29&gt;=70,"B",IF(AV29&gt;=65,"C+",IF(AV29&gt;=60,"C",IF(AV29&gt;=55,"D+",IF(AV29&gt;=50,"D","F")))))))</f>
      </c>
      <c r="AY29" s="40" t="str">
        <f>IF(AW29&gt;90,"A",IF(AW29&gt;80,"B+",IF(AW29&gt;69,"B",IF(AW29&gt;64,"C+",IF(AW29&gt;59,"C",IF(AW29&gt;54,"D+",IF(AW29&gt;49,"D",IF(AW29&gt;=0,"F"))))))))</f>
        <v>B+</v>
      </c>
      <c r="AZ29" s="49">
        <f>IF(AY29&gt;=91, 4.00, IF(AY29&gt;=81, 3.50, IF(AY29&gt;=70, 3.00, IF(AY29&gt;=65, 2.50, IF(AY29&gt;=60, 2.00, IF(AY29&gt;=55, 1.50, IF(AY29&gt;=50, 1.00, 0.00)))))))</f>
      </c>
      <c r="BA29" s="49">
        <f>IF(AY29&gt;=91,"A",IF(AY29&gt;=81,"B+",IF(AY29&gt;=70,"B",IF(AY29&gt;=65,"C+",IF(AY29&gt;=60,"C",IF(AY29&gt;=55,"D+",IF(AY29&gt;=50,"D","F")))))))</f>
      </c>
      <c r="BB29" s="40" t="str">
        <f>IF(AZ29&gt;90,"A",IF(AZ29&gt;80,"B+",IF(AZ29&gt;69,"B",IF(AZ29&gt;64,"C+",IF(AZ29&gt;59,"C",IF(AZ29&gt;54,"D+",IF(AZ29&gt;49,"D",IF(AZ29&gt;=0,"F"))))))))</f>
        <v>B+</v>
      </c>
      <c r="BC29" s="49">
        <f>IF(BB29&gt;=91, 4.00, IF(BB29&gt;=81, 3.50, IF(BB29&gt;=70, 3.00, IF(BB29&gt;=65, 2.50, IF(BB29&gt;=60, 2.00, IF(BB29&gt;=55, 1.50, IF(BB29&gt;=50, 1.00, 0.00)))))))</f>
      </c>
      <c r="BD29" s="49">
        <f>IF(BB29&gt;=91,"A",IF(BB29&gt;=81,"B+",IF(BB29&gt;=70,"B",IF(BB29&gt;=65,"C+",IF(BB29&gt;=60,"C",IF(BB29&gt;=55,"D+",IF(BB29&gt;=50,"D","F")))))))</f>
      </c>
      <c r="BE29" s="40" t="str">
        <f>IF(BC29&gt;90,"A",IF(BC29&gt;80,"B+",IF(BC29&gt;69,"B",IF(BC29&gt;64,"C+",IF(BC29&gt;59,"C",IF(BC29&gt;54,"D+",IF(BC29&gt;49,"D",IF(BC29&gt;=0,"F"))))))))</f>
        <v>A</v>
      </c>
      <c r="BF29" s="49">
        <f>IF(BE29&gt;=91, 4.00, IF(BE29&gt;=81, 3.50, IF(BE29&gt;=70, 3.00, IF(BE29&gt;=65, 2.50, IF(BE29&gt;=60, 2.00, IF(BE29&gt;=55, 1.50, IF(BE29&gt;=50, 1.00, 0.00)))))))</f>
      </c>
      <c r="BG29" s="49">
        <f>IF(BE29&gt;=91,"A",IF(BE29&gt;=81,"B+",IF(BE29&gt;=70,"B",IF(BE29&gt;=65,"C+",IF(BE29&gt;=60,"C",IF(BE29&gt;=55,"D+",IF(BE29&gt;=50,"D","F")))))))</f>
      </c>
      <c r="BH29" s="40" t="str">
        <f>IF(BF29&gt;90,"A",IF(BF29&gt;80,"B+",IF(BF29&gt;69,"B",IF(BF29&gt;64,"C+",IF(BF29&gt;59,"C",IF(BF29&gt;54,"D+",IF(BF29&gt;49,"D",IF(BF29&gt;=0,"F"))))))))</f>
        <v>B+</v>
      </c>
      <c r="BI29" s="49">
        <f>IF(BH29&gt;=91, 4.00, IF(BH29&gt;=81, 3.50, IF(BH29&gt;=70, 3.00, IF(BH29&gt;=65, 2.50, IF(BH29&gt;=60, 2.00, IF(BH29&gt;=55, 1.50, IF(BH29&gt;=50, 1.00, 0.00)))))))</f>
      </c>
      <c r="BJ29" s="49">
        <f>IF(BH29&gt;=91,"A",IF(BH29&gt;=81,"B+",IF(BH29&gt;=70,"B",IF(BH29&gt;=65,"C+",IF(BH29&gt;=60,"C",IF(BH29&gt;=55,"D+",IF(BH29&gt;=50,"D","F")))))))</f>
      </c>
      <c r="BK29" s="40" t="str">
        <f>IF(BI29&gt;90,"A",IF(BI29&gt;80,"B+",IF(BI29&gt;69,"B",IF(BI29&gt;64,"C+",IF(BI29&gt;59,"C",IF(BI29&gt;54,"D+",IF(BI29&gt;49,"D",IF(BI29&gt;=0,"F"))))))))</f>
        <v>A</v>
      </c>
      <c r="BL29" s="49">
        <f>IF(BK29&gt;=91, 4.00, IF(BK29&gt;=81, 3.50, IF(BK29&gt;=70, 3.00, IF(BK29&gt;=65, 2.50, IF(BK29&gt;=60, 2.00, IF(BK29&gt;=55, 1.50, IF(BK29&gt;=50, 1.00, 0.00)))))))</f>
      </c>
      <c r="BM29" s="49">
        <f>IF(BK29&gt;=91,"A",IF(BK29&gt;=81,"B+",IF(BK29&gt;=70,"B",IF(BK29&gt;=65,"C+",IF(BK29&gt;=60,"C",IF(BK29&gt;=55,"D+",IF(BK29&gt;=50,"D","F")))))))</f>
      </c>
      <c r="BN29" s="40" t="str">
        <f>IF(BL29&gt;90,"A",IF(BL29&gt;80,"B+",IF(BL29&gt;69,"B",IF(BL29&gt;64,"C+",IF(BL29&gt;59,"C",IF(BL29&gt;54,"D+",IF(BL29&gt;49,"D",IF(BL29&gt;=0,"F"))))))))</f>
        <v>A</v>
      </c>
      <c r="BO29" s="49">
        <f>IF(BN29&gt;=91, 4.00, IF(BN29&gt;=81, 3.50, IF(BN29&gt;=70, 3.00, IF(BN29&gt;=65, 2.50, IF(BN29&gt;=60, 2.00, IF(BN29&gt;=55, 1.50, IF(BN29&gt;=50, 1.00, 0.00)))))))</f>
      </c>
      <c r="BP29" s="49">
        <f>IF(BN29&gt;=91,"A",IF(BN29&gt;=81,"B+",IF(BN29&gt;=70,"B",IF(BN29&gt;=65,"C+",IF(BN29&gt;=60,"C",IF(BN29&gt;=55,"D+",IF(BN29&gt;=50,"D","F")))))))</f>
      </c>
      <c r="BQ29" s="40">
        <f>ROUND((AN29*3+AQ29*2+AT29*1+AW29*2+AZ29*1+BC29*1+BF29*2+BI29*2+BL29*2+BO29*3)/19, 2)</f>
      </c>
      <c r="BR29" s="49">
        <v>61</v>
      </c>
      <c r="BS29" s="49" t="str">
        <f>IF(BR29&gt;90,"4.00",IF(BR29&gt;80,"3.50",IF(BR29&gt;69,"3.00",IF(BR29&gt;64,"2.50",IF(BR29&gt;59,"2.00",IF(BR29&gt;54,"1.50",IF(BR29&gt;49,"1.00","0.00")))))))</f>
        <v>2.00</v>
      </c>
      <c r="BT29" s="40" t="str">
        <f>IF(BR29&gt;90,"A",IF(BR29&gt;80,"B+",IF(BR29&gt;69,"B",IF(BR29&gt;64,"C+",IF(BR29&gt;59,"C",IF(BR29&gt;54,"D+",IF(BR29&gt;49,"D",IF(BR29&gt;=0,"F"))))))))</f>
        <v>C</v>
      </c>
      <c r="BU29" s="49">
        <v>62</v>
      </c>
      <c r="BV29" s="49" t="str">
        <f>IF(BU29&gt;90,"4.00",IF(BU29&gt;80,"3.50",IF(BU29&gt;69,"3.00",IF(BU29&gt;64,"2.50",IF(BU29&gt;59,"2.00",IF(BU29&gt;54,"1.50",IF(BU29&gt;49,"1.00","0.00")))))))</f>
        <v>2.00</v>
      </c>
      <c r="BW29" s="40" t="str">
        <f>IF(BU29&gt;90,"A",IF(BU29&gt;80,"B+",IF(BU29&gt;69,"B",IF(BU29&gt;64,"C+",IF(BU29&gt;59,"C",IF(BU29&gt;54,"D+",IF(BU29&gt;49,"D",IF(BU29&gt;=0,"F"))))))))</f>
        <v>C</v>
      </c>
      <c r="BX29" s="50">
        <f>(AX29*3+BA29*2+BD29*1+BG29*2+BJ29*1+BM29*1+BP29*2+BS29*2+BV29*2)/(3+2+1+2+1+1+2+2+2)</f>
        <v>3.15625</v>
      </c>
      <c r="BY29" s="50">
        <f>(AL29+BX29)/2</f>
        <v>3.078125</v>
      </c>
      <c r="BZ29" s="51">
        <f>RANK(BY29,$BY$7:BY62)</f>
        <v>10</v>
      </c>
      <c r="CA29" s="67"/>
      <c r="CB29" s="52"/>
      <c r="CC29" s="52"/>
      <c r="CD29" s="52"/>
    </row>
    <row r="30" ht="20" customHeight="1" spans="1:82" s="53" customFormat="1" x14ac:dyDescent="0.25">
      <c r="A30" s="40">
        <v>24</v>
      </c>
      <c r="B30" s="65" t="s">
        <v>181</v>
      </c>
      <c r="C30" s="40" t="s">
        <v>51</v>
      </c>
      <c r="D30" s="42" t="s">
        <v>182</v>
      </c>
      <c r="E30" s="42" t="s">
        <v>183</v>
      </c>
      <c r="F30" s="43" t="s">
        <v>184</v>
      </c>
      <c r="G30" s="43" t="s">
        <v>185</v>
      </c>
      <c r="H30" s="44" t="s">
        <v>186</v>
      </c>
      <c r="I30" s="42"/>
      <c r="J30" s="40">
        <v>1</v>
      </c>
      <c r="K30" s="75">
        <v>33</v>
      </c>
      <c r="L30" s="56">
        <f>IF(K30&gt;=91, 4.00, IF(K30&gt;=81, 3.50, IF(K30&gt;=70, 3.00, IF(K30&gt;=65, 2.50, IF(K30&gt;=60, 2.00, IF(K30&gt;=55, 1.50, IF(K30&gt;=50, 1.00, 0.00)))))))</f>
      </c>
      <c r="M30" s="57">
        <f>IF(K30&gt;=91,"A",IF(K30&gt;=81,"B+",IF(K30&gt;=70,"B",IF(K30&gt;=65,"C+",IF(K30&gt;=60,"C",IF(K30&gt;=55,"D+",IF(K30&gt;=50,"D","F")))))))</f>
      </c>
      <c r="N30" s="40">
        <v>59</v>
      </c>
      <c r="O30" s="40">
        <f>IF(N30&gt;=91, 4.00, IF(N30&gt;=81, 3.50, IF(N30&gt;=70, 3.00, IF(N30&gt;=65, 2.50, IF(N30&gt;=60, 2.00, IF(N30&gt;=55, 1.50, IF(N30&gt;=50, 1.00, 0.00)))))))</f>
      </c>
      <c r="P30" s="40">
        <f>IF(N30&gt;=91,"A",IF(N30&gt;=81,"B+",IF(N30&gt;=70,"B",IF(N30&gt;=65,"C+",IF(N30&gt;=60,"C",IF(N30&gt;=55,"D+",IF(N30&gt;=50,"D","F")))))))</f>
      </c>
      <c r="Q30" s="42">
        <v>62</v>
      </c>
      <c r="R30" s="40">
        <f>IF(Q30&gt;=91, 4.00, IF(Q30&gt;=81, 3.50, IF(Q30&gt;=70, 3.00, IF(Q30&gt;=65, 2.50, IF(Q30&gt;=60, 2.00, IF(Q30&gt;=55, 1.50, IF(Q30&gt;=50, 1.00, 0.00)))))))</f>
      </c>
      <c r="S30" s="40">
        <f>IF(Q30&gt;=91,"A",IF(Q30&gt;=81,"B+",IF(Q30&gt;=70,"B",IF(Q30&gt;=65,"C+",IF(Q30&gt;=60,"C",IF(Q30&gt;=55,"D+",IF(Q30&gt;=50,"D","F")))))))</f>
      </c>
      <c r="T30" s="75">
        <v>43</v>
      </c>
      <c r="U30" s="56">
        <f>IF(T30&gt;=91, 4.00, IF(T30&gt;=81, 3.50, IF(T30&gt;=70, 3.00, IF(T30&gt;=65, 2.50, IF(T30&gt;=60, 2.00, IF(T30&gt;=55, 1.50, IF(T30&gt;=50, 1.00, 0.00)))))))</f>
      </c>
      <c r="V30" s="57">
        <f>IF(T30&gt;=91,"A",IF(T30&gt;=81,"B+",IF(T30&gt;=70,"B",IF(T30&gt;=65,"C+",IF(T30&gt;=60,"C",IF(T30&gt;=55,"D+",IF(T30&gt;=50,"D","F")))))))</f>
      </c>
      <c r="W30" s="75">
        <v>23</v>
      </c>
      <c r="X30" s="56">
        <f>IF(W30&gt;=91, 4.00, IF(W30&gt;=81, 3.50, IF(W30&gt;=70, 3.00, IF(W30&gt;=65, 2.50, IF(W30&gt;=60, 2.00, IF(W30&gt;=55, 1.50, IF(W30&gt;=50, 1.00, 0.00)))))))</f>
      </c>
      <c r="Y30" s="57">
        <f>IF(W30&gt;=91,"A",IF(W30&gt;=81,"B+",IF(W30&gt;=70,"B",IF(W30&gt;=65,"C+",IF(W30&gt;=60,"C",IF(W30&gt;=55,"D+",IF(W30&gt;=50,"D","F")))))))</f>
      </c>
      <c r="Z30" s="40">
        <v>86.14</v>
      </c>
      <c r="AA30" s="40">
        <f>IF(Z30&gt;=91, 4.00, IF(Z30&gt;=81, 3.50, IF(Z30&gt;=70, 3.00, IF(Z30&gt;=65, 2.50, IF(Z30&gt;=60, 2.00, IF(Z30&gt;=55, 1.50, IF(Z30&gt;=50, 1.00, 0.00)))))))</f>
      </c>
      <c r="AB30" s="40">
        <f>IF(Z30&gt;=91,"A",IF(Z30&gt;=81,"B+",IF(Z30&gt;=70,"B",IF(Z30&gt;=65,"C+",IF(Z30&gt;=60,"C",IF(Z30&gt;=55,"D+",IF(Z30&gt;=50,"D","F")))))))</f>
      </c>
      <c r="AC30" s="73">
        <v>52</v>
      </c>
      <c r="AD30" s="40">
        <f>IF(AC30&gt;=91, 4.00, IF(AC30&gt;=81, 3.50, IF(AC30&gt;=70, 3.00, IF(AC30&gt;=65, 2.50, IF(AC30&gt;=60, 2.00, IF(AC30&gt;=55, 1.50, IF(AC30&gt;=50, 1.00, 0.00)))))))</f>
      </c>
      <c r="AE30" s="40">
        <f>IF(AC30&gt;=91,"A",IF(AC30&gt;=81,"B+",IF(AC30&gt;=70,"B",IF(AC30&gt;=65,"C+",IF(AC30&gt;=60,"C",IF(AC30&gt;=55,"D+",IF(AC30&gt;=50,"D","F")))))))</f>
      </c>
      <c r="AF30" s="40">
        <v>75</v>
      </c>
      <c r="AG30" s="40">
        <f>IF(AF30&gt;=91, 4.00, IF(AF30&gt;=81, 3.50, IF(AF30&gt;=70, 3.00, IF(AF30&gt;=65, 2.50, IF(AF30&gt;=60, 2.00, IF(AF30&gt;=55, 1.50, IF(AF30&gt;=50, 1.00, 0.00)))))))</f>
      </c>
      <c r="AH30" s="40">
        <f>IF(AF30&gt;=91,"A",IF(AF30&gt;=81,"B+",IF(AF30&gt;=70,"B",IF(AF30&gt;=65,"C+",IF(AF30&gt;=60,"C",IF(AF30&gt;=55,"D+",IF(AF30&gt;=50,"D","F")))))))</f>
      </c>
      <c r="AI30" s="40">
        <v>104</v>
      </c>
      <c r="AJ30" s="40">
        <f>IF(AI30&gt;=91, 4.00, IF(AI30&gt;=81, 3.50, IF(AI30&gt;=70, 3.00, IF(AI30&gt;=65, 2.50, IF(AI30&gt;=60, 2.00, IF(AI30&gt;=55, 1.50, IF(AI30&gt;=50, 1.00, 0.00)))))))</f>
      </c>
      <c r="AK30" s="40">
        <f>IF(AI30&gt;=91,"A",IF(AI30&gt;=81,"B+",IF(AI30&gt;=70,"B",IF(AI30&gt;=65,"C+",IF(AI30&gt;=60,"C",IF(AI30&gt;=55,"D+",IF(AI30&gt;=50,"D","F")))))))</f>
      </c>
      <c r="AL30" s="40">
        <f>ROUND((L30*3+O30*2+R30*1+U30*2+X30*1+AA30*2+AD30*2+AG30*2+AJ30*2)/17, 2)</f>
      </c>
      <c r="AM30" s="52">
        <v>78</v>
      </c>
      <c r="AN30" s="40">
        <f>IF(AM30&gt;=91, 4.00, IF(AM30&gt;=81, 3.50, IF(AM30&gt;=70, 3.00, IF(AM30&gt;=65, 2.50, IF(AM30&gt;=60, 2.00, IF(AM30&gt;=55, 1.50, IF(AM30&gt;=50, 1.00, 0.00)))))))</f>
      </c>
      <c r="AO30" s="65">
        <f>IF(AM30&gt;=91,"A",IF(AM30&gt;=81,"B+",IF(AM30&gt;=70,"B",IF(AM30&gt;=65,"C+",IF(AM30&gt;=60,"C",IF(AM30&gt;=55,"D+",IF(AM30&gt;=50,"D","F")))))))</f>
      </c>
      <c r="AP30" s="40" t="s">
        <v>51</v>
      </c>
      <c r="AQ30" s="42">
        <f>IF(AP30&gt;=91, 4.00, IF(AP30&gt;=81, 3.50, IF(AP30&gt;=70, 3.00, IF(AP30&gt;=65, 2.50, IF(AP30&gt;=60, 2.00, IF(AP30&gt;=55, 1.50, IF(AP30&gt;=50, 1.00, 0.00)))))))</f>
      </c>
      <c r="AR30" s="42">
        <f>IF(AP30&gt;=91,"A",IF(AP30&gt;=81,"B+",IF(AP30&gt;=70,"B",IF(AP30&gt;=65,"C+",IF(AP30&gt;=60,"C",IF(AP30&gt;=55,"D+",IF(AP30&gt;=50,"D","F")))))))</f>
      </c>
      <c r="AS30" s="43" t="s">
        <v>184</v>
      </c>
      <c r="AT30" s="43">
        <f>IF(AS30&gt;=91, 4.00, IF(AS30&gt;=81, 3.50, IF(AS30&gt;=70, 3.00, IF(AS30&gt;=65, 2.50, IF(AS30&gt;=60, 2.00, IF(AS30&gt;=55, 1.50, IF(AS30&gt;=50, 1.00, 0.00)))))))</f>
      </c>
      <c r="AU30" s="44">
        <f>IF(AS30&gt;=91,"A",IF(AS30&gt;=81,"B+",IF(AS30&gt;=70,"B",IF(AS30&gt;=65,"C+",IF(AS30&gt;=60,"C",IF(AS30&gt;=55,"D+",IF(AS30&gt;=50,"D","F")))))))</f>
      </c>
      <c r="AV30" s="42">
        <v>87</v>
      </c>
      <c r="AW30" s="60">
        <f>IF(AV30&gt;=91, 4.00, IF(AV30&gt;=81, 3.50, IF(AV30&gt;=70, 3.00, IF(AV30&gt;=65, 2.50, IF(AV30&gt;=60, 2.00, IF(AV30&gt;=55, 1.50, IF(AV30&gt;=50, 1.00, 0.00)))))))</f>
      </c>
      <c r="AX30" s="60">
        <f>IF(AV30&gt;=91,"A",IF(AV30&gt;=81,"B+",IF(AV30&gt;=70,"B",IF(AV30&gt;=65,"C+",IF(AV30&gt;=60,"C",IF(AV30&gt;=55,"D+",IF(AV30&gt;=50,"D","F")))))))</f>
      </c>
      <c r="AY30" s="60" t="str">
        <f>IF(AW30&gt;90,"A",IF(AW30&gt;80,"B+",IF(AW30&gt;69,"B",IF(AW30&gt;64,"C+",IF(AW30&gt;59,"C",IF(AW30&gt;54,"D+",IF(AW30&gt;49,"D",IF(AW30&gt;=0,"F"))))))))</f>
        <v>F</v>
      </c>
      <c r="AZ30" s="60">
        <f>IF(AY30&gt;=91, 4.00, IF(AY30&gt;=81, 3.50, IF(AY30&gt;=70, 3.00, IF(AY30&gt;=65, 2.50, IF(AY30&gt;=60, 2.00, IF(AY30&gt;=55, 1.50, IF(AY30&gt;=50, 1.00, 0.00)))))))</f>
      </c>
      <c r="BA30" s="60">
        <f>IF(AY30&gt;=91,"A",IF(AY30&gt;=81,"B+",IF(AY30&gt;=70,"B",IF(AY30&gt;=65,"C+",IF(AY30&gt;=60,"C",IF(AY30&gt;=55,"D+",IF(AY30&gt;=50,"D","F")))))))</f>
      </c>
      <c r="BB30" s="60" t="str">
        <f>IF(AZ30&gt;90,"A",IF(AZ30&gt;80,"B+",IF(AZ30&gt;69,"B",IF(AZ30&gt;64,"C+",IF(AZ30&gt;59,"C",IF(AZ30&gt;54,"D+",IF(AZ30&gt;49,"D",IF(AZ30&gt;=0,"F"))))))))</f>
        <v>F</v>
      </c>
      <c r="BC30" s="60">
        <f>IF(BB30&gt;=91, 4.00, IF(BB30&gt;=81, 3.50, IF(BB30&gt;=70, 3.00, IF(BB30&gt;=65, 2.50, IF(BB30&gt;=60, 2.00, IF(BB30&gt;=55, 1.50, IF(BB30&gt;=50, 1.00, 0.00)))))))</f>
      </c>
      <c r="BD30" s="60">
        <f>IF(BB30&gt;=91,"A",IF(BB30&gt;=81,"B+",IF(BB30&gt;=70,"B",IF(BB30&gt;=65,"C+",IF(BB30&gt;=60,"C",IF(BB30&gt;=55,"D+",IF(BB30&gt;=50,"D","F")))))))</f>
      </c>
      <c r="BE30" s="60" t="str">
        <f>IF(BC30&gt;90,"A",IF(BC30&gt;80,"B+",IF(BC30&gt;69,"B",IF(BC30&gt;64,"C+",IF(BC30&gt;59,"C",IF(BC30&gt;54,"D+",IF(BC30&gt;49,"D",IF(BC30&gt;=0,"F"))))))))</f>
        <v>F</v>
      </c>
      <c r="BF30" s="60">
        <f>IF(BE30&gt;=91, 4.00, IF(BE30&gt;=81, 3.50, IF(BE30&gt;=70, 3.00, IF(BE30&gt;=65, 2.50, IF(BE30&gt;=60, 2.00, IF(BE30&gt;=55, 1.50, IF(BE30&gt;=50, 1.00, 0.00)))))))</f>
      </c>
      <c r="BG30" s="60">
        <f>IF(BE30&gt;=91,"A",IF(BE30&gt;=81,"B+",IF(BE30&gt;=70,"B",IF(BE30&gt;=65,"C+",IF(BE30&gt;=60,"C",IF(BE30&gt;=55,"D+",IF(BE30&gt;=50,"D","F")))))))</f>
      </c>
      <c r="BH30" s="60" t="str">
        <f>IF(BF30&gt;90,"A",IF(BF30&gt;80,"B+",IF(BF30&gt;69,"B",IF(BF30&gt;64,"C+",IF(BF30&gt;59,"C",IF(BF30&gt;54,"D+",IF(BF30&gt;49,"D",IF(BF30&gt;=0,"F"))))))))</f>
        <v>F</v>
      </c>
      <c r="BI30" s="60">
        <f>IF(BH30&gt;=91, 4.00, IF(BH30&gt;=81, 3.50, IF(BH30&gt;=70, 3.00, IF(BH30&gt;=65, 2.50, IF(BH30&gt;=60, 2.00, IF(BH30&gt;=55, 1.50, IF(BH30&gt;=50, 1.00, 0.00)))))))</f>
      </c>
      <c r="BJ30" s="60">
        <f>IF(BH30&gt;=91,"A",IF(BH30&gt;=81,"B+",IF(BH30&gt;=70,"B",IF(BH30&gt;=65,"C+",IF(BH30&gt;=60,"C",IF(BH30&gt;=55,"D+",IF(BH30&gt;=50,"D","F")))))))</f>
      </c>
      <c r="BK30" s="60" t="str">
        <f>IF(BI30&gt;90,"A",IF(BI30&gt;80,"B+",IF(BI30&gt;69,"B",IF(BI30&gt;64,"C+",IF(BI30&gt;59,"C",IF(BI30&gt;54,"D+",IF(BI30&gt;49,"D",IF(BI30&gt;=0,"F"))))))))</f>
        <v>F</v>
      </c>
      <c r="BL30" s="60">
        <f>IF(BK30&gt;=91, 4.00, IF(BK30&gt;=81, 3.50, IF(BK30&gt;=70, 3.00, IF(BK30&gt;=65, 2.50, IF(BK30&gt;=60, 2.00, IF(BK30&gt;=55, 1.50, IF(BK30&gt;=50, 1.00, 0.00)))))))</f>
      </c>
      <c r="BM30" s="60">
        <f>IF(BK30&gt;=91,"A",IF(BK30&gt;=81,"B+",IF(BK30&gt;=70,"B",IF(BK30&gt;=65,"C+",IF(BK30&gt;=60,"C",IF(BK30&gt;=55,"D+",IF(BK30&gt;=50,"D","F")))))))</f>
      </c>
      <c r="BN30" s="60" t="str">
        <f>IF(BL30&gt;90,"A",IF(BL30&gt;80,"B+",IF(BL30&gt;69,"B",IF(BL30&gt;64,"C+",IF(BL30&gt;59,"C",IF(BL30&gt;54,"D+",IF(BL30&gt;49,"D",IF(BL30&gt;=0,"F"))))))))</f>
        <v>F</v>
      </c>
      <c r="BO30" s="49">
        <f>IF(BN30&gt;=91, 4.00, IF(BN30&gt;=81, 3.50, IF(BN30&gt;=70, 3.00, IF(BN30&gt;=65, 2.50, IF(BN30&gt;=60, 2.00, IF(BN30&gt;=55, 1.50, IF(BN30&gt;=50, 1.00, 0.00)))))))</f>
      </c>
      <c r="BP30" s="49">
        <f>IF(BN30&gt;=91,"A",IF(BN30&gt;=81,"B+",IF(BN30&gt;=70,"B",IF(BN30&gt;=65,"C+",IF(BN30&gt;=60,"C",IF(BN30&gt;=55,"D+",IF(BN30&gt;=50,"D","F")))))))</f>
      </c>
      <c r="BQ30" s="40">
        <f>ROUND((AN30*3+AQ30*2+AT30*1+AW30*2+AZ30*1+BC30*1+BF30*2+BI30*2+BL30*2+BO30*3)/19, 2)</f>
      </c>
      <c r="BR30" s="62"/>
      <c r="BS30" s="62" t="str">
        <f>IF(BR30&gt;90,"4.00",IF(BR30&gt;80,"3.50",IF(BR30&gt;69,"3.00",IF(BR30&gt;64,"2.50",IF(BR30&gt;59,"2.00",IF(BR30&gt;54,"1.50",IF(BR30&gt;49,"1.00","0.00")))))))</f>
        <v>0.00</v>
      </c>
      <c r="BT30" s="63" t="str">
        <f>IF(BR30&gt;90,"A",IF(BR30&gt;80,"B+",IF(BR30&gt;69,"B",IF(BR30&gt;64,"C+",IF(BR30&gt;59,"C",IF(BR30&gt;54,"D+",IF(BR30&gt;49,"D",IF(BR30&gt;=0,"F"))))))))</f>
        <v>F</v>
      </c>
      <c r="BU30" s="62"/>
      <c r="BV30" s="62" t="str">
        <f>IF(BU30&gt;90,"4.00",IF(BU30&gt;80,"3.50",IF(BU30&gt;69,"3.00",IF(BU30&gt;64,"2.50",IF(BU30&gt;59,"2.00",IF(BU30&gt;54,"1.50",IF(BU30&gt;49,"1.00","0.00")))))))</f>
        <v>0.00</v>
      </c>
      <c r="BW30" s="63" t="str">
        <f>IF(BU30&gt;90,"A",IF(BU30&gt;80,"B+",IF(BU30&gt;69,"B",IF(BU30&gt;64,"C+",IF(BU30&gt;59,"C",IF(BU30&gt;54,"D+",IF(BU30&gt;49,"D",IF(BU30&gt;=0,"F"))))))))</f>
        <v>F</v>
      </c>
      <c r="BX30" s="50">
        <f>(AX30*3+BA30*2+BD30*1+BG30*2+BJ30*1+BM30*1+BP30*2+BS30*2+BV30*2)/(3+2+1+2+1+1+2+2+2)</f>
        <v>0</v>
      </c>
      <c r="BY30" s="50">
        <f>(AL30+BX30)/2</f>
        <v>0.7205882352941176</v>
      </c>
      <c r="BZ30" s="51">
        <f>RANK(BY30,$BY$7:BY63)</f>
        <v>29</v>
      </c>
      <c r="CA30" s="76"/>
      <c r="CB30" s="52"/>
      <c r="CC30" s="52"/>
      <c r="CD30" s="52"/>
    </row>
    <row r="31" ht="20" customHeight="1" spans="1:82" s="53" customFormat="1" x14ac:dyDescent="0.25">
      <c r="A31" s="40">
        <v>25</v>
      </c>
      <c r="B31" s="65" t="s">
        <v>187</v>
      </c>
      <c r="C31" s="40" t="s">
        <v>51</v>
      </c>
      <c r="D31" s="42" t="s">
        <v>188</v>
      </c>
      <c r="E31" s="42" t="s">
        <v>189</v>
      </c>
      <c r="F31" s="43" t="s">
        <v>190</v>
      </c>
      <c r="G31" s="43" t="s">
        <v>191</v>
      </c>
      <c r="H31" s="64">
        <v>38995</v>
      </c>
      <c r="I31" s="45" t="s">
        <v>49</v>
      </c>
      <c r="J31" s="40">
        <v>1</v>
      </c>
      <c r="K31" s="42">
        <v>73</v>
      </c>
      <c r="L31" s="40">
        <f>IF(K31&gt;=91, 4.00, IF(K31&gt;=81, 3.50, IF(K31&gt;=70, 3.00, IF(K31&gt;=65, 2.50, IF(K31&gt;=60, 2.00, IF(K31&gt;=55, 1.50, IF(K31&gt;=50, 1.00, 0.00)))))))</f>
      </c>
      <c r="M31" s="40">
        <f>IF(K31&gt;=91,"A",IF(K31&gt;=81,"B+",IF(K31&gt;=70,"B",IF(K31&gt;=65,"C+",IF(K31&gt;=60,"C",IF(K31&gt;=55,"D+",IF(K31&gt;=50,"D","F")))))))</f>
      </c>
      <c r="N31" s="40">
        <v>93</v>
      </c>
      <c r="O31" s="40">
        <f>IF(N31&gt;=91, 4.00, IF(N31&gt;=81, 3.50, IF(N31&gt;=70, 3.00, IF(N31&gt;=65, 2.50, IF(N31&gt;=60, 2.00, IF(N31&gt;=55, 1.50, IF(N31&gt;=50, 1.00, 0.00)))))))</f>
      </c>
      <c r="P31" s="40">
        <f>IF(N31&gt;=91,"A",IF(N31&gt;=81,"B+",IF(N31&gt;=70,"B",IF(N31&gt;=65,"C+",IF(N31&gt;=60,"C",IF(N31&gt;=55,"D+",IF(N31&gt;=50,"D","F")))))))</f>
      </c>
      <c r="Q31" s="42">
        <v>88</v>
      </c>
      <c r="R31" s="40">
        <f>IF(Q31&gt;=91, 4.00, IF(Q31&gt;=81, 3.50, IF(Q31&gt;=70, 3.00, IF(Q31&gt;=65, 2.50, IF(Q31&gt;=60, 2.00, IF(Q31&gt;=55, 1.50, IF(Q31&gt;=50, 1.00, 0.00)))))))</f>
      </c>
      <c r="S31" s="40">
        <f>IF(Q31&gt;=91,"A",IF(Q31&gt;=81,"B+",IF(Q31&gt;=70,"B",IF(Q31&gt;=65,"C+",IF(Q31&gt;=60,"C",IF(Q31&gt;=55,"D+",IF(Q31&gt;=50,"D","F")))))))</f>
      </c>
      <c r="T31" s="42">
        <v>59</v>
      </c>
      <c r="U31" s="40">
        <f>IF(T31&gt;=91, 4.00, IF(T31&gt;=81, 3.50, IF(T31&gt;=70, 3.00, IF(T31&gt;=65, 2.50, IF(T31&gt;=60, 2.00, IF(T31&gt;=55, 1.50, IF(T31&gt;=50, 1.00, 0.00)))))))</f>
      </c>
      <c r="V31" s="40">
        <f>IF(T31&gt;=91,"A",IF(T31&gt;=81,"B+",IF(T31&gt;=70,"B",IF(T31&gt;=65,"C+",IF(T31&gt;=60,"C",IF(T31&gt;=55,"D+",IF(T31&gt;=50,"D","F")))))))</f>
      </c>
      <c r="W31" s="42">
        <v>63</v>
      </c>
      <c r="X31" s="40">
        <f>IF(W31&gt;=91, 4.00, IF(W31&gt;=81, 3.50, IF(W31&gt;=70, 3.00, IF(W31&gt;=65, 2.50, IF(W31&gt;=60, 2.00, IF(W31&gt;=55, 1.50, IF(W31&gt;=50, 1.00, 0.00)))))))</f>
      </c>
      <c r="Y31" s="40">
        <f>IF(W31&gt;=91,"A",IF(W31&gt;=81,"B+",IF(W31&gt;=70,"B",IF(W31&gt;=65,"C+",IF(W31&gt;=60,"C",IF(W31&gt;=55,"D+",IF(W31&gt;=50,"D","F")))))))</f>
      </c>
      <c r="Z31" s="40">
        <v>89.95</v>
      </c>
      <c r="AA31" s="40">
        <f>IF(Z31&gt;=91, 4.00, IF(Z31&gt;=81, 3.50, IF(Z31&gt;=70, 3.00, IF(Z31&gt;=65, 2.50, IF(Z31&gt;=60, 2.00, IF(Z31&gt;=55, 1.50, IF(Z31&gt;=50, 1.00, 0.00)))))))</f>
      </c>
      <c r="AB31" s="40">
        <f>IF(Z31&gt;=91,"A",IF(Z31&gt;=81,"B+",IF(Z31&gt;=70,"B",IF(Z31&gt;=65,"C+",IF(Z31&gt;=60,"C",IF(Z31&gt;=55,"D+",IF(Z31&gt;=50,"D","F")))))))</f>
      </c>
      <c r="AC31" s="73">
        <v>85</v>
      </c>
      <c r="AD31" s="40">
        <f>IF(AC31&gt;=91, 4.00, IF(AC31&gt;=81, 3.50, IF(AC31&gt;=70, 3.00, IF(AC31&gt;=65, 2.50, IF(AC31&gt;=60, 2.00, IF(AC31&gt;=55, 1.50, IF(AC31&gt;=50, 1.00, 0.00)))))))</f>
      </c>
      <c r="AE31" s="40">
        <f>IF(AC31&gt;=91,"A",IF(AC31&gt;=81,"B+",IF(AC31&gt;=70,"B",IF(AC31&gt;=65,"C+",IF(AC31&gt;=60,"C",IF(AC31&gt;=55,"D+",IF(AC31&gt;=50,"D","F")))))))</f>
      </c>
      <c r="AF31" s="40">
        <v>70</v>
      </c>
      <c r="AG31" s="40">
        <f>IF(AF31&gt;=91, 4.00, IF(AF31&gt;=81, 3.50, IF(AF31&gt;=70, 3.00, IF(AF31&gt;=65, 2.50, IF(AF31&gt;=60, 2.00, IF(AF31&gt;=55, 1.50, IF(AF31&gt;=50, 1.00, 0.00)))))))</f>
      </c>
      <c r="AH31" s="40">
        <f>IF(AF31&gt;=91,"A",IF(AF31&gt;=81,"B+",IF(AF31&gt;=70,"B",IF(AF31&gt;=65,"C+",IF(AF31&gt;=60,"C",IF(AF31&gt;=55,"D+",IF(AF31&gt;=50,"D","F")))))))</f>
      </c>
      <c r="AI31" s="40">
        <v>105</v>
      </c>
      <c r="AJ31" s="40">
        <f>IF(AI31&gt;=91, 4.00, IF(AI31&gt;=81, 3.50, IF(AI31&gt;=70, 3.00, IF(AI31&gt;=65, 2.50, IF(AI31&gt;=60, 2.00, IF(AI31&gt;=55, 1.50, IF(AI31&gt;=50, 1.00, 0.00)))))))</f>
      </c>
      <c r="AK31" s="40">
        <f>IF(AI31&gt;=91,"A",IF(AI31&gt;=81,"B+",IF(AI31&gt;=70,"B",IF(AI31&gt;=65,"C+",IF(AI31&gt;=60,"C",IF(AI31&gt;=55,"D+",IF(AI31&gt;=50,"D","F")))))))</f>
      </c>
      <c r="AL31" s="40">
        <f>ROUND((L31*3+O31*2+R31*1+U31*2+X31*1+AA31*2+AD31*2+AG31*2+AJ31*2)/17, 2)</f>
      </c>
      <c r="AM31" s="52">
        <v>81</v>
      </c>
      <c r="AN31" s="40">
        <f>IF(AM31&gt;=91, 4.00, IF(AM31&gt;=81, 3.50, IF(AM31&gt;=70, 3.00, IF(AM31&gt;=65, 2.50, IF(AM31&gt;=60, 2.00, IF(AM31&gt;=55, 1.50, IF(AM31&gt;=50, 1.00, 0.00)))))))</f>
      </c>
      <c r="AO31" s="65">
        <f>IF(AM31&gt;=91,"A",IF(AM31&gt;=81,"B+",IF(AM31&gt;=70,"B",IF(AM31&gt;=65,"C+",IF(AM31&gt;=60,"C",IF(AM31&gt;=55,"D+",IF(AM31&gt;=50,"D","F")))))))</f>
      </c>
      <c r="AP31" s="40" t="s">
        <v>51</v>
      </c>
      <c r="AQ31" s="42">
        <f>IF(AP31&gt;=91, 4.00, IF(AP31&gt;=81, 3.50, IF(AP31&gt;=70, 3.00, IF(AP31&gt;=65, 2.50, IF(AP31&gt;=60, 2.00, IF(AP31&gt;=55, 1.50, IF(AP31&gt;=50, 1.00, 0.00)))))))</f>
      </c>
      <c r="AR31" s="42">
        <f>IF(AP31&gt;=91,"A",IF(AP31&gt;=81,"B+",IF(AP31&gt;=70,"B",IF(AP31&gt;=65,"C+",IF(AP31&gt;=60,"C",IF(AP31&gt;=55,"D+",IF(AP31&gt;=50,"D","F")))))))</f>
      </c>
      <c r="AS31" s="43" t="s">
        <v>190</v>
      </c>
      <c r="AT31" s="43">
        <f>IF(AS31&gt;=91, 4.00, IF(AS31&gt;=81, 3.50, IF(AS31&gt;=70, 3.00, IF(AS31&gt;=65, 2.50, IF(AS31&gt;=60, 2.00, IF(AS31&gt;=55, 1.50, IF(AS31&gt;=50, 1.00, 0.00)))))))</f>
      </c>
      <c r="AU31" s="64">
        <f>IF(AS31&gt;=91,"A",IF(AS31&gt;=81,"B+",IF(AS31&gt;=70,"B",IF(AS31&gt;=65,"C+",IF(AS31&gt;=60,"C",IF(AS31&gt;=55,"D+",IF(AS31&gt;=50,"D","F")))))))</f>
      </c>
      <c r="AV31" s="45" t="s">
        <v>49</v>
      </c>
      <c r="AW31" s="49">
        <f>IF(AV31&gt;=91, 4.00, IF(AV31&gt;=81, 3.50, IF(AV31&gt;=70, 3.00, IF(AV31&gt;=65, 2.50, IF(AV31&gt;=60, 2.00, IF(AV31&gt;=55, 1.50, IF(AV31&gt;=50, 1.00, 0.00)))))))</f>
      </c>
      <c r="AX31" s="49">
        <f>IF(AV31&gt;=91,"A",IF(AV31&gt;=81,"B+",IF(AV31&gt;=70,"B",IF(AV31&gt;=65,"C+",IF(AV31&gt;=60,"C",IF(AV31&gt;=55,"D+",IF(AV31&gt;=50,"D","F")))))))</f>
      </c>
      <c r="AY31" s="40" t="str">
        <f>IF(AW31&gt;90,"A",IF(AW31&gt;80,"B+",IF(AW31&gt;69,"B",IF(AW31&gt;64,"C+",IF(AW31&gt;59,"C",IF(AW31&gt;54,"D+",IF(AW31&gt;49,"D",IF(AW31&gt;=0,"F"))))))))</f>
        <v>B+</v>
      </c>
      <c r="AZ31" s="49">
        <f>IF(AY31&gt;=91, 4.00, IF(AY31&gt;=81, 3.50, IF(AY31&gt;=70, 3.00, IF(AY31&gt;=65, 2.50, IF(AY31&gt;=60, 2.00, IF(AY31&gt;=55, 1.50, IF(AY31&gt;=50, 1.00, 0.00)))))))</f>
      </c>
      <c r="BA31" s="49">
        <f>IF(AY31&gt;=91,"A",IF(AY31&gt;=81,"B+",IF(AY31&gt;=70,"B",IF(AY31&gt;=65,"C+",IF(AY31&gt;=60,"C",IF(AY31&gt;=55,"D+",IF(AY31&gt;=50,"D","F")))))))</f>
      </c>
      <c r="BB31" s="40" t="str">
        <f>IF(AZ31&gt;90,"A",IF(AZ31&gt;80,"B+",IF(AZ31&gt;69,"B",IF(AZ31&gt;64,"C+",IF(AZ31&gt;59,"C",IF(AZ31&gt;54,"D+",IF(AZ31&gt;49,"D",IF(AZ31&gt;=0,"F"))))))))</f>
        <v>A</v>
      </c>
      <c r="BC31" s="49">
        <f>IF(BB31&gt;=91, 4.00, IF(BB31&gt;=81, 3.50, IF(BB31&gt;=70, 3.00, IF(BB31&gt;=65, 2.50, IF(BB31&gt;=60, 2.00, IF(BB31&gt;=55, 1.50, IF(BB31&gt;=50, 1.00, 0.00)))))))</f>
      </c>
      <c r="BD31" s="49">
        <f>IF(BB31&gt;=91,"A",IF(BB31&gt;=81,"B+",IF(BB31&gt;=70,"B",IF(BB31&gt;=65,"C+",IF(BB31&gt;=60,"C",IF(BB31&gt;=55,"D+",IF(BB31&gt;=50,"D","F")))))))</f>
      </c>
      <c r="BE31" s="40" t="str">
        <f>IF(BC31&gt;90,"A",IF(BC31&gt;80,"B+",IF(BC31&gt;69,"B",IF(BC31&gt;64,"C+",IF(BC31&gt;59,"C",IF(BC31&gt;54,"D+",IF(BC31&gt;49,"D",IF(BC31&gt;=0,"F"))))))))</f>
        <v>A</v>
      </c>
      <c r="BF31" s="49">
        <f>IF(BE31&gt;=91, 4.00, IF(BE31&gt;=81, 3.50, IF(BE31&gt;=70, 3.00, IF(BE31&gt;=65, 2.50, IF(BE31&gt;=60, 2.00, IF(BE31&gt;=55, 1.50, IF(BE31&gt;=50, 1.00, 0.00)))))))</f>
      </c>
      <c r="BG31" s="49">
        <f>IF(BE31&gt;=91,"A",IF(BE31&gt;=81,"B+",IF(BE31&gt;=70,"B",IF(BE31&gt;=65,"C+",IF(BE31&gt;=60,"C",IF(BE31&gt;=55,"D+",IF(BE31&gt;=50,"D","F")))))))</f>
      </c>
      <c r="BH31" s="40" t="str">
        <f>IF(BF31&gt;90,"A",IF(BF31&gt;80,"B+",IF(BF31&gt;69,"B",IF(BF31&gt;64,"C+",IF(BF31&gt;59,"C",IF(BF31&gt;54,"D+",IF(BF31&gt;49,"D",IF(BF31&gt;=0,"F"))))))))</f>
        <v>A</v>
      </c>
      <c r="BI31" s="49">
        <f>IF(BH31&gt;=91, 4.00, IF(BH31&gt;=81, 3.50, IF(BH31&gt;=70, 3.00, IF(BH31&gt;=65, 2.50, IF(BH31&gt;=60, 2.00, IF(BH31&gt;=55, 1.50, IF(BH31&gt;=50, 1.00, 0.00)))))))</f>
      </c>
      <c r="BJ31" s="49">
        <f>IF(BH31&gt;=91,"A",IF(BH31&gt;=81,"B+",IF(BH31&gt;=70,"B",IF(BH31&gt;=65,"C+",IF(BH31&gt;=60,"C",IF(BH31&gt;=55,"D+",IF(BH31&gt;=50,"D","F")))))))</f>
      </c>
      <c r="BK31" s="40" t="str">
        <f>IF(BI31&gt;90,"A",IF(BI31&gt;80,"B+",IF(BI31&gt;69,"B",IF(BI31&gt;64,"C+",IF(BI31&gt;59,"C",IF(BI31&gt;54,"D+",IF(BI31&gt;49,"D",IF(BI31&gt;=0,"F"))))))))</f>
        <v>A</v>
      </c>
      <c r="BL31" s="49">
        <f>IF(BK31&gt;=91, 4.00, IF(BK31&gt;=81, 3.50, IF(BK31&gt;=70, 3.00, IF(BK31&gt;=65, 2.50, IF(BK31&gt;=60, 2.00, IF(BK31&gt;=55, 1.50, IF(BK31&gt;=50, 1.00, 0.00)))))))</f>
      </c>
      <c r="BM31" s="49">
        <f>IF(BK31&gt;=91,"A",IF(BK31&gt;=81,"B+",IF(BK31&gt;=70,"B",IF(BK31&gt;=65,"C+",IF(BK31&gt;=60,"C",IF(BK31&gt;=55,"D+",IF(BK31&gt;=50,"D","F")))))))</f>
      </c>
      <c r="BN31" s="40" t="str">
        <f>IF(BL31&gt;90,"A",IF(BL31&gt;80,"B+",IF(BL31&gt;69,"B",IF(BL31&gt;64,"C+",IF(BL31&gt;59,"C",IF(BL31&gt;54,"D+",IF(BL31&gt;49,"D",IF(BL31&gt;=0,"F"))))))))</f>
        <v>A</v>
      </c>
      <c r="BO31" s="49">
        <f>IF(BN31&gt;=91, 4.00, IF(BN31&gt;=81, 3.50, IF(BN31&gt;=70, 3.00, IF(BN31&gt;=65, 2.50, IF(BN31&gt;=60, 2.00, IF(BN31&gt;=55, 1.50, IF(BN31&gt;=50, 1.00, 0.00)))))))</f>
      </c>
      <c r="BP31" s="49">
        <f>IF(BN31&gt;=91,"A",IF(BN31&gt;=81,"B+",IF(BN31&gt;=70,"B",IF(BN31&gt;=65,"C+",IF(BN31&gt;=60,"C",IF(BN31&gt;=55,"D+",IF(BN31&gt;=50,"D","F")))))))</f>
      </c>
      <c r="BQ31" s="40">
        <f>ROUND((AN31*3+AQ31*2+AT31*1+AW31*2+AZ31*1+BC31*1+BF31*2+BI31*2+BL31*2+BO31*3)/19, 2)</f>
      </c>
      <c r="BR31" s="49">
        <v>86</v>
      </c>
      <c r="BS31" s="49" t="str">
        <f>IF(BR31&gt;90,"4.00",IF(BR31&gt;80,"3.50",IF(BR31&gt;69,"3.00",IF(BR31&gt;64,"2.50",IF(BR31&gt;59,"2.00",IF(BR31&gt;54,"1.50",IF(BR31&gt;49,"1.00","0.00")))))))</f>
        <v>3.50</v>
      </c>
      <c r="BT31" s="40" t="str">
        <f>IF(BR31&gt;90,"A",IF(BR31&gt;80,"B+",IF(BR31&gt;69,"B",IF(BR31&gt;64,"C+",IF(BR31&gt;59,"C",IF(BR31&gt;54,"D+",IF(BR31&gt;49,"D",IF(BR31&gt;=0,"F"))))))))</f>
        <v>B+</v>
      </c>
      <c r="BU31" s="49">
        <v>75</v>
      </c>
      <c r="BV31" s="49" t="str">
        <f>IF(BU31&gt;90,"4.00",IF(BU31&gt;80,"3.50",IF(BU31&gt;69,"3.00",IF(BU31&gt;64,"2.50",IF(BU31&gt;59,"2.00",IF(BU31&gt;54,"1.50",IF(BU31&gt;49,"1.00","0.00")))))))</f>
        <v>3.00</v>
      </c>
      <c r="BW31" s="40" t="str">
        <f>IF(BU31&gt;90,"A",IF(BU31&gt;80,"B+",IF(BU31&gt;69,"B",IF(BU31&gt;64,"C+",IF(BU31&gt;59,"C",IF(BU31&gt;54,"D+",IF(BU31&gt;49,"D",IF(BU31&gt;=0,"F"))))))))</f>
        <v>B</v>
      </c>
      <c r="BX31" s="50">
        <f>(AX31*3+BA31*2+BD31*1+BG31*2+BJ31*1+BM31*1+BP31*2+BS31*2+BV31*2)/(3+2+1+2+1+1+2+2+2)</f>
        <v>3.59375</v>
      </c>
      <c r="BY31" s="50">
        <f>(AL31+BX31)/2</f>
        <v>3.2674632352941178</v>
      </c>
      <c r="BZ31" s="51">
        <f>RANK(BY31,$BY$7:BY64)</f>
        <v>8</v>
      </c>
      <c r="CA31" s="67"/>
      <c r="CB31" s="52"/>
      <c r="CC31" s="52"/>
      <c r="CD31" s="52"/>
    </row>
    <row r="32" ht="20" customHeight="1" spans="1:82" s="53" customFormat="1" x14ac:dyDescent="0.25">
      <c r="A32" s="40">
        <v>26</v>
      </c>
      <c r="B32" s="65" t="s">
        <v>192</v>
      </c>
      <c r="C32" s="40" t="s">
        <v>43</v>
      </c>
      <c r="D32" s="42" t="s">
        <v>193</v>
      </c>
      <c r="E32" s="42" t="s">
        <v>194</v>
      </c>
      <c r="F32" s="43" t="s">
        <v>195</v>
      </c>
      <c r="G32" s="43" t="s">
        <v>196</v>
      </c>
      <c r="H32" s="44" t="s">
        <v>197</v>
      </c>
      <c r="I32" s="45" t="s">
        <v>49</v>
      </c>
      <c r="J32" s="40">
        <v>1</v>
      </c>
      <c r="K32" s="75">
        <v>40</v>
      </c>
      <c r="L32" s="56">
        <f>IF(K32&gt;=91, 4.00, IF(K32&gt;=81, 3.50, IF(K32&gt;=70, 3.00, IF(K32&gt;=65, 2.50, IF(K32&gt;=60, 2.00, IF(K32&gt;=55, 1.50, IF(K32&gt;=50, 1.00, 0.00)))))))</f>
      </c>
      <c r="M32" s="57">
        <f>IF(K32&gt;=91,"A",IF(K32&gt;=81,"B+",IF(K32&gt;=70,"B",IF(K32&gt;=65,"C+",IF(K32&gt;=60,"C",IF(K32&gt;=55,"D+",IF(K32&gt;=50,"D","F")))))))</f>
      </c>
      <c r="N32" s="40">
        <v>63</v>
      </c>
      <c r="O32" s="40">
        <f>IF(N32&gt;=91, 4.00, IF(N32&gt;=81, 3.50, IF(N32&gt;=70, 3.00, IF(N32&gt;=65, 2.50, IF(N32&gt;=60, 2.00, IF(N32&gt;=55, 1.50, IF(N32&gt;=50, 1.00, 0.00)))))))</f>
      </c>
      <c r="P32" s="40">
        <f>IF(N32&gt;=91,"A",IF(N32&gt;=81,"B+",IF(N32&gt;=70,"B",IF(N32&gt;=65,"C+",IF(N32&gt;=60,"C",IF(N32&gt;=55,"D+",IF(N32&gt;=50,"D","F")))))))</f>
      </c>
      <c r="Q32" s="42">
        <v>77</v>
      </c>
      <c r="R32" s="40">
        <f>IF(Q32&gt;=91, 4.00, IF(Q32&gt;=81, 3.50, IF(Q32&gt;=70, 3.00, IF(Q32&gt;=65, 2.50, IF(Q32&gt;=60, 2.00, IF(Q32&gt;=55, 1.50, IF(Q32&gt;=50, 1.00, 0.00)))))))</f>
      </c>
      <c r="S32" s="40">
        <f>IF(Q32&gt;=91,"A",IF(Q32&gt;=81,"B+",IF(Q32&gt;=70,"B",IF(Q32&gt;=65,"C+",IF(Q32&gt;=60,"C",IF(Q32&gt;=55,"D+",IF(Q32&gt;=50,"D","F")))))))</f>
      </c>
      <c r="T32" s="42">
        <v>51</v>
      </c>
      <c r="U32" s="40">
        <f>IF(T32&gt;=91, 4.00, IF(T32&gt;=81, 3.50, IF(T32&gt;=70, 3.00, IF(T32&gt;=65, 2.50, IF(T32&gt;=60, 2.00, IF(T32&gt;=55, 1.50, IF(T32&gt;=50, 1.00, 0.00)))))))</f>
      </c>
      <c r="V32" s="40">
        <f>IF(T32&gt;=91,"A",IF(T32&gt;=81,"B+",IF(T32&gt;=70,"B",IF(T32&gt;=65,"C+",IF(T32&gt;=60,"C",IF(T32&gt;=55,"D+",IF(T32&gt;=50,"D","F")))))))</f>
      </c>
      <c r="W32" s="75">
        <v>30</v>
      </c>
      <c r="X32" s="56">
        <f>IF(W32&gt;=91, 4.00, IF(W32&gt;=81, 3.50, IF(W32&gt;=70, 3.00, IF(W32&gt;=65, 2.50, IF(W32&gt;=60, 2.00, IF(W32&gt;=55, 1.50, IF(W32&gt;=50, 1.00, 0.00)))))))</f>
      </c>
      <c r="Y32" s="57">
        <f>IF(W32&gt;=91,"A",IF(W32&gt;=81,"B+",IF(W32&gt;=70,"B",IF(W32&gt;=65,"C+",IF(W32&gt;=60,"C",IF(W32&gt;=55,"D+",IF(W32&gt;=50,"D","F")))))))</f>
      </c>
      <c r="Z32" s="40">
        <v>91</v>
      </c>
      <c r="AA32" s="40">
        <f>IF(Z32&gt;=91, 4.00, IF(Z32&gt;=81, 3.50, IF(Z32&gt;=70, 3.00, IF(Z32&gt;=65, 2.50, IF(Z32&gt;=60, 2.00, IF(Z32&gt;=55, 1.50, IF(Z32&gt;=50, 1.00, 0.00)))))))</f>
      </c>
      <c r="AB32" s="40">
        <f>IF(Z32&gt;=91,"A",IF(Z32&gt;=81,"B+",IF(Z32&gt;=70,"B",IF(Z32&gt;=65,"C+",IF(Z32&gt;=60,"C",IF(Z32&gt;=55,"D+",IF(Z32&gt;=50,"D","F")))))))</f>
      </c>
      <c r="AC32" s="40">
        <v>79.5</v>
      </c>
      <c r="AD32" s="40">
        <f>IF(AC32&gt;=91, 4.00, IF(AC32&gt;=81, 3.50, IF(AC32&gt;=70, 3.00, IF(AC32&gt;=65, 2.50, IF(AC32&gt;=60, 2.00, IF(AC32&gt;=55, 1.50, IF(AC32&gt;=50, 1.00, 0.00)))))))</f>
      </c>
      <c r="AE32" s="40">
        <f>IF(AC32&gt;=91,"A",IF(AC32&gt;=81,"B+",IF(AC32&gt;=70,"B",IF(AC32&gt;=65,"C+",IF(AC32&gt;=60,"C",IF(AC32&gt;=55,"D+",IF(AC32&gt;=50,"D","F")))))))</f>
      </c>
      <c r="AF32" s="40">
        <v>65</v>
      </c>
      <c r="AG32" s="40">
        <f>IF(AF32&gt;=91, 4.00, IF(AF32&gt;=81, 3.50, IF(AF32&gt;=70, 3.00, IF(AF32&gt;=65, 2.50, IF(AF32&gt;=60, 2.00, IF(AF32&gt;=55, 1.50, IF(AF32&gt;=50, 1.00, 0.00)))))))</f>
      </c>
      <c r="AH32" s="40">
        <f>IF(AF32&gt;=91,"A",IF(AF32&gt;=81,"B+",IF(AF32&gt;=70,"B",IF(AF32&gt;=65,"C+",IF(AF32&gt;=60,"C",IF(AF32&gt;=55,"D+",IF(AF32&gt;=50,"D","F")))))))</f>
      </c>
      <c r="AI32" s="40">
        <v>106</v>
      </c>
      <c r="AJ32" s="40">
        <f>IF(AI32&gt;=91, 4.00, IF(AI32&gt;=81, 3.50, IF(AI32&gt;=70, 3.00, IF(AI32&gt;=65, 2.50, IF(AI32&gt;=60, 2.00, IF(AI32&gt;=55, 1.50, IF(AI32&gt;=50, 1.00, 0.00)))))))</f>
      </c>
      <c r="AK32" s="40">
        <f>IF(AI32&gt;=91,"A",IF(AI32&gt;=81,"B+",IF(AI32&gt;=70,"B",IF(AI32&gt;=65,"C+",IF(AI32&gt;=60,"C",IF(AI32&gt;=55,"D+",IF(AI32&gt;=50,"D","F")))))))</f>
      </c>
      <c r="AL32" s="40">
        <f>ROUND((L32*3+O32*2+R32*1+U32*2+X32*1+AA32*2+AD32*2+AG32*2+AJ32*2)/17, 2)</f>
      </c>
      <c r="AM32" s="52">
        <v>84</v>
      </c>
      <c r="AN32" s="40">
        <f>IF(AM32&gt;=91, 4.00, IF(AM32&gt;=81, 3.50, IF(AM32&gt;=70, 3.00, IF(AM32&gt;=65, 2.50, IF(AM32&gt;=60, 2.00, IF(AM32&gt;=55, 1.50, IF(AM32&gt;=50, 1.00, 0.00)))))))</f>
      </c>
      <c r="AO32" s="65">
        <f>IF(AM32&gt;=91,"A",IF(AM32&gt;=81,"B+",IF(AM32&gt;=70,"B",IF(AM32&gt;=65,"C+",IF(AM32&gt;=60,"C",IF(AM32&gt;=55,"D+",IF(AM32&gt;=50,"D","F")))))))</f>
      </c>
      <c r="AP32" s="40" t="s">
        <v>43</v>
      </c>
      <c r="AQ32" s="42">
        <f>IF(AP32&gt;=91, 4.00, IF(AP32&gt;=81, 3.50, IF(AP32&gt;=70, 3.00, IF(AP32&gt;=65, 2.50, IF(AP32&gt;=60, 2.00, IF(AP32&gt;=55, 1.50, IF(AP32&gt;=50, 1.00, 0.00)))))))</f>
      </c>
      <c r="AR32" s="42">
        <f>IF(AP32&gt;=91,"A",IF(AP32&gt;=81,"B+",IF(AP32&gt;=70,"B",IF(AP32&gt;=65,"C+",IF(AP32&gt;=60,"C",IF(AP32&gt;=55,"D+",IF(AP32&gt;=50,"D","F")))))))</f>
      </c>
      <c r="AS32" s="43" t="s">
        <v>195</v>
      </c>
      <c r="AT32" s="43">
        <f>IF(AS32&gt;=91, 4.00, IF(AS32&gt;=81, 3.50, IF(AS32&gt;=70, 3.00, IF(AS32&gt;=65, 2.50, IF(AS32&gt;=60, 2.00, IF(AS32&gt;=55, 1.50, IF(AS32&gt;=50, 1.00, 0.00)))))))</f>
      </c>
      <c r="AU32" s="44">
        <f>IF(AS32&gt;=91,"A",IF(AS32&gt;=81,"B+",IF(AS32&gt;=70,"B",IF(AS32&gt;=65,"C+",IF(AS32&gt;=60,"C",IF(AS32&gt;=55,"D+",IF(AS32&gt;=50,"D","F")))))))</f>
      </c>
      <c r="AV32" s="45" t="s">
        <v>49</v>
      </c>
      <c r="AW32" s="60">
        <f>IF(AV32&gt;=91, 4.00, IF(AV32&gt;=81, 3.50, IF(AV32&gt;=70, 3.00, IF(AV32&gt;=65, 2.50, IF(AV32&gt;=60, 2.00, IF(AV32&gt;=55, 1.50, IF(AV32&gt;=50, 1.00, 0.00)))))))</f>
      </c>
      <c r="AX32" s="60">
        <f>IF(AV32&gt;=91,"A",IF(AV32&gt;=81,"B+",IF(AV32&gt;=70,"B",IF(AV32&gt;=65,"C+",IF(AV32&gt;=60,"C",IF(AV32&gt;=55,"D+",IF(AV32&gt;=50,"D","F")))))))</f>
      </c>
      <c r="AY32" s="60" t="str">
        <f>IF(AW32&gt;90,"A",IF(AW32&gt;80,"B+",IF(AW32&gt;69,"B",IF(AW32&gt;64,"C+",IF(AW32&gt;59,"C",IF(AW32&gt;54,"D+",IF(AW32&gt;49,"D",IF(AW32&gt;=0,"F"))))))))</f>
        <v>F</v>
      </c>
      <c r="AZ32" s="60">
        <f>IF(AY32&gt;=91, 4.00, IF(AY32&gt;=81, 3.50, IF(AY32&gt;=70, 3.00, IF(AY32&gt;=65, 2.50, IF(AY32&gt;=60, 2.00, IF(AY32&gt;=55, 1.50, IF(AY32&gt;=50, 1.00, 0.00)))))))</f>
      </c>
      <c r="BA32" s="60">
        <f>IF(AY32&gt;=91,"A",IF(AY32&gt;=81,"B+",IF(AY32&gt;=70,"B",IF(AY32&gt;=65,"C+",IF(AY32&gt;=60,"C",IF(AY32&gt;=55,"D+",IF(AY32&gt;=50,"D","F")))))))</f>
      </c>
      <c r="BB32" s="60" t="str">
        <f>IF(AZ32&gt;90,"A",IF(AZ32&gt;80,"B+",IF(AZ32&gt;69,"B",IF(AZ32&gt;64,"C+",IF(AZ32&gt;59,"C",IF(AZ32&gt;54,"D+",IF(AZ32&gt;49,"D",IF(AZ32&gt;=0,"F"))))))))</f>
        <v>F</v>
      </c>
      <c r="BC32" s="60">
        <f>IF(BB32&gt;=91, 4.00, IF(BB32&gt;=81, 3.50, IF(BB32&gt;=70, 3.00, IF(BB32&gt;=65, 2.50, IF(BB32&gt;=60, 2.00, IF(BB32&gt;=55, 1.50, IF(BB32&gt;=50, 1.00, 0.00)))))))</f>
      </c>
      <c r="BD32" s="60">
        <f>IF(BB32&gt;=91,"A",IF(BB32&gt;=81,"B+",IF(BB32&gt;=70,"B",IF(BB32&gt;=65,"C+",IF(BB32&gt;=60,"C",IF(BB32&gt;=55,"D+",IF(BB32&gt;=50,"D","F")))))))</f>
      </c>
      <c r="BE32" s="60" t="str">
        <f>IF(BC32&gt;90,"A",IF(BC32&gt;80,"B+",IF(BC32&gt;69,"B",IF(BC32&gt;64,"C+",IF(BC32&gt;59,"C",IF(BC32&gt;54,"D+",IF(BC32&gt;49,"D",IF(BC32&gt;=0,"F"))))))))</f>
        <v>F</v>
      </c>
      <c r="BF32" s="60">
        <f>IF(BE32&gt;=91, 4.00, IF(BE32&gt;=81, 3.50, IF(BE32&gt;=70, 3.00, IF(BE32&gt;=65, 2.50, IF(BE32&gt;=60, 2.00, IF(BE32&gt;=55, 1.50, IF(BE32&gt;=50, 1.00, 0.00)))))))</f>
      </c>
      <c r="BG32" s="60">
        <f>IF(BE32&gt;=91,"A",IF(BE32&gt;=81,"B+",IF(BE32&gt;=70,"B",IF(BE32&gt;=65,"C+",IF(BE32&gt;=60,"C",IF(BE32&gt;=55,"D+",IF(BE32&gt;=50,"D","F")))))))</f>
      </c>
      <c r="BH32" s="60" t="str">
        <f>IF(BF32&gt;90,"A",IF(BF32&gt;80,"B+",IF(BF32&gt;69,"B",IF(BF32&gt;64,"C+",IF(BF32&gt;59,"C",IF(BF32&gt;54,"D+",IF(BF32&gt;49,"D",IF(BF32&gt;=0,"F"))))))))</f>
        <v>F</v>
      </c>
      <c r="BI32" s="49">
        <f>IF(BH32&gt;=91, 4.00, IF(BH32&gt;=81, 3.50, IF(BH32&gt;=70, 3.00, IF(BH32&gt;=65, 2.50, IF(BH32&gt;=60, 2.00, IF(BH32&gt;=55, 1.50, IF(BH32&gt;=50, 1.00, 0.00)))))))</f>
      </c>
      <c r="BJ32" s="49">
        <f>IF(BH32&gt;=91,"A",IF(BH32&gt;=81,"B+",IF(BH32&gt;=70,"B",IF(BH32&gt;=65,"C+",IF(BH32&gt;=60,"C",IF(BH32&gt;=55,"D+",IF(BH32&gt;=50,"D","F")))))))</f>
      </c>
      <c r="BK32" s="40" t="str">
        <f>IF(BI32&gt;90,"A",IF(BI32&gt;80,"B+",IF(BI32&gt;69,"B",IF(BI32&gt;64,"C+",IF(BI32&gt;59,"C",IF(BI32&gt;54,"D+",IF(BI32&gt;49,"D",IF(BI32&gt;=0,"F"))))))))</f>
        <v>D+</v>
      </c>
      <c r="BL32" s="49">
        <f>IF(BK32&gt;=91, 4.00, IF(BK32&gt;=81, 3.50, IF(BK32&gt;=70, 3.00, IF(BK32&gt;=65, 2.50, IF(BK32&gt;=60, 2.00, IF(BK32&gt;=55, 1.50, IF(BK32&gt;=50, 1.00, 0.00)))))))</f>
      </c>
      <c r="BM32" s="49">
        <f>IF(BK32&gt;=91,"A",IF(BK32&gt;=81,"B+",IF(BK32&gt;=70,"B",IF(BK32&gt;=65,"C+",IF(BK32&gt;=60,"C",IF(BK32&gt;=55,"D+",IF(BK32&gt;=50,"D","F")))))))</f>
      </c>
      <c r="BN32" s="40" t="str">
        <f>IF(BL32&gt;90,"A",IF(BL32&gt;80,"B+",IF(BL32&gt;69,"B",IF(BL32&gt;64,"C+",IF(BL32&gt;59,"C",IF(BL32&gt;54,"D+",IF(BL32&gt;49,"D",IF(BL32&gt;=0,"F"))))))))</f>
        <v>D</v>
      </c>
      <c r="BO32" s="49">
        <f>IF(BN32&gt;=91, 4.00, IF(BN32&gt;=81, 3.50, IF(BN32&gt;=70, 3.00, IF(BN32&gt;=65, 2.50, IF(BN32&gt;=60, 2.00, IF(BN32&gt;=55, 1.50, IF(BN32&gt;=50, 1.00, 0.00)))))))</f>
      </c>
      <c r="BP32" s="49">
        <f>IF(BN32&gt;=91,"A",IF(BN32&gt;=81,"B+",IF(BN32&gt;=70,"B",IF(BN32&gt;=65,"C+",IF(BN32&gt;=60,"C",IF(BN32&gt;=55,"D+",IF(BN32&gt;=50,"D","F")))))))</f>
      </c>
      <c r="BQ32" s="40">
        <f>ROUND((AN32*3+AQ32*2+AT32*1+AW32*2+AZ32*1+BC32*1+BF32*2+BI32*2+BL32*2+BO32*3)/19, 2)</f>
      </c>
      <c r="BR32" s="62">
        <v>48</v>
      </c>
      <c r="BS32" s="62" t="str">
        <f>IF(BR32&gt;90,"4.00",IF(BR32&gt;80,"3.50",IF(BR32&gt;69,"3.00",IF(BR32&gt;64,"2.50",IF(BR32&gt;59,"2.00",IF(BR32&gt;54,"1.50",IF(BR32&gt;49,"1.00","0.00")))))))</f>
        <v>0.00</v>
      </c>
      <c r="BT32" s="63" t="str">
        <f>IF(BR32&gt;90,"A",IF(BR32&gt;80,"B+",IF(BR32&gt;69,"B",IF(BR32&gt;64,"C+",IF(BR32&gt;59,"C",IF(BR32&gt;54,"D+",IF(BR32&gt;49,"D",IF(BR32&gt;=0,"F"))))))))</f>
        <v>F</v>
      </c>
      <c r="BU32" s="49">
        <v>63</v>
      </c>
      <c r="BV32" s="49" t="str">
        <f>IF(BU32&gt;90,"4.00",IF(BU32&gt;80,"3.50",IF(BU32&gt;69,"3.00",IF(BU32&gt;64,"2.50",IF(BU32&gt;59,"2.00",IF(BU32&gt;54,"1.50",IF(BU32&gt;49,"1.00","0.00")))))))</f>
        <v>2.00</v>
      </c>
      <c r="BW32" s="40" t="str">
        <f>IF(BU32&gt;90,"A",IF(BU32&gt;80,"B+",IF(BU32&gt;69,"B",IF(BU32&gt;64,"C+",IF(BU32&gt;59,"C",IF(BU32&gt;54,"D+",IF(BU32&gt;49,"D",IF(BU32&gt;=0,"F"))))))))</f>
        <v>C</v>
      </c>
      <c r="BX32" s="50">
        <f>(AX32*3+BA32*2+BD32*1+BG32*2+BJ32*1+BM32*1+BP32*2+BS32*2+BV32*2)/(3+2+1+2+1+1+2+2+2)</f>
        <v>0.65625</v>
      </c>
      <c r="BY32" s="50">
        <f>(AL32+BX32)/2</f>
        <v>1.2693014705882353</v>
      </c>
      <c r="BZ32" s="51">
        <f>RANK(BY32,$BY$7:BY65)</f>
        <v>24</v>
      </c>
      <c r="CA32" s="67"/>
      <c r="CB32" s="52"/>
      <c r="CC32" s="52"/>
      <c r="CD32" s="52"/>
    </row>
    <row r="33" ht="20" customHeight="1" spans="1:82" s="53" customFormat="1" x14ac:dyDescent="0.25">
      <c r="A33" s="40">
        <v>27</v>
      </c>
      <c r="B33" s="65" t="s">
        <v>198</v>
      </c>
      <c r="C33" s="40" t="s">
        <v>43</v>
      </c>
      <c r="D33" s="42" t="s">
        <v>199</v>
      </c>
      <c r="E33" s="42" t="s">
        <v>200</v>
      </c>
      <c r="F33" s="43" t="s">
        <v>201</v>
      </c>
      <c r="G33" s="43" t="s">
        <v>202</v>
      </c>
      <c r="H33" s="44" t="s">
        <v>197</v>
      </c>
      <c r="I33" s="45" t="s">
        <v>49</v>
      </c>
      <c r="J33" s="40">
        <v>1</v>
      </c>
      <c r="K33" s="75">
        <v>0</v>
      </c>
      <c r="L33" s="56">
        <f>IF(K33&gt;=91, 4.00, IF(K33&gt;=81, 3.50, IF(K33&gt;=70, 3.00, IF(K33&gt;=65, 2.50, IF(K33&gt;=60, 2.00, IF(K33&gt;=55, 1.50, IF(K33&gt;=50, 1.00, 0.00)))))))</f>
      </c>
      <c r="M33" s="57">
        <f>IF(K33&gt;=91,"A",IF(K33&gt;=81,"B+",IF(K33&gt;=70,"B",IF(K33&gt;=65,"C+",IF(K33&gt;=60,"C",IF(K33&gt;=55,"D+",IF(K33&gt;=50,"D","F")))))))</f>
      </c>
      <c r="N33" s="40">
        <v>66</v>
      </c>
      <c r="O33" s="40">
        <f>IF(N33&gt;=91, 4.00, IF(N33&gt;=81, 3.50, IF(N33&gt;=70, 3.00, IF(N33&gt;=65, 2.50, IF(N33&gt;=60, 2.00, IF(N33&gt;=55, 1.50, IF(N33&gt;=50, 1.00, 0.00)))))))</f>
      </c>
      <c r="P33" s="40">
        <f>IF(N33&gt;=91,"A",IF(N33&gt;=81,"B+",IF(N33&gt;=70,"B",IF(N33&gt;=65,"C+",IF(N33&gt;=60,"C",IF(N33&gt;=55,"D+",IF(N33&gt;=50,"D","F")))))))</f>
      </c>
      <c r="Q33" s="42">
        <v>82</v>
      </c>
      <c r="R33" s="40">
        <f>IF(Q33&gt;=91, 4.00, IF(Q33&gt;=81, 3.50, IF(Q33&gt;=70, 3.00, IF(Q33&gt;=65, 2.50, IF(Q33&gt;=60, 2.00, IF(Q33&gt;=55, 1.50, IF(Q33&gt;=50, 1.00, 0.00)))))))</f>
      </c>
      <c r="S33" s="40">
        <f>IF(Q33&gt;=91,"A",IF(Q33&gt;=81,"B+",IF(Q33&gt;=70,"B",IF(Q33&gt;=65,"C+",IF(Q33&gt;=60,"C",IF(Q33&gt;=55,"D+",IF(Q33&gt;=50,"D","F")))))))</f>
      </c>
      <c r="T33" s="42">
        <v>56</v>
      </c>
      <c r="U33" s="40">
        <f>IF(T33&gt;=91, 4.00, IF(T33&gt;=81, 3.50, IF(T33&gt;=70, 3.00, IF(T33&gt;=65, 2.50, IF(T33&gt;=60, 2.00, IF(T33&gt;=55, 1.50, IF(T33&gt;=50, 1.00, 0.00)))))))</f>
      </c>
      <c r="V33" s="40">
        <f>IF(T33&gt;=91,"A",IF(T33&gt;=81,"B+",IF(T33&gt;=70,"B",IF(T33&gt;=65,"C+",IF(T33&gt;=60,"C",IF(T33&gt;=55,"D+",IF(T33&gt;=50,"D","F")))))))</f>
      </c>
      <c r="W33" s="75">
        <v>0</v>
      </c>
      <c r="X33" s="56">
        <f>IF(W33&gt;=91, 4.00, IF(W33&gt;=81, 3.50, IF(W33&gt;=70, 3.00, IF(W33&gt;=65, 2.50, IF(W33&gt;=60, 2.00, IF(W33&gt;=55, 1.50, IF(W33&gt;=50, 1.00, 0.00)))))))</f>
      </c>
      <c r="Y33" s="57">
        <f>IF(W33&gt;=91,"A",IF(W33&gt;=81,"B+",IF(W33&gt;=70,"B",IF(W33&gt;=65,"C+",IF(W33&gt;=60,"C",IF(W33&gt;=55,"D+",IF(W33&gt;=50,"D","F")))))))</f>
      </c>
      <c r="Z33" s="40">
        <v>67.9</v>
      </c>
      <c r="AA33" s="40">
        <f>IF(Z33&gt;=91, 4.00, IF(Z33&gt;=81, 3.50, IF(Z33&gt;=70, 3.00, IF(Z33&gt;=65, 2.50, IF(Z33&gt;=60, 2.00, IF(Z33&gt;=55, 1.50, IF(Z33&gt;=50, 1.00, 0.00)))))))</f>
      </c>
      <c r="AB33" s="40">
        <f>IF(Z33&gt;=91,"A",IF(Z33&gt;=81,"B+",IF(Z33&gt;=70,"B",IF(Z33&gt;=65,"C+",IF(Z33&gt;=60,"C",IF(Z33&gt;=55,"D+",IF(Z33&gt;=50,"D","F")))))))</f>
      </c>
      <c r="AC33" s="40">
        <v>66.5</v>
      </c>
      <c r="AD33" s="40">
        <f>IF(AC33&gt;=91, 4.00, IF(AC33&gt;=81, 3.50, IF(AC33&gt;=70, 3.00, IF(AC33&gt;=65, 2.50, IF(AC33&gt;=60, 2.00, IF(AC33&gt;=55, 1.50, IF(AC33&gt;=50, 1.00, 0.00)))))))</f>
      </c>
      <c r="AE33" s="40">
        <f>IF(AC33&gt;=91,"A",IF(AC33&gt;=81,"B+",IF(AC33&gt;=70,"B",IF(AC33&gt;=65,"C+",IF(AC33&gt;=60,"C",IF(AC33&gt;=55,"D+",IF(AC33&gt;=50,"D","F")))))))</f>
      </c>
      <c r="AF33" s="40">
        <v>70</v>
      </c>
      <c r="AG33" s="40">
        <f>IF(AF33&gt;=91, 4.00, IF(AF33&gt;=81, 3.50, IF(AF33&gt;=70, 3.00, IF(AF33&gt;=65, 2.50, IF(AF33&gt;=60, 2.00, IF(AF33&gt;=55, 1.50, IF(AF33&gt;=50, 1.00, 0.00)))))))</f>
      </c>
      <c r="AH33" s="40">
        <f>IF(AF33&gt;=91,"A",IF(AF33&gt;=81,"B+",IF(AF33&gt;=70,"B",IF(AF33&gt;=65,"C+",IF(AF33&gt;=60,"C",IF(AF33&gt;=55,"D+",IF(AF33&gt;=50,"D","F")))))))</f>
      </c>
      <c r="AI33" s="40">
        <v>107</v>
      </c>
      <c r="AJ33" s="40">
        <f>IF(AI33&gt;=91, 4.00, IF(AI33&gt;=81, 3.50, IF(AI33&gt;=70, 3.00, IF(AI33&gt;=65, 2.50, IF(AI33&gt;=60, 2.00, IF(AI33&gt;=55, 1.50, IF(AI33&gt;=50, 1.00, 0.00)))))))</f>
      </c>
      <c r="AK33" s="40">
        <f>IF(AI33&gt;=91,"A",IF(AI33&gt;=81,"B+",IF(AI33&gt;=70,"B",IF(AI33&gt;=65,"C+",IF(AI33&gt;=60,"C",IF(AI33&gt;=55,"D+",IF(AI33&gt;=50,"D","F")))))))</f>
      </c>
      <c r="AL33" s="40">
        <f>ROUND((L33*3+O33*2+R33*1+U33*2+X33*1+AA33*2+AD33*2+AG33*2+AJ33*2)/17, 2)</f>
      </c>
      <c r="AM33" s="52">
        <v>87</v>
      </c>
      <c r="AN33" s="40">
        <f>IF(AM33&gt;=91, 4.00, IF(AM33&gt;=81, 3.50, IF(AM33&gt;=70, 3.00, IF(AM33&gt;=65, 2.50, IF(AM33&gt;=60, 2.00, IF(AM33&gt;=55, 1.50, IF(AM33&gt;=50, 1.00, 0.00)))))))</f>
      </c>
      <c r="AO33" s="65">
        <f>IF(AM33&gt;=91,"A",IF(AM33&gt;=81,"B+",IF(AM33&gt;=70,"B",IF(AM33&gt;=65,"C+",IF(AM33&gt;=60,"C",IF(AM33&gt;=55,"D+",IF(AM33&gt;=50,"D","F")))))))</f>
      </c>
      <c r="AP33" s="40" t="s">
        <v>43</v>
      </c>
      <c r="AQ33" s="42">
        <f>IF(AP33&gt;=91, 4.00, IF(AP33&gt;=81, 3.50, IF(AP33&gt;=70, 3.00, IF(AP33&gt;=65, 2.50, IF(AP33&gt;=60, 2.00, IF(AP33&gt;=55, 1.50, IF(AP33&gt;=50, 1.00, 0.00)))))))</f>
      </c>
      <c r="AR33" s="42">
        <f>IF(AP33&gt;=91,"A",IF(AP33&gt;=81,"B+",IF(AP33&gt;=70,"B",IF(AP33&gt;=65,"C+",IF(AP33&gt;=60,"C",IF(AP33&gt;=55,"D+",IF(AP33&gt;=50,"D","F")))))))</f>
      </c>
      <c r="AS33" s="43" t="s">
        <v>201</v>
      </c>
      <c r="AT33" s="43">
        <f>IF(AS33&gt;=91, 4.00, IF(AS33&gt;=81, 3.50, IF(AS33&gt;=70, 3.00, IF(AS33&gt;=65, 2.50, IF(AS33&gt;=60, 2.00, IF(AS33&gt;=55, 1.50, IF(AS33&gt;=50, 1.00, 0.00)))))))</f>
      </c>
      <c r="AU33" s="44">
        <f>IF(AS33&gt;=91,"A",IF(AS33&gt;=81,"B+",IF(AS33&gt;=70,"B",IF(AS33&gt;=65,"C+",IF(AS33&gt;=60,"C",IF(AS33&gt;=55,"D+",IF(AS33&gt;=50,"D","F")))))))</f>
      </c>
      <c r="AV33" s="45" t="s">
        <v>49</v>
      </c>
      <c r="AW33" s="60">
        <f>IF(AV33&gt;=91, 4.00, IF(AV33&gt;=81, 3.50, IF(AV33&gt;=70, 3.00, IF(AV33&gt;=65, 2.50, IF(AV33&gt;=60, 2.00, IF(AV33&gt;=55, 1.50, IF(AV33&gt;=50, 1.00, 0.00)))))))</f>
      </c>
      <c r="AX33" s="60">
        <f>IF(AV33&gt;=91,"A",IF(AV33&gt;=81,"B+",IF(AV33&gt;=70,"B",IF(AV33&gt;=65,"C+",IF(AV33&gt;=60,"C",IF(AV33&gt;=55,"D+",IF(AV33&gt;=50,"D","F")))))))</f>
      </c>
      <c r="AY33" s="60" t="str">
        <f>IF(AW33&gt;90,"A",IF(AW33&gt;80,"B+",IF(AW33&gt;69,"B",IF(AW33&gt;64,"C+",IF(AW33&gt;59,"C",IF(AW33&gt;54,"D+",IF(AW33&gt;49,"D",IF(AW33&gt;=0,"F"))))))))</f>
        <v>F</v>
      </c>
      <c r="AZ33" s="60">
        <f>IF(AY33&gt;=91, 4.00, IF(AY33&gt;=81, 3.50, IF(AY33&gt;=70, 3.00, IF(AY33&gt;=65, 2.50, IF(AY33&gt;=60, 2.00, IF(AY33&gt;=55, 1.50, IF(AY33&gt;=50, 1.00, 0.00)))))))</f>
      </c>
      <c r="BA33" s="60">
        <f>IF(AY33&gt;=91,"A",IF(AY33&gt;=81,"B+",IF(AY33&gt;=70,"B",IF(AY33&gt;=65,"C+",IF(AY33&gt;=60,"C",IF(AY33&gt;=55,"D+",IF(AY33&gt;=50,"D","F")))))))</f>
      </c>
      <c r="BB33" s="60" t="str">
        <f>IF(AZ33&gt;90,"A",IF(AZ33&gt;80,"B+",IF(AZ33&gt;69,"B",IF(AZ33&gt;64,"C+",IF(AZ33&gt;59,"C",IF(AZ33&gt;54,"D+",IF(AZ33&gt;49,"D",IF(AZ33&gt;=0,"F"))))))))</f>
        <v>F</v>
      </c>
      <c r="BC33" s="60">
        <f>IF(BB33&gt;=91, 4.00, IF(BB33&gt;=81, 3.50, IF(BB33&gt;=70, 3.00, IF(BB33&gt;=65, 2.50, IF(BB33&gt;=60, 2.00, IF(BB33&gt;=55, 1.50, IF(BB33&gt;=50, 1.00, 0.00)))))))</f>
      </c>
      <c r="BD33" s="60">
        <f>IF(BB33&gt;=91,"A",IF(BB33&gt;=81,"B+",IF(BB33&gt;=70,"B",IF(BB33&gt;=65,"C+",IF(BB33&gt;=60,"C",IF(BB33&gt;=55,"D+",IF(BB33&gt;=50,"D","F")))))))</f>
      </c>
      <c r="BE33" s="60" t="str">
        <f>IF(BC33&gt;90,"A",IF(BC33&gt;80,"B+",IF(BC33&gt;69,"B",IF(BC33&gt;64,"C+",IF(BC33&gt;59,"C",IF(BC33&gt;54,"D+",IF(BC33&gt;49,"D",IF(BC33&gt;=0,"F"))))))))</f>
        <v>F</v>
      </c>
      <c r="BF33" s="60">
        <f>IF(BE33&gt;=91, 4.00, IF(BE33&gt;=81, 3.50, IF(BE33&gt;=70, 3.00, IF(BE33&gt;=65, 2.50, IF(BE33&gt;=60, 2.00, IF(BE33&gt;=55, 1.50, IF(BE33&gt;=50, 1.00, 0.00)))))))</f>
      </c>
      <c r="BG33" s="60">
        <f>IF(BE33&gt;=91,"A",IF(BE33&gt;=81,"B+",IF(BE33&gt;=70,"B",IF(BE33&gt;=65,"C+",IF(BE33&gt;=60,"C",IF(BE33&gt;=55,"D+",IF(BE33&gt;=50,"D","F")))))))</f>
      </c>
      <c r="BH33" s="60" t="str">
        <f>IF(BF33&gt;90,"A",IF(BF33&gt;80,"B+",IF(BF33&gt;69,"B",IF(BF33&gt;64,"C+",IF(BF33&gt;59,"C",IF(BF33&gt;54,"D+",IF(BF33&gt;49,"D",IF(BF33&gt;=0,"F"))))))))</f>
        <v>F</v>
      </c>
      <c r="BI33" s="60">
        <f>IF(BH33&gt;=91, 4.00, IF(BH33&gt;=81, 3.50, IF(BH33&gt;=70, 3.00, IF(BH33&gt;=65, 2.50, IF(BH33&gt;=60, 2.00, IF(BH33&gt;=55, 1.50, IF(BH33&gt;=50, 1.00, 0.00)))))))</f>
      </c>
      <c r="BJ33" s="60">
        <f>IF(BH33&gt;=91,"A",IF(BH33&gt;=81,"B+",IF(BH33&gt;=70,"B",IF(BH33&gt;=65,"C+",IF(BH33&gt;=60,"C",IF(BH33&gt;=55,"D+",IF(BH33&gt;=50,"D","F")))))))</f>
      </c>
      <c r="BK33" s="60" t="str">
        <f>IF(BI33&gt;90,"A",IF(BI33&gt;80,"B+",IF(BI33&gt;69,"B",IF(BI33&gt;64,"C+",IF(BI33&gt;59,"C",IF(BI33&gt;54,"D+",IF(BI33&gt;49,"D",IF(BI33&gt;=0,"F"))))))))</f>
        <v>F</v>
      </c>
      <c r="BL33" s="60">
        <f>IF(BK33&gt;=91, 4.00, IF(BK33&gt;=81, 3.50, IF(BK33&gt;=70, 3.00, IF(BK33&gt;=65, 2.50, IF(BK33&gt;=60, 2.00, IF(BK33&gt;=55, 1.50, IF(BK33&gt;=50, 1.00, 0.00)))))))</f>
      </c>
      <c r="BM33" s="60">
        <f>IF(BK33&gt;=91,"A",IF(BK33&gt;=81,"B+",IF(BK33&gt;=70,"B",IF(BK33&gt;=65,"C+",IF(BK33&gt;=60,"C",IF(BK33&gt;=55,"D+",IF(BK33&gt;=50,"D","F")))))))</f>
      </c>
      <c r="BN33" s="60" t="str">
        <f>IF(BL33&gt;90,"A",IF(BL33&gt;80,"B+",IF(BL33&gt;69,"B",IF(BL33&gt;64,"C+",IF(BL33&gt;59,"C",IF(BL33&gt;54,"D+",IF(BL33&gt;49,"D",IF(BL33&gt;=0,"F"))))))))</f>
        <v>F</v>
      </c>
      <c r="BO33" s="49">
        <f>IF(BN33&gt;=91, 4.00, IF(BN33&gt;=81, 3.50, IF(BN33&gt;=70, 3.00, IF(BN33&gt;=65, 2.50, IF(BN33&gt;=60, 2.00, IF(BN33&gt;=55, 1.50, IF(BN33&gt;=50, 1.00, 0.00)))))))</f>
      </c>
      <c r="BP33" s="49">
        <f>IF(BN33&gt;=91,"A",IF(BN33&gt;=81,"B+",IF(BN33&gt;=70,"B",IF(BN33&gt;=65,"C+",IF(BN33&gt;=60,"C",IF(BN33&gt;=55,"D+",IF(BN33&gt;=50,"D","F")))))))</f>
      </c>
      <c r="BQ33" s="40">
        <f>ROUND((AN33*3+AQ33*2+AT33*1+AW33*2+AZ33*1+BC33*1+BF33*2+BI33*2+BL33*2+BO33*3)/19, 2)</f>
      </c>
      <c r="BR33" s="62"/>
      <c r="BS33" s="62" t="str">
        <f>IF(BR33&gt;90,"4.00",IF(BR33&gt;80,"3.50",IF(BR33&gt;69,"3.00",IF(BR33&gt;64,"2.50",IF(BR33&gt;59,"2.00",IF(BR33&gt;54,"1.50",IF(BR33&gt;49,"1.00","0.00")))))))</f>
        <v>0.00</v>
      </c>
      <c r="BT33" s="63" t="str">
        <f>IF(BR33&gt;90,"A",IF(BR33&gt;80,"B+",IF(BR33&gt;69,"B",IF(BR33&gt;64,"C+",IF(BR33&gt;59,"C",IF(BR33&gt;54,"D+",IF(BR33&gt;49,"D",IF(BR33&gt;=0,"F"))))))))</f>
        <v>F</v>
      </c>
      <c r="BU33" s="62"/>
      <c r="BV33" s="62" t="str">
        <f>IF(BU33&gt;90,"4.00",IF(BU33&gt;80,"3.50",IF(BU33&gt;69,"3.00",IF(BU33&gt;64,"2.50",IF(BU33&gt;59,"2.00",IF(BU33&gt;54,"1.50",IF(BU33&gt;49,"1.00","0.00")))))))</f>
        <v>0.00</v>
      </c>
      <c r="BW33" s="63" t="str">
        <f>IF(BU33&gt;90,"A",IF(BU33&gt;80,"B+",IF(BU33&gt;69,"B",IF(BU33&gt;64,"C+",IF(BU33&gt;59,"C",IF(BU33&gt;54,"D+",IF(BU33&gt;49,"D",IF(BU33&gt;=0,"F"))))))))</f>
        <v>F</v>
      </c>
      <c r="BX33" s="50">
        <f>(AX33*3+BA33*2+BD33*1+BG33*2+BJ33*1+BM33*1+BP33*2+BS33*2+BV33*2)/(3+2+1+2+1+1+2+2+2)</f>
        <v>0</v>
      </c>
      <c r="BY33" s="50">
        <f>(AL33+BX33)/2</f>
        <v>0.9705882352941176</v>
      </c>
      <c r="BZ33" s="51">
        <f>RANK(BY33,$BY$7:BY66)</f>
        <v>27</v>
      </c>
      <c r="CA33" s="67"/>
      <c r="CB33" s="52"/>
      <c r="CC33" s="52"/>
      <c r="CD33" s="52"/>
    </row>
    <row r="34" ht="20" customHeight="1" spans="1:82" s="53" customFormat="1" x14ac:dyDescent="0.25">
      <c r="A34" s="40">
        <v>28</v>
      </c>
      <c r="B34" s="65" t="s">
        <v>203</v>
      </c>
      <c r="C34" s="40" t="s">
        <v>43</v>
      </c>
      <c r="D34" s="42" t="s">
        <v>204</v>
      </c>
      <c r="E34" s="42" t="s">
        <v>205</v>
      </c>
      <c r="F34" s="43" t="s">
        <v>206</v>
      </c>
      <c r="G34" s="43" t="s">
        <v>207</v>
      </c>
      <c r="H34" s="44" t="s">
        <v>208</v>
      </c>
      <c r="I34" s="45" t="s">
        <v>209</v>
      </c>
      <c r="J34" s="40">
        <v>1</v>
      </c>
      <c r="K34" s="75">
        <v>29</v>
      </c>
      <c r="L34" s="56">
        <f>IF(K34&gt;=91, 4.00, IF(K34&gt;=81, 3.50, IF(K34&gt;=70, 3.00, IF(K34&gt;=65, 2.50, IF(K34&gt;=60, 2.00, IF(K34&gt;=55, 1.50, IF(K34&gt;=50, 1.00, 0.00)))))))</f>
      </c>
      <c r="M34" s="57">
        <f>IF(K34&gt;=91,"A",IF(K34&gt;=81,"B+",IF(K34&gt;=70,"B",IF(K34&gt;=65,"C+",IF(K34&gt;=60,"C",IF(K34&gt;=55,"D+",IF(K34&gt;=50,"D","F")))))))</f>
      </c>
      <c r="N34" s="40">
        <v>65</v>
      </c>
      <c r="O34" s="40">
        <f>IF(N34&gt;=91, 4.00, IF(N34&gt;=81, 3.50, IF(N34&gt;=70, 3.00, IF(N34&gt;=65, 2.50, IF(N34&gt;=60, 2.00, IF(N34&gt;=55, 1.50, IF(N34&gt;=50, 1.00, 0.00)))))))</f>
      </c>
      <c r="P34" s="40">
        <f>IF(N34&gt;=91,"A",IF(N34&gt;=81,"B+",IF(N34&gt;=70,"B",IF(N34&gt;=65,"C+",IF(N34&gt;=60,"C",IF(N34&gt;=55,"D+",IF(N34&gt;=50,"D","F")))))))</f>
      </c>
      <c r="Q34" s="42">
        <v>50</v>
      </c>
      <c r="R34" s="40">
        <f>IF(Q34&gt;=91, 4.00, IF(Q34&gt;=81, 3.50, IF(Q34&gt;=70, 3.00, IF(Q34&gt;=65, 2.50, IF(Q34&gt;=60, 2.00, IF(Q34&gt;=55, 1.50, IF(Q34&gt;=50, 1.00, 0.00)))))))</f>
      </c>
      <c r="S34" s="40">
        <f>IF(Q34&gt;=91,"A",IF(Q34&gt;=81,"B+",IF(Q34&gt;=70,"B",IF(Q34&gt;=65,"C+",IF(Q34&gt;=60,"C",IF(Q34&gt;=55,"D+",IF(Q34&gt;=50,"D","F")))))))</f>
      </c>
      <c r="T34" s="75">
        <v>42</v>
      </c>
      <c r="U34" s="56">
        <f>IF(T34&gt;=91, 4.00, IF(T34&gt;=81, 3.50, IF(T34&gt;=70, 3.00, IF(T34&gt;=65, 2.50, IF(T34&gt;=60, 2.00, IF(T34&gt;=55, 1.50, IF(T34&gt;=50, 1.00, 0.00)))))))</f>
      </c>
      <c r="V34" s="57">
        <f>IF(T34&gt;=91,"A",IF(T34&gt;=81,"B+",IF(T34&gt;=70,"B",IF(T34&gt;=65,"C+",IF(T34&gt;=60,"C",IF(T34&gt;=55,"D+",IF(T34&gt;=50,"D","F")))))))</f>
      </c>
      <c r="W34" s="75">
        <v>21</v>
      </c>
      <c r="X34" s="56">
        <f>IF(W34&gt;=91, 4.00, IF(W34&gt;=81, 3.50, IF(W34&gt;=70, 3.00, IF(W34&gt;=65, 2.50, IF(W34&gt;=60, 2.00, IF(W34&gt;=55, 1.50, IF(W34&gt;=50, 1.00, 0.00)))))))</f>
      </c>
      <c r="Y34" s="57">
        <f>IF(W34&gt;=91,"A",IF(W34&gt;=81,"B+",IF(W34&gt;=70,"B",IF(W34&gt;=65,"C+",IF(W34&gt;=60,"C",IF(W34&gt;=55,"D+",IF(W34&gt;=50,"D","F")))))))</f>
      </c>
      <c r="Z34" s="40">
        <v>87.86</v>
      </c>
      <c r="AA34" s="40">
        <f>IF(Z34&gt;=91, 4.00, IF(Z34&gt;=81, 3.50, IF(Z34&gt;=70, 3.00, IF(Z34&gt;=65, 2.50, IF(Z34&gt;=60, 2.00, IF(Z34&gt;=55, 1.50, IF(Z34&gt;=50, 1.00, 0.00)))))))</f>
      </c>
      <c r="AB34" s="40">
        <f>IF(Z34&gt;=91,"A",IF(Z34&gt;=81,"B+",IF(Z34&gt;=70,"B",IF(Z34&gt;=65,"C+",IF(Z34&gt;=60,"C",IF(Z34&gt;=55,"D+",IF(Z34&gt;=50,"D","F")))))))</f>
      </c>
      <c r="AC34" s="40">
        <v>77</v>
      </c>
      <c r="AD34" s="40">
        <f>IF(AC34&gt;=91, 4.00, IF(AC34&gt;=81, 3.50, IF(AC34&gt;=70, 3.00, IF(AC34&gt;=65, 2.50, IF(AC34&gt;=60, 2.00, IF(AC34&gt;=55, 1.50, IF(AC34&gt;=50, 1.00, 0.00)))))))</f>
      </c>
      <c r="AE34" s="40">
        <f>IF(AC34&gt;=91,"A",IF(AC34&gt;=81,"B+",IF(AC34&gt;=70,"B",IF(AC34&gt;=65,"C+",IF(AC34&gt;=60,"C",IF(AC34&gt;=55,"D+",IF(AC34&gt;=50,"D","F")))))))</f>
      </c>
      <c r="AF34" s="40">
        <v>68</v>
      </c>
      <c r="AG34" s="40">
        <f>IF(AF34&gt;=91, 4.00, IF(AF34&gt;=81, 3.50, IF(AF34&gt;=70, 3.00, IF(AF34&gt;=65, 2.50, IF(AF34&gt;=60, 2.00, IF(AF34&gt;=55, 1.50, IF(AF34&gt;=50, 1.00, 0.00)))))))</f>
      </c>
      <c r="AH34" s="40">
        <f>IF(AF34&gt;=91,"A",IF(AF34&gt;=81,"B+",IF(AF34&gt;=70,"B",IF(AF34&gt;=65,"C+",IF(AF34&gt;=60,"C",IF(AF34&gt;=55,"D+",IF(AF34&gt;=50,"D","F")))))))</f>
      </c>
      <c r="AI34" s="40">
        <v>108</v>
      </c>
      <c r="AJ34" s="40">
        <f>IF(AI34&gt;=91, 4.00, IF(AI34&gt;=81, 3.50, IF(AI34&gt;=70, 3.00, IF(AI34&gt;=65, 2.50, IF(AI34&gt;=60, 2.00, IF(AI34&gt;=55, 1.50, IF(AI34&gt;=50, 1.00, 0.00)))))))</f>
      </c>
      <c r="AK34" s="40">
        <f>IF(AI34&gt;=91,"A",IF(AI34&gt;=81,"B+",IF(AI34&gt;=70,"B",IF(AI34&gt;=65,"C+",IF(AI34&gt;=60,"C",IF(AI34&gt;=55,"D+",IF(AI34&gt;=50,"D","F")))))))</f>
      </c>
      <c r="AL34" s="40">
        <f>ROUND((L34*3+O34*2+R34*1+U34*2+X34*1+AA34*2+AD34*2+AG34*2+AJ34*2)/17, 2)</f>
      </c>
      <c r="AM34" s="52">
        <v>90</v>
      </c>
      <c r="AN34" s="40">
        <f>IF(AM34&gt;=91, 4.00, IF(AM34&gt;=81, 3.50, IF(AM34&gt;=70, 3.00, IF(AM34&gt;=65, 2.50, IF(AM34&gt;=60, 2.00, IF(AM34&gt;=55, 1.50, IF(AM34&gt;=50, 1.00, 0.00)))))))</f>
      </c>
      <c r="AO34" s="65">
        <f>IF(AM34&gt;=91,"A",IF(AM34&gt;=81,"B+",IF(AM34&gt;=70,"B",IF(AM34&gt;=65,"C+",IF(AM34&gt;=60,"C",IF(AM34&gt;=55,"D+",IF(AM34&gt;=50,"D","F")))))))</f>
      </c>
      <c r="AP34" s="40" t="s">
        <v>43</v>
      </c>
      <c r="AQ34" s="42">
        <f>IF(AP34&gt;=91, 4.00, IF(AP34&gt;=81, 3.50, IF(AP34&gt;=70, 3.00, IF(AP34&gt;=65, 2.50, IF(AP34&gt;=60, 2.00, IF(AP34&gt;=55, 1.50, IF(AP34&gt;=50, 1.00, 0.00)))))))</f>
      </c>
      <c r="AR34" s="42">
        <f>IF(AP34&gt;=91,"A",IF(AP34&gt;=81,"B+",IF(AP34&gt;=70,"B",IF(AP34&gt;=65,"C+",IF(AP34&gt;=60,"C",IF(AP34&gt;=55,"D+",IF(AP34&gt;=50,"D","F")))))))</f>
      </c>
      <c r="AS34" s="43" t="s">
        <v>206</v>
      </c>
      <c r="AT34" s="43">
        <f>IF(AS34&gt;=91, 4.00, IF(AS34&gt;=81, 3.50, IF(AS34&gt;=70, 3.00, IF(AS34&gt;=65, 2.50, IF(AS34&gt;=60, 2.00, IF(AS34&gt;=55, 1.50, IF(AS34&gt;=50, 1.00, 0.00)))))))</f>
      </c>
      <c r="AU34" s="44">
        <f>IF(AS34&gt;=91,"A",IF(AS34&gt;=81,"B+",IF(AS34&gt;=70,"B",IF(AS34&gt;=65,"C+",IF(AS34&gt;=60,"C",IF(AS34&gt;=55,"D+",IF(AS34&gt;=50,"D","F")))))))</f>
      </c>
      <c r="AV34" s="45" t="s">
        <v>209</v>
      </c>
      <c r="AW34" s="49">
        <f>IF(AV34&gt;=91, 4.00, IF(AV34&gt;=81, 3.50, IF(AV34&gt;=70, 3.00, IF(AV34&gt;=65, 2.50, IF(AV34&gt;=60, 2.00, IF(AV34&gt;=55, 1.50, IF(AV34&gt;=50, 1.00, 0.00)))))))</f>
      </c>
      <c r="AX34" s="49">
        <f>IF(AV34&gt;=91,"A",IF(AV34&gt;=81,"B+",IF(AV34&gt;=70,"B",IF(AV34&gt;=65,"C+",IF(AV34&gt;=60,"C",IF(AV34&gt;=55,"D+",IF(AV34&gt;=50,"D","F")))))))</f>
      </c>
      <c r="AY34" s="40" t="str">
        <f>IF(AW34&gt;90,"A",IF(AW34&gt;80,"B+",IF(AW34&gt;69,"B",IF(AW34&gt;64,"C+",IF(AW34&gt;59,"C",IF(AW34&gt;54,"D+",IF(AW34&gt;49,"D",IF(AW34&gt;=0,"F"))))))))</f>
        <v>D+</v>
      </c>
      <c r="AZ34" s="60">
        <f>IF(AY34&gt;=91, 4.00, IF(AY34&gt;=81, 3.50, IF(AY34&gt;=70, 3.00, IF(AY34&gt;=65, 2.50, IF(AY34&gt;=60, 2.00, IF(AY34&gt;=55, 1.50, IF(AY34&gt;=50, 1.00, 0.00)))))))</f>
      </c>
      <c r="BA34" s="60">
        <f>IF(AY34&gt;=91,"A",IF(AY34&gt;=81,"B+",IF(AY34&gt;=70,"B",IF(AY34&gt;=65,"C+",IF(AY34&gt;=60,"C",IF(AY34&gt;=55,"D+",IF(AY34&gt;=50,"D","F")))))))</f>
      </c>
      <c r="BB34" s="60" t="str">
        <f>IF(AZ34&gt;90,"A",IF(AZ34&gt;80,"B+",IF(AZ34&gt;69,"B",IF(AZ34&gt;64,"C+",IF(AZ34&gt;59,"C",IF(AZ34&gt;54,"D+",IF(AZ34&gt;49,"D",IF(AZ34&gt;=0,"F"))))))))</f>
        <v>F</v>
      </c>
      <c r="BC34" s="60">
        <f>IF(BB34&gt;=91, 4.00, IF(BB34&gt;=81, 3.50, IF(BB34&gt;=70, 3.00, IF(BB34&gt;=65, 2.50, IF(BB34&gt;=60, 2.00, IF(BB34&gt;=55, 1.50, IF(BB34&gt;=50, 1.00, 0.00)))))))</f>
      </c>
      <c r="BD34" s="60">
        <f>IF(BB34&gt;=91,"A",IF(BB34&gt;=81,"B+",IF(BB34&gt;=70,"B",IF(BB34&gt;=65,"C+",IF(BB34&gt;=60,"C",IF(BB34&gt;=55,"D+",IF(BB34&gt;=50,"D","F")))))))</f>
      </c>
      <c r="BE34" s="60" t="str">
        <f>IF(BC34&gt;90,"A",IF(BC34&gt;80,"B+",IF(BC34&gt;69,"B",IF(BC34&gt;64,"C+",IF(BC34&gt;59,"C",IF(BC34&gt;54,"D+",IF(BC34&gt;49,"D",IF(BC34&gt;=0,"F"))))))))</f>
        <v>F</v>
      </c>
      <c r="BF34" s="60">
        <f>IF(BE34&gt;=91, 4.00, IF(BE34&gt;=81, 3.50, IF(BE34&gt;=70, 3.00, IF(BE34&gt;=65, 2.50, IF(BE34&gt;=60, 2.00, IF(BE34&gt;=55, 1.50, IF(BE34&gt;=50, 1.00, 0.00)))))))</f>
      </c>
      <c r="BG34" s="60">
        <f>IF(BE34&gt;=91,"A",IF(BE34&gt;=81,"B+",IF(BE34&gt;=70,"B",IF(BE34&gt;=65,"C+",IF(BE34&gt;=60,"C",IF(BE34&gt;=55,"D+",IF(BE34&gt;=50,"D","F")))))))</f>
      </c>
      <c r="BH34" s="60" t="str">
        <f>IF(BF34&gt;90,"A",IF(BF34&gt;80,"B+",IF(BF34&gt;69,"B",IF(BF34&gt;64,"C+",IF(BF34&gt;59,"C",IF(BF34&gt;54,"D+",IF(BF34&gt;49,"D",IF(BF34&gt;=0,"F"))))))))</f>
        <v>F</v>
      </c>
      <c r="BI34" s="49">
        <f>IF(BH34&gt;=91, 4.00, IF(BH34&gt;=81, 3.50, IF(BH34&gt;=70, 3.00, IF(BH34&gt;=65, 2.50, IF(BH34&gt;=60, 2.00, IF(BH34&gt;=55, 1.50, IF(BH34&gt;=50, 1.00, 0.00)))))))</f>
      </c>
      <c r="BJ34" s="49">
        <f>IF(BH34&gt;=91,"A",IF(BH34&gt;=81,"B+",IF(BH34&gt;=70,"B",IF(BH34&gt;=65,"C+",IF(BH34&gt;=60,"C",IF(BH34&gt;=55,"D+",IF(BH34&gt;=50,"D","F")))))))</f>
      </c>
      <c r="BK34" s="40" t="str">
        <f>IF(BI34&gt;90,"A",IF(BI34&gt;80,"B+",IF(BI34&gt;69,"B",IF(BI34&gt;64,"C+",IF(BI34&gt;59,"C",IF(BI34&gt;54,"D+",IF(BI34&gt;49,"D",IF(BI34&gt;=0,"F"))))))))</f>
        <v>D</v>
      </c>
      <c r="BL34" s="49">
        <f>IF(BK34&gt;=91, 4.00, IF(BK34&gt;=81, 3.50, IF(BK34&gt;=70, 3.00, IF(BK34&gt;=65, 2.50, IF(BK34&gt;=60, 2.00, IF(BK34&gt;=55, 1.50, IF(BK34&gt;=50, 1.00, 0.00)))))))</f>
      </c>
      <c r="BM34" s="49">
        <f>IF(BK34&gt;=91,"A",IF(BK34&gt;=81,"B+",IF(BK34&gt;=70,"B",IF(BK34&gt;=65,"C+",IF(BK34&gt;=60,"C",IF(BK34&gt;=55,"D+",IF(BK34&gt;=50,"D","F")))))))</f>
      </c>
      <c r="BN34" s="40" t="str">
        <f>IF(BL34&gt;90,"A",IF(BL34&gt;80,"B+",IF(BL34&gt;69,"B",IF(BL34&gt;64,"C+",IF(BL34&gt;59,"C",IF(BL34&gt;54,"D+",IF(BL34&gt;49,"D",IF(BL34&gt;=0,"F"))))))))</f>
        <v>D+</v>
      </c>
      <c r="BO34" s="49">
        <f>IF(BN34&gt;=91, 4.00, IF(BN34&gt;=81, 3.50, IF(BN34&gt;=70, 3.00, IF(BN34&gt;=65, 2.50, IF(BN34&gt;=60, 2.00, IF(BN34&gt;=55, 1.50, IF(BN34&gt;=50, 1.00, 0.00)))))))</f>
      </c>
      <c r="BP34" s="49">
        <f>IF(BN34&gt;=91,"A",IF(BN34&gt;=81,"B+",IF(BN34&gt;=70,"B",IF(BN34&gt;=65,"C+",IF(BN34&gt;=60,"C",IF(BN34&gt;=55,"D+",IF(BN34&gt;=50,"D","F")))))))</f>
      </c>
      <c r="BQ34" s="40">
        <f>ROUND((AN34*3+AQ34*2+AT34*1+AW34*2+AZ34*1+BC34*1+BF34*2+BI34*2+BL34*2+BO34*3)/19, 2)</f>
      </c>
      <c r="BR34" s="49">
        <v>89</v>
      </c>
      <c r="BS34" s="49" t="str">
        <f>IF(BR34&gt;90,"4.00",IF(BR34&gt;80,"3.50",IF(BR34&gt;69,"3.00",IF(BR34&gt;64,"2.50",IF(BR34&gt;59,"2.00",IF(BR34&gt;54,"1.50",IF(BR34&gt;49,"1.00","0.00")))))))</f>
        <v>3.50</v>
      </c>
      <c r="BT34" s="40" t="str">
        <f>IF(BR34&gt;90,"A",IF(BR34&gt;80,"B+",IF(BR34&gt;69,"B",IF(BR34&gt;64,"C+",IF(BR34&gt;59,"C",IF(BR34&gt;54,"D+",IF(BR34&gt;49,"D",IF(BR34&gt;=0,"F"))))))))</f>
        <v>B+</v>
      </c>
      <c r="BU34" s="49">
        <v>72</v>
      </c>
      <c r="BV34" s="49" t="str">
        <f>IF(BU34&gt;90,"4.00",IF(BU34&gt;80,"3.50",IF(BU34&gt;69,"3.00",IF(BU34&gt;64,"2.50",IF(BU34&gt;59,"2.00",IF(BU34&gt;54,"1.50",IF(BU34&gt;49,"1.00","0.00")))))))</f>
        <v>3.00</v>
      </c>
      <c r="BW34" s="40" t="str">
        <f>IF(BU34&gt;90,"A",IF(BU34&gt;80,"B+",IF(BU34&gt;69,"B",IF(BU34&gt;64,"C+",IF(BU34&gt;59,"C",IF(BU34&gt;54,"D+",IF(BU34&gt;49,"D",IF(BU34&gt;=0,"F"))))))))</f>
        <v>B</v>
      </c>
      <c r="BX34" s="50">
        <f>(AX34*3+BA34*2+BD34*1+BG34*2+BJ34*1+BM34*1+BP34*2+BS34*2+BV34*2)/(3+2+1+2+1+1+2+2+2)</f>
        <v>1.6875</v>
      </c>
      <c r="BY34" s="50">
        <f>(AL34+BX34)/2</f>
        <v>1.6819852941176472</v>
      </c>
      <c r="BZ34" s="51">
        <f>RANK(BY34,$BY$7:BY67)</f>
        <v>20</v>
      </c>
      <c r="CA34" s="76"/>
      <c r="CB34" s="52"/>
      <c r="CC34" s="52"/>
      <c r="CD34" s="52"/>
    </row>
    <row r="35" ht="20" customHeight="1" spans="1:82" s="53" customFormat="1" x14ac:dyDescent="0.25">
      <c r="A35" s="40">
        <v>29</v>
      </c>
      <c r="B35" s="65" t="s">
        <v>210</v>
      </c>
      <c r="C35" s="40" t="s">
        <v>43</v>
      </c>
      <c r="D35" s="42" t="s">
        <v>211</v>
      </c>
      <c r="E35" s="42" t="s">
        <v>212</v>
      </c>
      <c r="F35" s="43" t="s">
        <v>213</v>
      </c>
      <c r="G35" s="43" t="s">
        <v>214</v>
      </c>
      <c r="H35" s="44" t="s">
        <v>215</v>
      </c>
      <c r="I35" s="45" t="s">
        <v>216</v>
      </c>
      <c r="J35" s="40">
        <v>1</v>
      </c>
      <c r="K35" s="75">
        <v>42</v>
      </c>
      <c r="L35" s="56">
        <f>IF(K35&gt;=91, 4.00, IF(K35&gt;=81, 3.50, IF(K35&gt;=70, 3.00, IF(K35&gt;=65, 2.50, IF(K35&gt;=60, 2.00, IF(K35&gt;=55, 1.50, IF(K35&gt;=50, 1.00, 0.00)))))))</f>
      </c>
      <c r="M35" s="57">
        <f>IF(K35&gt;=91,"A",IF(K35&gt;=81,"B+",IF(K35&gt;=70,"B",IF(K35&gt;=65,"C+",IF(K35&gt;=60,"C",IF(K35&gt;=55,"D+",IF(K35&gt;=50,"D","F")))))))</f>
      </c>
      <c r="N35" s="40">
        <v>69</v>
      </c>
      <c r="O35" s="40">
        <f>IF(N35&gt;=91, 4.00, IF(N35&gt;=81, 3.50, IF(N35&gt;=70, 3.00, IF(N35&gt;=65, 2.50, IF(N35&gt;=60, 2.00, IF(N35&gt;=55, 1.50, IF(N35&gt;=50, 1.00, 0.00)))))))</f>
      </c>
      <c r="P35" s="40">
        <f>IF(N35&gt;=91,"A",IF(N35&gt;=81,"B+",IF(N35&gt;=70,"B",IF(N35&gt;=65,"C+",IF(N35&gt;=60,"C",IF(N35&gt;=55,"D+",IF(N35&gt;=50,"D","F")))))))</f>
      </c>
      <c r="Q35" s="42">
        <v>75</v>
      </c>
      <c r="R35" s="40">
        <f>IF(Q35&gt;=91, 4.00, IF(Q35&gt;=81, 3.50, IF(Q35&gt;=70, 3.00, IF(Q35&gt;=65, 2.50, IF(Q35&gt;=60, 2.00, IF(Q35&gt;=55, 1.50, IF(Q35&gt;=50, 1.00, 0.00)))))))</f>
      </c>
      <c r="S35" s="40">
        <f>IF(Q35&gt;=91,"A",IF(Q35&gt;=81,"B+",IF(Q35&gt;=70,"B",IF(Q35&gt;=65,"C+",IF(Q35&gt;=60,"C",IF(Q35&gt;=55,"D+",IF(Q35&gt;=50,"D","F")))))))</f>
      </c>
      <c r="T35" s="75">
        <v>47</v>
      </c>
      <c r="U35" s="56">
        <f>IF(T35&gt;=91, 4.00, IF(T35&gt;=81, 3.50, IF(T35&gt;=70, 3.00, IF(T35&gt;=65, 2.50, IF(T35&gt;=60, 2.00, IF(T35&gt;=55, 1.50, IF(T35&gt;=50, 1.00, 0.00)))))))</f>
      </c>
      <c r="V35" s="57">
        <f>IF(T35&gt;=91,"A",IF(T35&gt;=81,"B+",IF(T35&gt;=70,"B",IF(T35&gt;=65,"C+",IF(T35&gt;=60,"C",IF(T35&gt;=55,"D+",IF(T35&gt;=50,"D","F")))))))</f>
      </c>
      <c r="W35" s="75">
        <v>32</v>
      </c>
      <c r="X35" s="56">
        <f>IF(W35&gt;=91, 4.00, IF(W35&gt;=81, 3.50, IF(W35&gt;=70, 3.00, IF(W35&gt;=65, 2.50, IF(W35&gt;=60, 2.00, IF(W35&gt;=55, 1.50, IF(W35&gt;=50, 1.00, 0.00)))))))</f>
      </c>
      <c r="Y35" s="57">
        <f>IF(W35&gt;=91,"A",IF(W35&gt;=81,"B+",IF(W35&gt;=70,"B",IF(W35&gt;=65,"C+",IF(W35&gt;=60,"C",IF(W35&gt;=55,"D+",IF(W35&gt;=50,"D","F")))))))</f>
      </c>
      <c r="Z35" s="75">
        <v>46.44</v>
      </c>
      <c r="AA35" s="56">
        <f>IF(Z35&gt;=91, 4.00, IF(Z35&gt;=81, 3.50, IF(Z35&gt;=70, 3.00, IF(Z35&gt;=65, 2.50, IF(Z35&gt;=60, 2.00, IF(Z35&gt;=55, 1.50, IF(Z35&gt;=50, 1.00, 0.00)))))))</f>
      </c>
      <c r="AB35" s="57">
        <f>IF(Z35&gt;=91,"A",IF(Z35&gt;=81,"B+",IF(Z35&gt;=70,"B",IF(Z35&gt;=65,"C+",IF(Z35&gt;=60,"C",IF(Z35&gt;=55,"D+",IF(Z35&gt;=50,"D","F")))))))</f>
      </c>
      <c r="AC35" s="40">
        <v>51</v>
      </c>
      <c r="AD35" s="40">
        <f>IF(AC35&gt;=91, 4.00, IF(AC35&gt;=81, 3.50, IF(AC35&gt;=70, 3.00, IF(AC35&gt;=65, 2.50, IF(AC35&gt;=60, 2.00, IF(AC35&gt;=55, 1.50, IF(AC35&gt;=50, 1.00, 0.00)))))))</f>
      </c>
      <c r="AE35" s="40">
        <f>IF(AC35&gt;=91,"A",IF(AC35&gt;=81,"B+",IF(AC35&gt;=70,"B",IF(AC35&gt;=65,"C+",IF(AC35&gt;=60,"C",IF(AC35&gt;=55,"D+",IF(AC35&gt;=50,"D","F")))))))</f>
      </c>
      <c r="AF35" s="40">
        <v>67</v>
      </c>
      <c r="AG35" s="40">
        <f>IF(AF35&gt;=91, 4.00, IF(AF35&gt;=81, 3.50, IF(AF35&gt;=70, 3.00, IF(AF35&gt;=65, 2.50, IF(AF35&gt;=60, 2.00, IF(AF35&gt;=55, 1.50, IF(AF35&gt;=50, 1.00, 0.00)))))))</f>
      </c>
      <c r="AH35" s="40">
        <f>IF(AF35&gt;=91,"A",IF(AF35&gt;=81,"B+",IF(AF35&gt;=70,"B",IF(AF35&gt;=65,"C+",IF(AF35&gt;=60,"C",IF(AF35&gt;=55,"D+",IF(AF35&gt;=50,"D","F")))))))</f>
      </c>
      <c r="AI35" s="40">
        <v>109</v>
      </c>
      <c r="AJ35" s="40">
        <f>IF(AI35&gt;=91, 4.00, IF(AI35&gt;=81, 3.50, IF(AI35&gt;=70, 3.00, IF(AI35&gt;=65, 2.50, IF(AI35&gt;=60, 2.00, IF(AI35&gt;=55, 1.50, IF(AI35&gt;=50, 1.00, 0.00)))))))</f>
      </c>
      <c r="AK35" s="40">
        <f>IF(AI35&gt;=91,"A",IF(AI35&gt;=81,"B+",IF(AI35&gt;=70,"B",IF(AI35&gt;=65,"C+",IF(AI35&gt;=60,"C",IF(AI35&gt;=55,"D+",IF(AI35&gt;=50,"D","F")))))))</f>
      </c>
      <c r="AL35" s="40">
        <f>ROUND((L35*3+O35*2+R35*1+U35*2+X35*1+AA35*2+AD35*2+AG35*2+AJ35*2)/17, 2)</f>
      </c>
      <c r="AM35" s="52">
        <v>93</v>
      </c>
      <c r="AN35" s="40">
        <f>IF(AM35&gt;=91, 4.00, IF(AM35&gt;=81, 3.50, IF(AM35&gt;=70, 3.00, IF(AM35&gt;=65, 2.50, IF(AM35&gt;=60, 2.00, IF(AM35&gt;=55, 1.50, IF(AM35&gt;=50, 1.00, 0.00)))))))</f>
      </c>
      <c r="AO35" s="65">
        <f>IF(AM35&gt;=91,"A",IF(AM35&gt;=81,"B+",IF(AM35&gt;=70,"B",IF(AM35&gt;=65,"C+",IF(AM35&gt;=60,"C",IF(AM35&gt;=55,"D+",IF(AM35&gt;=50,"D","F")))))))</f>
      </c>
      <c r="AP35" s="40" t="s">
        <v>43</v>
      </c>
      <c r="AQ35" s="42">
        <f>IF(AP35&gt;=91, 4.00, IF(AP35&gt;=81, 3.50, IF(AP35&gt;=70, 3.00, IF(AP35&gt;=65, 2.50, IF(AP35&gt;=60, 2.00, IF(AP35&gt;=55, 1.50, IF(AP35&gt;=50, 1.00, 0.00)))))))</f>
      </c>
      <c r="AR35" s="42">
        <f>IF(AP35&gt;=91,"A",IF(AP35&gt;=81,"B+",IF(AP35&gt;=70,"B",IF(AP35&gt;=65,"C+",IF(AP35&gt;=60,"C",IF(AP35&gt;=55,"D+",IF(AP35&gt;=50,"D","F")))))))</f>
      </c>
      <c r="AS35" s="43" t="s">
        <v>213</v>
      </c>
      <c r="AT35" s="43">
        <f>IF(AS35&gt;=91, 4.00, IF(AS35&gt;=81, 3.50, IF(AS35&gt;=70, 3.00, IF(AS35&gt;=65, 2.50, IF(AS35&gt;=60, 2.00, IF(AS35&gt;=55, 1.50, IF(AS35&gt;=50, 1.00, 0.00)))))))</f>
      </c>
      <c r="AU35" s="44">
        <f>IF(AS35&gt;=91,"A",IF(AS35&gt;=81,"B+",IF(AS35&gt;=70,"B",IF(AS35&gt;=65,"C+",IF(AS35&gt;=60,"C",IF(AS35&gt;=55,"D+",IF(AS35&gt;=50,"D","F")))))))</f>
      </c>
      <c r="AV35" s="45" t="s">
        <v>216</v>
      </c>
      <c r="AW35" s="49">
        <f>IF(AV35&gt;=91, 4.00, IF(AV35&gt;=81, 3.50, IF(AV35&gt;=70, 3.00, IF(AV35&gt;=65, 2.50, IF(AV35&gt;=60, 2.00, IF(AV35&gt;=55, 1.50, IF(AV35&gt;=50, 1.00, 0.00)))))))</f>
      </c>
      <c r="AX35" s="49">
        <f>IF(AV35&gt;=91,"A",IF(AV35&gt;=81,"B+",IF(AV35&gt;=70,"B",IF(AV35&gt;=65,"C+",IF(AV35&gt;=60,"C",IF(AV35&gt;=55,"D+",IF(AV35&gt;=50,"D","F")))))))</f>
      </c>
      <c r="AY35" s="40" t="str">
        <f>IF(AW35&gt;90,"A",IF(AW35&gt;80,"B+",IF(AW35&gt;69,"B",IF(AW35&gt;64,"C+",IF(AW35&gt;59,"C",IF(AW35&gt;54,"D+",IF(AW35&gt;49,"D",IF(AW35&gt;=0,"F"))))))))</f>
        <v>D+</v>
      </c>
      <c r="AZ35" s="49">
        <f>IF(AY35&gt;=91, 4.00, IF(AY35&gt;=81, 3.50, IF(AY35&gt;=70, 3.00, IF(AY35&gt;=65, 2.50, IF(AY35&gt;=60, 2.00, IF(AY35&gt;=55, 1.50, IF(AY35&gt;=50, 1.00, 0.00)))))))</f>
      </c>
      <c r="BA35" s="49">
        <f>IF(AY35&gt;=91,"A",IF(AY35&gt;=81,"B+",IF(AY35&gt;=70,"B",IF(AY35&gt;=65,"C+",IF(AY35&gt;=60,"C",IF(AY35&gt;=55,"D+",IF(AY35&gt;=50,"D","F")))))))</f>
      </c>
      <c r="BB35" s="40" t="str">
        <f>IF(AZ35&gt;90,"A",IF(AZ35&gt;80,"B+",IF(AZ35&gt;69,"B",IF(AZ35&gt;64,"C+",IF(AZ35&gt;59,"C",IF(AZ35&gt;54,"D+",IF(AZ35&gt;49,"D",IF(AZ35&gt;=0,"F"))))))))</f>
        <v>D+</v>
      </c>
      <c r="BC35" s="49">
        <f>IF(BB35&gt;=91, 4.00, IF(BB35&gt;=81, 3.50, IF(BB35&gt;=70, 3.00, IF(BB35&gt;=65, 2.50, IF(BB35&gt;=60, 2.00, IF(BB35&gt;=55, 1.50, IF(BB35&gt;=50, 1.00, 0.00)))))))</f>
      </c>
      <c r="BD35" s="49">
        <f>IF(BB35&gt;=91,"A",IF(BB35&gt;=81,"B+",IF(BB35&gt;=70,"B",IF(BB35&gt;=65,"C+",IF(BB35&gt;=60,"C",IF(BB35&gt;=55,"D+",IF(BB35&gt;=50,"D","F")))))))</f>
      </c>
      <c r="BE35" s="40" t="str">
        <f>IF(BC35&gt;90,"A",IF(BC35&gt;80,"B+",IF(BC35&gt;69,"B",IF(BC35&gt;64,"C+",IF(BC35&gt;59,"C",IF(BC35&gt;54,"D+",IF(BC35&gt;49,"D",IF(BC35&gt;=0,"F"))))))))</f>
        <v>D+</v>
      </c>
      <c r="BF35" s="49">
        <f>IF(BE35&gt;=91, 4.00, IF(BE35&gt;=81, 3.50, IF(BE35&gt;=70, 3.00, IF(BE35&gt;=65, 2.50, IF(BE35&gt;=60, 2.00, IF(BE35&gt;=55, 1.50, IF(BE35&gt;=50, 1.00, 0.00)))))))</f>
      </c>
      <c r="BG35" s="49">
        <f>IF(BE35&gt;=91,"A",IF(BE35&gt;=81,"B+",IF(BE35&gt;=70,"B",IF(BE35&gt;=65,"C+",IF(BE35&gt;=60,"C",IF(BE35&gt;=55,"D+",IF(BE35&gt;=50,"D","F")))))))</f>
      </c>
      <c r="BH35" s="40" t="str">
        <f>IF(BF35&gt;90,"A",IF(BF35&gt;80,"B+",IF(BF35&gt;69,"B",IF(BF35&gt;64,"C+",IF(BF35&gt;59,"C",IF(BF35&gt;54,"D+",IF(BF35&gt;49,"D",IF(BF35&gt;=0,"F"))))))))</f>
        <v>D+</v>
      </c>
      <c r="BI35" s="49">
        <f>IF(BH35&gt;=91, 4.00, IF(BH35&gt;=81, 3.50, IF(BH35&gt;=70, 3.00, IF(BH35&gt;=65, 2.50, IF(BH35&gt;=60, 2.00, IF(BH35&gt;=55, 1.50, IF(BH35&gt;=50, 1.00, 0.00)))))))</f>
      </c>
      <c r="BJ35" s="49">
        <f>IF(BH35&gt;=91,"A",IF(BH35&gt;=81,"B+",IF(BH35&gt;=70,"B",IF(BH35&gt;=65,"C+",IF(BH35&gt;=60,"C",IF(BH35&gt;=55,"D+",IF(BH35&gt;=50,"D","F")))))))</f>
      </c>
      <c r="BK35" s="40" t="str">
        <f>IF(BI35&gt;90,"A",IF(BI35&gt;80,"B+",IF(BI35&gt;69,"B",IF(BI35&gt;64,"C+",IF(BI35&gt;59,"C",IF(BI35&gt;54,"D+",IF(BI35&gt;49,"D",IF(BI35&gt;=0,"F"))))))))</f>
        <v>C+</v>
      </c>
      <c r="BL35" s="49">
        <f>IF(BK35&gt;=91, 4.00, IF(BK35&gt;=81, 3.50, IF(BK35&gt;=70, 3.00, IF(BK35&gt;=65, 2.50, IF(BK35&gt;=60, 2.00, IF(BK35&gt;=55, 1.50, IF(BK35&gt;=50, 1.00, 0.00)))))))</f>
      </c>
      <c r="BM35" s="49">
        <f>IF(BK35&gt;=91,"A",IF(BK35&gt;=81,"B+",IF(BK35&gt;=70,"B",IF(BK35&gt;=65,"C+",IF(BK35&gt;=60,"C",IF(BK35&gt;=55,"D+",IF(BK35&gt;=50,"D","F")))))))</f>
      </c>
      <c r="BN35" s="40" t="str">
        <f>IF(BL35&gt;90,"A",IF(BL35&gt;80,"B+",IF(BL35&gt;69,"B",IF(BL35&gt;64,"C+",IF(BL35&gt;59,"C",IF(BL35&gt;54,"D+",IF(BL35&gt;49,"D",IF(BL35&gt;=0,"F"))))))))</f>
        <v>D</v>
      </c>
      <c r="BO35" s="60">
        <f>IF(BN35&gt;=91, 4.00, IF(BN35&gt;=81, 3.50, IF(BN35&gt;=70, 3.00, IF(BN35&gt;=65, 2.50, IF(BN35&gt;=60, 2.00, IF(BN35&gt;=55, 1.50, IF(BN35&gt;=50, 1.00, 0.00)))))))</f>
      </c>
      <c r="BP35" s="60">
        <f>IF(BN35&gt;=91,"A",IF(BN35&gt;=81,"B+",IF(BN35&gt;=70,"B",IF(BN35&gt;=65,"C+",IF(BN35&gt;=60,"C",IF(BN35&gt;=55,"D+",IF(BN35&gt;=50,"D","F")))))))</f>
      </c>
      <c r="BQ35" s="60">
        <f>ROUND((AN35*3+AQ35*2+AT35*1+AW35*2+AZ35*1+BC35*1+BF35*2+BI35*2+BL35*2+BO35*3)/19, 2)</f>
      </c>
      <c r="BR35" s="62">
        <v>42</v>
      </c>
      <c r="BS35" s="62" t="str">
        <f>IF(BR35&gt;90,"4.00",IF(BR35&gt;80,"3.50",IF(BR35&gt;69,"3.00",IF(BR35&gt;64,"2.50",IF(BR35&gt;59,"2.00",IF(BR35&gt;54,"1.50",IF(BR35&gt;49,"1.00","0.00")))))))</f>
        <v>0.00</v>
      </c>
      <c r="BT35" s="63" t="str">
        <f>IF(BR35&gt;90,"A",IF(BR35&gt;80,"B+",IF(BR35&gt;69,"B",IF(BR35&gt;64,"C+",IF(BR35&gt;59,"C",IF(BR35&gt;54,"D+",IF(BR35&gt;49,"D",IF(BR35&gt;=0,"F"))))))))</f>
        <v>F</v>
      </c>
      <c r="BU35" s="49">
        <v>62</v>
      </c>
      <c r="BV35" s="49" t="str">
        <f>IF(BU35&gt;90,"4.00",IF(BU35&gt;80,"3.50",IF(BU35&gt;69,"3.00",IF(BU35&gt;64,"2.50",IF(BU35&gt;59,"2.00",IF(BU35&gt;54,"1.50",IF(BU35&gt;49,"1.00","0.00")))))))</f>
        <v>2.00</v>
      </c>
      <c r="BW35" s="40" t="str">
        <f>IF(BU35&gt;90,"A",IF(BU35&gt;80,"B+",IF(BU35&gt;69,"B",IF(BU35&gt;64,"C+",IF(BU35&gt;59,"C",IF(BU35&gt;54,"D+",IF(BU35&gt;49,"D",IF(BU35&gt;=0,"F"))))))))</f>
        <v>C</v>
      </c>
      <c r="BX35" s="50">
        <f>(AX35*3+BA35*2+BD35*1+BG35*2+BJ35*1+BM35*1+BP35*2+BS35*2+BV35*2)/(3+2+1+2+1+1+2+2+2)</f>
        <v>1.21875</v>
      </c>
      <c r="BY35" s="50">
        <f>(AL35+BX35)/2</f>
        <v>1.2858455882352942</v>
      </c>
      <c r="BZ35" s="51">
        <f>RANK(BY35,$BY$7:BY68)</f>
        <v>23</v>
      </c>
      <c r="CA35" s="67"/>
      <c r="CB35" s="52"/>
      <c r="CC35" s="52"/>
      <c r="CD35" s="52"/>
    </row>
    <row r="36" ht="20" customHeight="1" spans="1:82" s="53" customFormat="1" x14ac:dyDescent="0.25">
      <c r="A36" s="40">
        <v>30</v>
      </c>
      <c r="B36" s="65" t="s">
        <v>217</v>
      </c>
      <c r="C36" s="40" t="s">
        <v>51</v>
      </c>
      <c r="D36" s="42" t="s">
        <v>218</v>
      </c>
      <c r="E36" s="42" t="s">
        <v>219</v>
      </c>
      <c r="F36" s="43" t="s">
        <v>220</v>
      </c>
      <c r="G36" s="43" t="s">
        <v>221</v>
      </c>
      <c r="H36" s="44" t="s">
        <v>208</v>
      </c>
      <c r="I36" s="45" t="s">
        <v>49</v>
      </c>
      <c r="J36" s="40">
        <v>1</v>
      </c>
      <c r="K36" s="75">
        <v>48</v>
      </c>
      <c r="L36" s="56">
        <f>IF(K36&gt;=91, 4.00, IF(K36&gt;=81, 3.50, IF(K36&gt;=70, 3.00, IF(K36&gt;=65, 2.50, IF(K36&gt;=60, 2.00, IF(K36&gt;=55, 1.50, IF(K36&gt;=50, 1.00, 0.00)))))))</f>
      </c>
      <c r="M36" s="57">
        <f>IF(K36&gt;=91,"A",IF(K36&gt;=81,"B+",IF(K36&gt;=70,"B",IF(K36&gt;=65,"C+",IF(K36&gt;=60,"C",IF(K36&gt;=55,"D+",IF(K36&gt;=50,"D","F")))))))</f>
      </c>
      <c r="N36" s="40">
        <v>62</v>
      </c>
      <c r="O36" s="40">
        <f>IF(N36&gt;=91, 4.00, IF(N36&gt;=81, 3.50, IF(N36&gt;=70, 3.00, IF(N36&gt;=65, 2.50, IF(N36&gt;=60, 2.00, IF(N36&gt;=55, 1.50, IF(N36&gt;=50, 1.00, 0.00)))))))</f>
      </c>
      <c r="P36" s="40">
        <f>IF(N36&gt;=91,"A",IF(N36&gt;=81,"B+",IF(N36&gt;=70,"B",IF(N36&gt;=65,"C+",IF(N36&gt;=60,"C",IF(N36&gt;=55,"D+",IF(N36&gt;=50,"D","F")))))))</f>
      </c>
      <c r="Q36" s="42">
        <v>74</v>
      </c>
      <c r="R36" s="40">
        <f>IF(Q36&gt;=91, 4.00, IF(Q36&gt;=81, 3.50, IF(Q36&gt;=70, 3.00, IF(Q36&gt;=65, 2.50, IF(Q36&gt;=60, 2.00, IF(Q36&gt;=55, 1.50, IF(Q36&gt;=50, 1.00, 0.00)))))))</f>
      </c>
      <c r="S36" s="40">
        <f>IF(Q36&gt;=91,"A",IF(Q36&gt;=81,"B+",IF(Q36&gt;=70,"B",IF(Q36&gt;=65,"C+",IF(Q36&gt;=60,"C",IF(Q36&gt;=55,"D+",IF(Q36&gt;=50,"D","F")))))))</f>
      </c>
      <c r="T36" s="42">
        <v>60</v>
      </c>
      <c r="U36" s="40">
        <f>IF(T36&gt;=91, 4.00, IF(T36&gt;=81, 3.50, IF(T36&gt;=70, 3.00, IF(T36&gt;=65, 2.50, IF(T36&gt;=60, 2.00, IF(T36&gt;=55, 1.50, IF(T36&gt;=50, 1.00, 0.00)))))))</f>
      </c>
      <c r="V36" s="40">
        <f>IF(T36&gt;=91,"A",IF(T36&gt;=81,"B+",IF(T36&gt;=70,"B",IF(T36&gt;=65,"C+",IF(T36&gt;=60,"C",IF(T36&gt;=55,"D+",IF(T36&gt;=50,"D","F")))))))</f>
      </c>
      <c r="W36" s="75">
        <v>38</v>
      </c>
      <c r="X36" s="56">
        <f>IF(W36&gt;=91, 4.00, IF(W36&gt;=81, 3.50, IF(W36&gt;=70, 3.00, IF(W36&gt;=65, 2.50, IF(W36&gt;=60, 2.00, IF(W36&gt;=55, 1.50, IF(W36&gt;=50, 1.00, 0.00)))))))</f>
      </c>
      <c r="Y36" s="57">
        <f>IF(W36&gt;=91,"A",IF(W36&gt;=81,"B+",IF(W36&gt;=70,"B",IF(W36&gt;=65,"C+",IF(W36&gt;=60,"C",IF(W36&gt;=55,"D+",IF(W36&gt;=50,"D","F")))))))</f>
      </c>
      <c r="Z36" s="40">
        <v>90.57</v>
      </c>
      <c r="AA36" s="40">
        <f>IF(Z36&gt;=91, 4.00, IF(Z36&gt;=81, 3.50, IF(Z36&gt;=70, 3.00, IF(Z36&gt;=65, 2.50, IF(Z36&gt;=60, 2.00, IF(Z36&gt;=55, 1.50, IF(Z36&gt;=50, 1.00, 0.00)))))))</f>
      </c>
      <c r="AB36" s="40">
        <f>IF(Z36&gt;=91,"A",IF(Z36&gt;=81,"B+",IF(Z36&gt;=70,"B",IF(Z36&gt;=65,"C+",IF(Z36&gt;=60,"C",IF(Z36&gt;=55,"D+",IF(Z36&gt;=50,"D","F")))))))</f>
      </c>
      <c r="AC36" s="40">
        <v>79.5</v>
      </c>
      <c r="AD36" s="40">
        <f>IF(AC36&gt;=91, 4.00, IF(AC36&gt;=81, 3.50, IF(AC36&gt;=70, 3.00, IF(AC36&gt;=65, 2.50, IF(AC36&gt;=60, 2.00, IF(AC36&gt;=55, 1.50, IF(AC36&gt;=50, 1.00, 0.00)))))))</f>
      </c>
      <c r="AE36" s="40">
        <f>IF(AC36&gt;=91,"A",IF(AC36&gt;=81,"B+",IF(AC36&gt;=70,"B",IF(AC36&gt;=65,"C+",IF(AC36&gt;=60,"C",IF(AC36&gt;=55,"D+",IF(AC36&gt;=50,"D","F")))))))</f>
      </c>
      <c r="AF36" s="40">
        <v>75</v>
      </c>
      <c r="AG36" s="40">
        <f>IF(AF36&gt;=91, 4.00, IF(AF36&gt;=81, 3.50, IF(AF36&gt;=70, 3.00, IF(AF36&gt;=65, 2.50, IF(AF36&gt;=60, 2.00, IF(AF36&gt;=55, 1.50, IF(AF36&gt;=50, 1.00, 0.00)))))))</f>
      </c>
      <c r="AH36" s="40">
        <f>IF(AF36&gt;=91,"A",IF(AF36&gt;=81,"B+",IF(AF36&gt;=70,"B",IF(AF36&gt;=65,"C+",IF(AF36&gt;=60,"C",IF(AF36&gt;=55,"D+",IF(AF36&gt;=50,"D","F")))))))</f>
      </c>
      <c r="AI36" s="40">
        <v>110</v>
      </c>
      <c r="AJ36" s="40">
        <f>IF(AI36&gt;=91, 4.00, IF(AI36&gt;=81, 3.50, IF(AI36&gt;=70, 3.00, IF(AI36&gt;=65, 2.50, IF(AI36&gt;=60, 2.00, IF(AI36&gt;=55, 1.50, IF(AI36&gt;=50, 1.00, 0.00)))))))</f>
      </c>
      <c r="AK36" s="40">
        <f>IF(AI36&gt;=91,"A",IF(AI36&gt;=81,"B+",IF(AI36&gt;=70,"B",IF(AI36&gt;=65,"C+",IF(AI36&gt;=60,"C",IF(AI36&gt;=55,"D+",IF(AI36&gt;=50,"D","F")))))))</f>
      </c>
      <c r="AL36" s="40">
        <f>ROUND((L36*3+O36*2+R36*1+U36*2+X36*1+AA36*2+AD36*2+AG36*2+AJ36*2)/17, 2)</f>
      </c>
      <c r="AM36" s="52">
        <v>75</v>
      </c>
      <c r="AN36" s="40">
        <f>IF(AM36&gt;=91, 4.00, IF(AM36&gt;=81, 3.50, IF(AM36&gt;=70, 3.00, IF(AM36&gt;=65, 2.50, IF(AM36&gt;=60, 2.00, IF(AM36&gt;=55, 1.50, IF(AM36&gt;=50, 1.00, 0.00)))))))</f>
      </c>
      <c r="AO36" s="65">
        <f>IF(AM36&gt;=91,"A",IF(AM36&gt;=81,"B+",IF(AM36&gt;=70,"B",IF(AM36&gt;=65,"C+",IF(AM36&gt;=60,"C",IF(AM36&gt;=55,"D+",IF(AM36&gt;=50,"D","F")))))))</f>
      </c>
      <c r="AP36" s="40" t="s">
        <v>51</v>
      </c>
      <c r="AQ36" s="42">
        <f>IF(AP36&gt;=91, 4.00, IF(AP36&gt;=81, 3.50, IF(AP36&gt;=70, 3.00, IF(AP36&gt;=65, 2.50, IF(AP36&gt;=60, 2.00, IF(AP36&gt;=55, 1.50, IF(AP36&gt;=50, 1.00, 0.00)))))))</f>
      </c>
      <c r="AR36" s="42">
        <f>IF(AP36&gt;=91,"A",IF(AP36&gt;=81,"B+",IF(AP36&gt;=70,"B",IF(AP36&gt;=65,"C+",IF(AP36&gt;=60,"C",IF(AP36&gt;=55,"D+",IF(AP36&gt;=50,"D","F")))))))</f>
      </c>
      <c r="AS36" s="43" t="s">
        <v>220</v>
      </c>
      <c r="AT36" s="43">
        <f>IF(AS36&gt;=91, 4.00, IF(AS36&gt;=81, 3.50, IF(AS36&gt;=70, 3.00, IF(AS36&gt;=65, 2.50, IF(AS36&gt;=60, 2.00, IF(AS36&gt;=55, 1.50, IF(AS36&gt;=50, 1.00, 0.00)))))))</f>
      </c>
      <c r="AU36" s="44">
        <f>IF(AS36&gt;=91,"A",IF(AS36&gt;=81,"B+",IF(AS36&gt;=70,"B",IF(AS36&gt;=65,"C+",IF(AS36&gt;=60,"C",IF(AS36&gt;=55,"D+",IF(AS36&gt;=50,"D","F")))))))</f>
      </c>
      <c r="AV36" s="45" t="s">
        <v>49</v>
      </c>
      <c r="AW36" s="60">
        <f>IF(AV36&gt;=91, 4.00, IF(AV36&gt;=81, 3.50, IF(AV36&gt;=70, 3.00, IF(AV36&gt;=65, 2.50, IF(AV36&gt;=60, 2.00, IF(AV36&gt;=55, 1.50, IF(AV36&gt;=50, 1.00, 0.00)))))))</f>
      </c>
      <c r="AX36" s="60">
        <f>IF(AV36&gt;=91,"A",IF(AV36&gt;=81,"B+",IF(AV36&gt;=70,"B",IF(AV36&gt;=65,"C+",IF(AV36&gt;=60,"C",IF(AV36&gt;=55,"D+",IF(AV36&gt;=50,"D","F")))))))</f>
      </c>
      <c r="AY36" s="60" t="str">
        <f>IF(AW36&gt;90,"A",IF(AW36&gt;80,"B+",IF(AW36&gt;69,"B",IF(AW36&gt;64,"C+",IF(AW36&gt;59,"C",IF(AW36&gt;54,"D+",IF(AW36&gt;49,"D",IF(AW36&gt;=0,"F"))))))))</f>
        <v>F</v>
      </c>
      <c r="AZ36" s="60">
        <f>IF(AY36&gt;=91, 4.00, IF(AY36&gt;=81, 3.50, IF(AY36&gt;=70, 3.00, IF(AY36&gt;=65, 2.50, IF(AY36&gt;=60, 2.00, IF(AY36&gt;=55, 1.50, IF(AY36&gt;=50, 1.00, 0.00)))))))</f>
      </c>
      <c r="BA36" s="60">
        <f>IF(AY36&gt;=91,"A",IF(AY36&gt;=81,"B+",IF(AY36&gt;=70,"B",IF(AY36&gt;=65,"C+",IF(AY36&gt;=60,"C",IF(AY36&gt;=55,"D+",IF(AY36&gt;=50,"D","F")))))))</f>
      </c>
      <c r="BB36" s="60" t="str">
        <f>IF(AZ36&gt;90,"A",IF(AZ36&gt;80,"B+",IF(AZ36&gt;69,"B",IF(AZ36&gt;64,"C+",IF(AZ36&gt;59,"C",IF(AZ36&gt;54,"D+",IF(AZ36&gt;49,"D",IF(AZ36&gt;=0,"F"))))))))</f>
        <v>F</v>
      </c>
      <c r="BC36" s="60">
        <f>IF(BB36&gt;=91, 4.00, IF(BB36&gt;=81, 3.50, IF(BB36&gt;=70, 3.00, IF(BB36&gt;=65, 2.50, IF(BB36&gt;=60, 2.00, IF(BB36&gt;=55, 1.50, IF(BB36&gt;=50, 1.00, 0.00)))))))</f>
      </c>
      <c r="BD36" s="60">
        <f>IF(BB36&gt;=91,"A",IF(BB36&gt;=81,"B+",IF(BB36&gt;=70,"B",IF(BB36&gt;=65,"C+",IF(BB36&gt;=60,"C",IF(BB36&gt;=55,"D+",IF(BB36&gt;=50,"D","F")))))))</f>
      </c>
      <c r="BE36" s="60" t="str">
        <f>IF(BC36&gt;90,"A",IF(BC36&gt;80,"B+",IF(BC36&gt;69,"B",IF(BC36&gt;64,"C+",IF(BC36&gt;59,"C",IF(BC36&gt;54,"D+",IF(BC36&gt;49,"D",IF(BC36&gt;=0,"F"))))))))</f>
        <v>F</v>
      </c>
      <c r="BF36" s="60">
        <f>IF(BE36&gt;=91, 4.00, IF(BE36&gt;=81, 3.50, IF(BE36&gt;=70, 3.00, IF(BE36&gt;=65, 2.50, IF(BE36&gt;=60, 2.00, IF(BE36&gt;=55, 1.50, IF(BE36&gt;=50, 1.00, 0.00)))))))</f>
      </c>
      <c r="BG36" s="60">
        <f>IF(BE36&gt;=91,"A",IF(BE36&gt;=81,"B+",IF(BE36&gt;=70,"B",IF(BE36&gt;=65,"C+",IF(BE36&gt;=60,"C",IF(BE36&gt;=55,"D+",IF(BE36&gt;=50,"D","F")))))))</f>
      </c>
      <c r="BH36" s="60" t="str">
        <f>IF(BF36&gt;90,"A",IF(BF36&gt;80,"B+",IF(BF36&gt;69,"B",IF(BF36&gt;64,"C+",IF(BF36&gt;59,"C",IF(BF36&gt;54,"D+",IF(BF36&gt;49,"D",IF(BF36&gt;=0,"F"))))))))</f>
        <v>F</v>
      </c>
      <c r="BI36" s="49">
        <f>IF(BH36&gt;=91, 4.00, IF(BH36&gt;=81, 3.50, IF(BH36&gt;=70, 3.00, IF(BH36&gt;=65, 2.50, IF(BH36&gt;=60, 2.00, IF(BH36&gt;=55, 1.50, IF(BH36&gt;=50, 1.00, 0.00)))))))</f>
      </c>
      <c r="BJ36" s="49">
        <f>IF(BH36&gt;=91,"A",IF(BH36&gt;=81,"B+",IF(BH36&gt;=70,"B",IF(BH36&gt;=65,"C+",IF(BH36&gt;=60,"C",IF(BH36&gt;=55,"D+",IF(BH36&gt;=50,"D","F")))))))</f>
      </c>
      <c r="BK36" s="40" t="str">
        <f>IF(BI36&gt;90,"A",IF(BI36&gt;80,"B+",IF(BI36&gt;69,"B",IF(BI36&gt;64,"C+",IF(BI36&gt;59,"C",IF(BI36&gt;54,"D+",IF(BI36&gt;49,"D",IF(BI36&gt;=0,"F"))))))))</f>
        <v>C+</v>
      </c>
      <c r="BL36" s="60">
        <f>IF(BK36&gt;=91, 4.00, IF(BK36&gt;=81, 3.50, IF(BK36&gt;=70, 3.00, IF(BK36&gt;=65, 2.50, IF(BK36&gt;=60, 2.00, IF(BK36&gt;=55, 1.50, IF(BK36&gt;=50, 1.00, 0.00)))))))</f>
      </c>
      <c r="BM36" s="60">
        <f>IF(BK36&gt;=91,"A",IF(BK36&gt;=81,"B+",IF(BK36&gt;=70,"B",IF(BK36&gt;=65,"C+",IF(BK36&gt;=60,"C",IF(BK36&gt;=55,"D+",IF(BK36&gt;=50,"D","F")))))))</f>
      </c>
      <c r="BN36" s="60" t="str">
        <f>IF(BL36&gt;90,"A",IF(BL36&gt;80,"B+",IF(BL36&gt;69,"B",IF(BL36&gt;64,"C+",IF(BL36&gt;59,"C",IF(BL36&gt;54,"D+",IF(BL36&gt;49,"D",IF(BL36&gt;=0,"F"))))))))</f>
        <v>F</v>
      </c>
      <c r="BO36" s="49">
        <f>IF(BN36&gt;=91, 4.00, IF(BN36&gt;=81, 3.50, IF(BN36&gt;=70, 3.00, IF(BN36&gt;=65, 2.50, IF(BN36&gt;=60, 2.00, IF(BN36&gt;=55, 1.50, IF(BN36&gt;=50, 1.00, 0.00)))))))</f>
      </c>
      <c r="BP36" s="49">
        <f>IF(BN36&gt;=91,"A",IF(BN36&gt;=81,"B+",IF(BN36&gt;=70,"B",IF(BN36&gt;=65,"C+",IF(BN36&gt;=60,"C",IF(BN36&gt;=55,"D+",IF(BN36&gt;=50,"D","F")))))))</f>
      </c>
      <c r="BQ36" s="40">
        <f>ROUND((AN36*3+AQ36*2+AT36*1+AW36*2+AZ36*1+BC36*1+BF36*2+BI36*2+BL36*2+BO36*3)/19, 2)</f>
      </c>
      <c r="BR36" s="62">
        <v>48</v>
      </c>
      <c r="BS36" s="62" t="str">
        <f>IF(BR36&gt;90,"4.00",IF(BR36&gt;80,"3.50",IF(BR36&gt;69,"3.00",IF(BR36&gt;64,"2.50",IF(BR36&gt;59,"2.00",IF(BR36&gt;54,"1.50",IF(BR36&gt;49,"1.00","0.00")))))))</f>
        <v>0.00</v>
      </c>
      <c r="BT36" s="63" t="str">
        <f>IF(BR36&gt;90,"A",IF(BR36&gt;80,"B+",IF(BR36&gt;69,"B",IF(BR36&gt;64,"C+",IF(BR36&gt;59,"C",IF(BR36&gt;54,"D+",IF(BR36&gt;49,"D",IF(BR36&gt;=0,"F"))))))))</f>
        <v>F</v>
      </c>
      <c r="BU36" s="49">
        <v>60</v>
      </c>
      <c r="BV36" s="49" t="str">
        <f>IF(BU36&gt;90,"4.00",IF(BU36&gt;80,"3.50",IF(BU36&gt;69,"3.00",IF(BU36&gt;64,"2.50",IF(BU36&gt;59,"2.00",IF(BU36&gt;54,"1.50",IF(BU36&gt;49,"1.00","0.00")))))))</f>
        <v>2.00</v>
      </c>
      <c r="BW36" s="40" t="str">
        <f>IF(BU36&gt;90,"A",IF(BU36&gt;80,"B+",IF(BU36&gt;69,"B",IF(BU36&gt;64,"C+",IF(BU36&gt;59,"C",IF(BU36&gt;54,"D+",IF(BU36&gt;49,"D",IF(BU36&gt;=0,"F"))))))))</f>
        <v>C</v>
      </c>
      <c r="BX36" s="50">
        <f>(AX36*3+BA36*2+BD36*1+BG36*2+BJ36*1+BM36*1+BP36*2+BS36*2+BV36*2)/(3+2+1+2+1+1+2+2+2)</f>
        <v>0.78125</v>
      </c>
      <c r="BY36" s="50">
        <f>(AL36+BX36)/2</f>
        <v>1.4200367647058822</v>
      </c>
      <c r="BZ36" s="51">
        <f>RANK(BY36,$BY$7:BY69)</f>
        <v>22</v>
      </c>
      <c r="CA36" s="67"/>
      <c r="CB36" s="52"/>
      <c r="CC36" s="52"/>
      <c r="CD36" s="52"/>
    </row>
    <row r="37" ht="20" customHeight="1" spans="1:69" x14ac:dyDescent="0.25">
      <c r="A37" s="1">
        <v>31</v>
      </c>
      <c r="B37" s="2" t="s">
        <v>146</v>
      </c>
      <c r="C37" s="2" t="s">
        <v>222</v>
      </c>
      <c r="J37" s="1"/>
      <c r="K37" s="77">
        <v>92</v>
      </c>
      <c r="L37" s="78">
        <f>IF(K37&gt;=91, 4.00, IF(K37&gt;=81, 3.50, IF(K37&gt;=70, 3.00, IF(K37&gt;=65, 2.50, IF(K37&gt;=60, 2.00, IF(K37&gt;=55, 1.50, IF(K37&gt;=50, 1.00, 0.00)))))))</f>
      </c>
      <c r="M37" s="79">
        <f>IF(K37&gt;=91,"A",IF(K37&gt;=81,"B+",IF(K37&gt;=70,"B",IF(K37&gt;=65,"C+",IF(K37&gt;=60,"C",IF(K37&gt;=55,"D+",IF(K37&gt;=50,"D","F")))))))</f>
      </c>
      <c r="N37" s="77">
        <v>95</v>
      </c>
      <c r="O37" s="78">
        <f>IF(N37&gt;=91, 4.00, IF(N37&gt;=81, 3.50, IF(N37&gt;=70, 3.00, IF(N37&gt;=65, 2.50, IF(N37&gt;=60, 2.00, IF(N37&gt;=55, 1.50, IF(N37&gt;=50, 1.00, 0.00)))))))</f>
      </c>
      <c r="P37" s="79">
        <f>IF(N37&gt;=91,"A",IF(N37&gt;=81,"B+",IF(N37&gt;=70,"B",IF(N37&gt;=65,"C+",IF(N37&gt;=60,"C",IF(N37&gt;=55,"D+",IF(N37&gt;=50,"D","F")))))))</f>
      </c>
      <c r="Q37" s="77">
        <v>77</v>
      </c>
      <c r="R37" s="78">
        <f>IF(Q37&gt;=91, 4.00, IF(Q37&gt;=81, 3.50, IF(Q37&gt;=70, 3.00, IF(Q37&gt;=65, 2.50, IF(Q37&gt;=60, 2.00, IF(Q37&gt;=55, 1.50, IF(Q37&gt;=50, 1.00, 0.00)))))))</f>
      </c>
      <c r="S37" s="79">
        <f>IF(Q37&gt;=91,"A",IF(Q37&gt;=81,"B+",IF(Q37&gt;=70,"B",IF(Q37&gt;=65,"C+",IF(Q37&gt;=60,"C",IF(Q37&gt;=55,"D+",IF(Q37&gt;=50,"D","F")))))))</f>
      </c>
      <c r="T37" s="77">
        <v>80</v>
      </c>
      <c r="U37" s="78">
        <f>IF(T37&gt;=91, 4.00, IF(T37&gt;=81, 3.50, IF(T37&gt;=70, 3.00, IF(T37&gt;=65, 2.50, IF(T37&gt;=60, 2.00, IF(T37&gt;=55, 1.50, IF(T37&gt;=50, 1.00, 0.00)))))))</f>
      </c>
      <c r="V37" s="79">
        <f>IF(T37&gt;=91,"A",IF(T37&gt;=81,"B+",IF(T37&gt;=70,"B",IF(T37&gt;=65,"C+",IF(T37&gt;=60,"C",IF(T37&gt;=55,"D+",IF(T37&gt;=50,"D","F")))))))</f>
      </c>
      <c r="W37" s="77">
        <v>83</v>
      </c>
      <c r="X37" s="78">
        <f>IF(W37&gt;=91, 4.00, IF(W37&gt;=81, 3.50, IF(W37&gt;=70, 3.00, IF(W37&gt;=65, 2.50, IF(W37&gt;=60, 2.00, IF(W37&gt;=55, 1.50, IF(W37&gt;=50, 1.00, 0.00)))))))</f>
      </c>
      <c r="Y37" s="79">
        <f>IF(W37&gt;=91,"A",IF(W37&gt;=81,"B+",IF(W37&gt;=70,"B",IF(W37&gt;=65,"C+",IF(W37&gt;=60,"C",IF(W37&gt;=55,"D+",IF(W37&gt;=50,"D","F")))))))</f>
      </c>
      <c r="Z37" s="77">
        <v>86</v>
      </c>
      <c r="AA37" s="78">
        <f>IF(Z37&gt;=91, 4.00, IF(Z37&gt;=81, 3.50, IF(Z37&gt;=70, 3.00, IF(Z37&gt;=65, 2.50, IF(Z37&gt;=60, 2.00, IF(Z37&gt;=55, 1.50, IF(Z37&gt;=50, 1.00, 0.00)))))))</f>
      </c>
      <c r="AB37" s="79">
        <f>IF(Z37&gt;=91,"A",IF(Z37&gt;=81,"B+",IF(Z37&gt;=70,"B",IF(Z37&gt;=65,"C+",IF(Z37&gt;=60,"C",IF(Z37&gt;=55,"D+",IF(Z37&gt;=50,"D","F")))))))</f>
      </c>
      <c r="AC37" s="77">
        <v>89</v>
      </c>
      <c r="AD37" s="78">
        <f>IF(AC37&gt;=91, 4.00, IF(AC37&gt;=81, 3.50, IF(AC37&gt;=70, 3.00, IF(AC37&gt;=65, 2.50, IF(AC37&gt;=60, 2.00, IF(AC37&gt;=55, 1.50, IF(AC37&gt;=50, 1.00, 0.00)))))))</f>
      </c>
      <c r="AE37" s="79">
        <f>IF(AC37&gt;=91,"A",IF(AC37&gt;=81,"B+",IF(AC37&gt;=70,"B",IF(AC37&gt;=65,"C+",IF(AC37&gt;=60,"C",IF(AC37&gt;=55,"D+",IF(AC37&gt;=50,"D","F")))))))</f>
      </c>
      <c r="AF37" s="77">
        <v>92</v>
      </c>
      <c r="AG37" s="78">
        <f>IF(AF37&gt;=91, 4.00, IF(AF37&gt;=81, 3.50, IF(AF37&gt;=70, 3.00, IF(AF37&gt;=65, 2.50, IF(AF37&gt;=60, 2.00, IF(AF37&gt;=55, 1.50, IF(AF37&gt;=50, 1.00, 0.00)))))))</f>
      </c>
      <c r="AH37" s="79">
        <f>IF(AF37&gt;=91,"A",IF(AF37&gt;=81,"B+",IF(AF37&gt;=70,"B",IF(AF37&gt;=65,"C+",IF(AF37&gt;=60,"C",IF(AF37&gt;=55,"D+",IF(AF37&gt;=50,"D","F")))))))</f>
      </c>
      <c r="AI37" s="77">
        <v>95</v>
      </c>
      <c r="AJ37" s="78">
        <f>IF(AI37&gt;=91, 4.00, IF(AI37&gt;=81, 3.50, IF(AI37&gt;=70, 3.00, IF(AI37&gt;=65, 2.50, IF(AI37&gt;=60, 2.00, IF(AI37&gt;=55, 1.50, IF(AI37&gt;=50, 1.00, 0.00)))))))</f>
      </c>
      <c r="AK37" s="79">
        <f>IF(AI37&gt;=91,"A",IF(AI37&gt;=81,"B+",IF(AI37&gt;=70,"B",IF(AI37&gt;=65,"C+",IF(AI37&gt;=60,"C",IF(AI37&gt;=55,"D+",IF(AI37&gt;=50,"D","F")))))))</f>
      </c>
      <c r="AL37" s="80">
        <f>ROUND((L37*3+O37*2+R37*1+U37*2+X37*1+AA37*2+AD37*2+AG37*2+AJ37*2)/17, 2)</f>
      </c>
      <c r="AM37" s="81">
        <v>78</v>
      </c>
      <c r="AN37" s="82">
        <f>IF(AM37&gt;=91, 4.00, IF(AM37&gt;=81, 3.50, IF(AM37&gt;=70, 3.00, IF(AM37&gt;=65, 2.50, IF(AM37&gt;=60, 2.00, IF(AM37&gt;=55, 1.50, IF(AM37&gt;=50, 1.00, 0.00)))))))</f>
      </c>
      <c r="AO37" s="83">
        <f>IF(AM37&gt;=91,"A",IF(AM37&gt;=81,"B+",IF(AM37&gt;=70,"B",IF(AM37&gt;=65,"C+",IF(AM37&gt;=60,"C",IF(AM37&gt;=55,"D+",IF(AM37&gt;=50,"D","F")))))))</f>
      </c>
      <c r="AP37" s="81">
        <v>81</v>
      </c>
      <c r="AQ37" s="82">
        <f>IF(AP37&gt;=91, 4.00, IF(AP37&gt;=81, 3.50, IF(AP37&gt;=70, 3.00, IF(AP37&gt;=65, 2.50, IF(AP37&gt;=60, 2.00, IF(AP37&gt;=55, 1.50, IF(AP37&gt;=50, 1.00, 0.00)))))))</f>
      </c>
      <c r="AR37" s="83">
        <f>IF(AP37&gt;=91,"A",IF(AP37&gt;=81,"B+",IF(AP37&gt;=70,"B",IF(AP37&gt;=65,"C+",IF(AP37&gt;=60,"C",IF(AP37&gt;=55,"D+",IF(AP37&gt;=50,"D","F")))))))</f>
      </c>
      <c r="AS37" s="81">
        <v>84</v>
      </c>
      <c r="AT37" s="82">
        <f>IF(AS37&gt;=91, 4.00, IF(AS37&gt;=81, 3.50, IF(AS37&gt;=70, 3.00, IF(AS37&gt;=65, 2.50, IF(AS37&gt;=60, 2.00, IF(AS37&gt;=55, 1.50, IF(AS37&gt;=50, 1.00, 0.00)))))))</f>
      </c>
      <c r="AU37" s="83">
        <f>IF(AS37&gt;=91,"A",IF(AS37&gt;=81,"B+",IF(AS37&gt;=70,"B",IF(AS37&gt;=65,"C+",IF(AS37&gt;=60,"C",IF(AS37&gt;=55,"D+",IF(AS37&gt;=50,"D","F")))))))</f>
      </c>
      <c r="AV37" s="81">
        <v>87</v>
      </c>
      <c r="AW37" s="78">
        <f>IF(AV37&gt;=91, 4.00, IF(AV37&gt;=81, 3.50, IF(AV37&gt;=70, 3.00, IF(AV37&gt;=65, 2.50, IF(AV37&gt;=60, 2.00, IF(AV37&gt;=55, 1.50, IF(AV37&gt;=50, 1.00, 0.00)))))))</f>
      </c>
      <c r="AX37" s="79">
        <f>IF(AV37&gt;=91,"A",IF(AV37&gt;=81,"B+",IF(AV37&gt;=70,"B",IF(AV37&gt;=65,"C+",IF(AV37&gt;=60,"C",IF(AV37&gt;=55,"D+",IF(AV37&gt;=50,"D","F")))))))</f>
      </c>
      <c r="AY37" s="77">
        <v>90</v>
      </c>
      <c r="AZ37" s="78">
        <f>IF(AY37&gt;=91, 4.00, IF(AY37&gt;=81, 3.50, IF(AY37&gt;=70, 3.00, IF(AY37&gt;=65, 2.50, IF(AY37&gt;=60, 2.00, IF(AY37&gt;=55, 1.50, IF(AY37&gt;=50, 1.00, 0.00)))))))</f>
      </c>
      <c r="BA37" s="79">
        <f>IF(AY37&gt;=91,"A",IF(AY37&gt;=81,"B+",IF(AY37&gt;=70,"B",IF(AY37&gt;=65,"C+",IF(AY37&gt;=60,"C",IF(AY37&gt;=55,"D+",IF(AY37&gt;=50,"D","F")))))))</f>
      </c>
      <c r="BB37" s="77">
        <v>93</v>
      </c>
      <c r="BC37" s="78">
        <f>IF(BB37&gt;=91, 4.00, IF(BB37&gt;=81, 3.50, IF(BB37&gt;=70, 3.00, IF(BB37&gt;=65, 2.50, IF(BB37&gt;=60, 2.00, IF(BB37&gt;=55, 1.50, IF(BB37&gt;=50, 1.00, 0.00)))))))</f>
      </c>
      <c r="BD37" s="79">
        <f>IF(BB37&gt;=91,"A",IF(BB37&gt;=81,"B+",IF(BB37&gt;=70,"B",IF(BB37&gt;=65,"C+",IF(BB37&gt;=60,"C",IF(BB37&gt;=55,"D+",IF(BB37&gt;=50,"D","F")))))))</f>
      </c>
      <c r="BE37" s="77">
        <v>75</v>
      </c>
      <c r="BF37" s="78">
        <f>IF(BE37&gt;=91, 4.00, IF(BE37&gt;=81, 3.50, IF(BE37&gt;=70, 3.00, IF(BE37&gt;=65, 2.50, IF(BE37&gt;=60, 2.00, IF(BE37&gt;=55, 1.50, IF(BE37&gt;=50, 1.00, 0.00)))))))</f>
      </c>
      <c r="BG37" s="79">
        <f>IF(BE37&gt;=91,"A",IF(BE37&gt;=81,"B+",IF(BE37&gt;=70,"B",IF(BE37&gt;=65,"C+",IF(BE37&gt;=60,"C",IF(BE37&gt;=55,"D+",IF(BE37&gt;=50,"D","F")))))))</f>
      </c>
      <c r="BH37" s="77">
        <v>78</v>
      </c>
      <c r="BI37" s="78">
        <f>IF(BH37&gt;=91, 4.00, IF(BH37&gt;=81, 3.50, IF(BH37&gt;=70, 3.00, IF(BH37&gt;=65, 2.50, IF(BH37&gt;=60, 2.00, IF(BH37&gt;=55, 1.50, IF(BH37&gt;=50, 1.00, 0.00)))))))</f>
      </c>
      <c r="BJ37" s="79">
        <f>IF(BH37&gt;=91,"A",IF(BH37&gt;=81,"B+",IF(BH37&gt;=70,"B",IF(BH37&gt;=65,"C+",IF(BH37&gt;=60,"C",IF(BH37&gt;=55,"D+",IF(BH37&gt;=50,"D","F")))))))</f>
      </c>
      <c r="BK37" s="77">
        <v>81</v>
      </c>
      <c r="BL37" s="78">
        <f>IF(BK37&gt;=91, 4.00, IF(BK37&gt;=81, 3.50, IF(BK37&gt;=70, 3.00, IF(BK37&gt;=65, 2.50, IF(BK37&gt;=60, 2.00, IF(BK37&gt;=55, 1.50, IF(BK37&gt;=50, 1.00, 0.00)))))))</f>
      </c>
      <c r="BM37" s="79">
        <f>IF(BK37&gt;=91,"A",IF(BK37&gt;=81,"B+",IF(BK37&gt;=70,"B",IF(BK37&gt;=65,"C+",IF(BK37&gt;=60,"C",IF(BK37&gt;=55,"D+",IF(BK37&gt;=50,"D","F")))))))</f>
      </c>
      <c r="BN37" s="77">
        <v>84</v>
      </c>
      <c r="BO37" s="78">
        <f>IF(BN37&gt;=91, 4.00, IF(BN37&gt;=81, 3.50, IF(BN37&gt;=70, 3.00, IF(BN37&gt;=65, 2.50, IF(BN37&gt;=60, 2.00, IF(BN37&gt;=55, 1.50, IF(BN37&gt;=50, 1.00, 0.00)))))))</f>
      </c>
      <c r="BP37" s="79">
        <f>IF(BN37&gt;=91,"A",IF(BN37&gt;=81,"B+",IF(BN37&gt;=70,"B",IF(BN37&gt;=65,"C+",IF(BN37&gt;=60,"C",IF(BN37&gt;=55,"D+",IF(BN37&gt;=50,"D","F")))))))</f>
      </c>
      <c r="BQ37" s="84">
        <f>ROUND((AN37*3+AQ37*2+AT37*1+AW37*2+AZ37*1+BC37*1+BF37*2+BI37*2+BL37*2+BO37*3)/19, 2)</f>
      </c>
    </row>
    <row r="38" ht="16" customHeight="1" spans="1:68" x14ac:dyDescent="0.25">
      <c r="A38" s="1"/>
      <c r="B38" s="2"/>
      <c r="C38" s="2"/>
      <c r="J38" s="1"/>
      <c r="M38" s="1"/>
      <c r="P38" s="1"/>
      <c r="S38" s="1"/>
      <c r="T38" s="1"/>
      <c r="U38" s="85" t="s">
        <v>223</v>
      </c>
      <c r="V38" s="1"/>
      <c r="Y38" s="1"/>
      <c r="AB38" s="1"/>
      <c r="AE38" s="1"/>
      <c r="AF38" s="1"/>
      <c r="AG38" s="1"/>
      <c r="AH38" s="1"/>
      <c r="AI38" s="1"/>
      <c r="AJ38" s="1"/>
      <c r="AK38" s="1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Y38" s="1"/>
      <c r="AZ38" s="1"/>
      <c r="BA38" s="1"/>
      <c r="BB38" s="1"/>
      <c r="BC38" s="1"/>
      <c r="BD38" s="1"/>
      <c r="BE38" s="1"/>
      <c r="BH38" s="1"/>
      <c r="BK38" s="1"/>
      <c r="BN38" s="1"/>
      <c r="BO38" s="85" t="s">
        <v>223</v>
      </c>
      <c r="BP38" s="1"/>
    </row>
    <row r="39" spans="1:68" x14ac:dyDescent="0.25">
      <c r="A39" s="1"/>
      <c r="B39" s="2"/>
      <c r="C39" s="2"/>
      <c r="J39" s="1"/>
      <c r="M39" s="1"/>
      <c r="P39" s="1"/>
      <c r="S39" s="1"/>
      <c r="T39" s="1"/>
      <c r="U39" s="1"/>
      <c r="V39" s="1"/>
      <c r="Y39" s="1"/>
      <c r="AB39" s="1"/>
      <c r="AE39" s="1"/>
      <c r="AF39" s="1"/>
      <c r="AG39" s="1"/>
      <c r="AH39" s="1"/>
      <c r="AI39" s="1"/>
      <c r="AJ39" s="1"/>
      <c r="AK39" s="1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Y39" s="1"/>
      <c r="AZ39" s="1"/>
      <c r="BA39" s="1"/>
      <c r="BB39" s="1"/>
      <c r="BC39" s="1"/>
      <c r="BD39" s="1"/>
      <c r="BE39" s="1"/>
      <c r="BH39" s="1"/>
      <c r="BK39" s="1"/>
      <c r="BN39" s="1"/>
      <c r="BO39" s="1"/>
      <c r="BP39" s="1"/>
    </row>
    <row r="40" ht="16" customHeight="1" spans="1:68" x14ac:dyDescent="0.25">
      <c r="A40" s="1"/>
      <c r="B40" s="2"/>
      <c r="C40" s="2"/>
      <c r="J40" s="1"/>
      <c r="M40" s="1"/>
      <c r="P40" s="1"/>
      <c r="S40" s="1"/>
      <c r="T40" s="1"/>
      <c r="U40" s="86" t="s">
        <v>224</v>
      </c>
      <c r="V40" s="1"/>
      <c r="Y40" s="1"/>
      <c r="AB40" s="1"/>
      <c r="AE40" s="1"/>
      <c r="AF40" s="1"/>
      <c r="AG40" s="1"/>
      <c r="AH40" s="1"/>
      <c r="AI40" s="1"/>
      <c r="AJ40" s="1"/>
      <c r="AK40" s="1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Y40" s="1"/>
      <c r="AZ40" s="1"/>
      <c r="BA40" s="1"/>
      <c r="BB40" s="1"/>
      <c r="BC40" s="1"/>
      <c r="BD40" s="1"/>
      <c r="BE40" s="1"/>
      <c r="BH40" s="1"/>
      <c r="BK40" s="1"/>
      <c r="BN40" s="1"/>
      <c r="BO40" s="86" t="s">
        <v>224</v>
      </c>
      <c r="BP40" s="1"/>
    </row>
  </sheetData>
  <mergeCells count="1">
    <mergeCell ref="A1:CU6"/>
  </mergeCells>
  <conditionalFormatting sqref="B11"/>
  <conditionalFormatting sqref="AO11"/>
  <printOptions horizontalCentered="1"/>
  <pageMargins left="0" right="0" top="0.5" bottom="0" header="0.3" footer="0.3"/>
  <pageSetup paperSize="9" orientation="landscape" horizontalDpi="4294967293" verticalDpi="0" scale="24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40"/>
  <sheetViews>
    <sheetView workbookViewId="0">
      <selection activeCell="A1" sqref="A1"/>
    </sheetView>
  </sheetViews>
  <sheetFormatPr defaultRowHeight="15" outlineLevelRow="0" outlineLevelCol="0" x14ac:dyDescent="0" defaultColWidth="9"/>
  <cols>
    <col min="1" max="1" width="4.5" style="98" customWidth="1"/>
    <col min="2" max="2" width="16.1640625" style="2" customWidth="1"/>
    <col min="3" max="3" width="5.5" style="2" customWidth="1"/>
    <col min="4" max="4" width="13" style="53" customWidth="1"/>
    <col min="5" max="5" width="16.33203125" style="53" customWidth="1"/>
    <col min="6" max="6" width="15" style="53" customWidth="1"/>
    <col min="7" max="7" width="23.33203125" style="53" customWidth="1"/>
    <col min="8" max="8" width="14.1640625" style="53" customWidth="1"/>
    <col min="9" max="9" width="21" style="53" customWidth="1"/>
    <col min="10" max="10" width="4.33203125" style="98" customWidth="1"/>
    <col min="11" max="12" width="6.6640625" style="53" customWidth="1"/>
    <col min="13" max="13" width="6.6640625" style="98" customWidth="1"/>
    <col min="14" max="14" width="7.1640625" style="53" customWidth="1"/>
    <col min="15" max="15" width="6.1640625" style="53" customWidth="1"/>
    <col min="16" max="16" width="6.1640625" style="98" customWidth="1"/>
    <col min="17" max="18" width="6" style="53" customWidth="1"/>
    <col min="19" max="19" width="6" style="98" customWidth="1"/>
    <col min="20" max="22" width="6.5" style="98" customWidth="1"/>
    <col min="23" max="23" width="6.33203125" style="53" customWidth="1"/>
    <col min="24" max="24" width="8.5" style="53" customWidth="1"/>
    <col min="25" max="25" width="7.1640625" style="98" customWidth="1"/>
    <col min="26" max="27" width="6" style="53" customWidth="1"/>
    <col min="28" max="28" width="9.5" style="98" customWidth="1"/>
    <col min="29" max="30" width="6" style="53" customWidth="1"/>
    <col min="31" max="34" width="6" style="98" customWidth="1"/>
    <col min="35" max="35" width="9.1640625" style="53" customWidth="1"/>
    <col min="36" max="36" width="8.1640625" style="53" customWidth="1"/>
    <col min="37" max="37" width="6.83203125" style="98" customWidth="1"/>
    <col min="38" max="39" width="6" style="53" customWidth="1"/>
    <col min="40" max="40" width="10.1640625" style="98" customWidth="1"/>
    <col min="41" max="43" width="6" style="98" customWidth="1"/>
    <col min="44" max="44" width="5.5" style="99" customWidth="1"/>
    <col min="45" max="45" width="4.1640625" style="99" customWidth="1"/>
    <col min="46" max="46" width="4.33203125" style="99" customWidth="1"/>
    <col min="47" max="47" width="12.83203125" style="99" customWidth="1"/>
    <col min="48" max="48" width="8.1640625" style="99" customWidth="1"/>
    <col min="49" max="49" width="13.5" style="99" customWidth="1"/>
    <col min="50" max="50" width="20.5" style="99" customWidth="1"/>
    <col min="51" max="51" width="14.83203125" style="99" customWidth="1"/>
    <col min="52" max="52" width="23.83203125" style="99" customWidth="1"/>
    <col min="53" max="54" width="15.6640625" style="99" customWidth="1"/>
    <col min="55" max="56" width="6" style="53" customWidth="1"/>
    <col min="57" max="63" width="6" style="98" customWidth="1"/>
    <col min="64" max="65" width="6" style="53" customWidth="1"/>
    <col min="66" max="66" width="6" style="98" customWidth="1"/>
    <col min="67" max="68" width="6" style="53" customWidth="1"/>
    <col min="69" max="69" width="6" style="98" customWidth="1"/>
    <col min="70" max="70" width="7.33203125" style="53" customWidth="1"/>
    <col min="71" max="71" width="6" style="53" customWidth="1"/>
    <col min="72" max="81" width="6" style="98" customWidth="1"/>
    <col min="82" max="84" width="6.83203125" style="99" customWidth="1"/>
    <col min="85" max="85" width="11" style="100" customWidth="1"/>
    <col min="86" max="88" width="9" style="99" customWidth="1"/>
    <col min="89" max="16384" width="9" style="101" customWidth="1"/>
  </cols>
  <sheetData>
    <row r="1" ht="32.25" customHeight="1" spans="1:85" x14ac:dyDescent="0.25">
      <c r="A1" s="102" t="s">
        <v>234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3"/>
      <c r="AT1" s="102" t="s">
        <v>234</v>
      </c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2"/>
      <c r="BF1" s="102"/>
      <c r="BG1" s="102"/>
      <c r="BH1" s="102"/>
      <c r="BI1" s="102"/>
      <c r="BJ1" s="102"/>
      <c r="BK1" s="102"/>
      <c r="BL1" s="102"/>
      <c r="BM1" s="102"/>
      <c r="BN1" s="102"/>
      <c r="BO1" s="102"/>
      <c r="BP1" s="102"/>
      <c r="BQ1" s="102"/>
      <c r="BR1" s="102"/>
      <c r="BS1" s="102"/>
      <c r="BT1" s="102"/>
      <c r="BU1" s="102"/>
      <c r="BV1" s="102"/>
      <c r="BW1" s="102"/>
      <c r="BX1" s="102"/>
      <c r="BY1" s="102"/>
      <c r="BZ1" s="102"/>
      <c r="CA1" s="102"/>
      <c r="CB1" s="102"/>
      <c r="CC1" s="102"/>
      <c r="CD1" s="102"/>
      <c r="CE1" s="102"/>
      <c r="CF1" s="102"/>
      <c r="CG1" s="102"/>
    </row>
    <row r="2" ht="33.75" customHeight="1" spans="1:85" x14ac:dyDescent="0.25">
      <c r="A2" s="8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0" t="s">
        <v>10</v>
      </c>
      <c r="J2" s="12" t="s">
        <v>11</v>
      </c>
      <c r="K2" s="104" t="s">
        <v>235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104"/>
      <c r="AI2" s="104"/>
      <c r="AJ2" s="104"/>
      <c r="AK2" s="104"/>
      <c r="AL2" s="104"/>
      <c r="AM2" s="104"/>
      <c r="AN2" s="104"/>
      <c r="AO2" s="104"/>
      <c r="AP2" s="104"/>
      <c r="AQ2" s="104"/>
      <c r="AR2" s="16" t="s">
        <v>15</v>
      </c>
      <c r="AS2" s="17"/>
      <c r="AT2" s="8" t="s">
        <v>14</v>
      </c>
      <c r="AU2" s="9" t="s">
        <v>15</v>
      </c>
      <c r="AV2" s="9" t="s">
        <v>16</v>
      </c>
      <c r="AW2" s="10" t="s">
        <v>14</v>
      </c>
      <c r="AX2" s="10" t="s">
        <v>15</v>
      </c>
      <c r="AY2" s="10" t="s">
        <v>16</v>
      </c>
      <c r="AZ2" s="10" t="s">
        <v>14</v>
      </c>
      <c r="BA2" s="11" t="s">
        <v>15</v>
      </c>
      <c r="BB2" s="10" t="s">
        <v>16</v>
      </c>
      <c r="BC2" s="104" t="s">
        <v>236</v>
      </c>
      <c r="BD2" s="104"/>
      <c r="BE2" s="104"/>
      <c r="BF2" s="104"/>
      <c r="BG2" s="104"/>
      <c r="BH2" s="104"/>
      <c r="BI2" s="104"/>
      <c r="BJ2" s="104"/>
      <c r="BK2" s="104"/>
      <c r="BL2" s="104"/>
      <c r="BM2" s="104"/>
      <c r="BN2" s="104"/>
      <c r="BO2" s="104"/>
      <c r="BP2" s="104"/>
      <c r="BQ2" s="104"/>
      <c r="BR2" s="104"/>
      <c r="BS2" s="104"/>
      <c r="BT2" s="104"/>
      <c r="BU2" s="104"/>
      <c r="BV2" s="104"/>
      <c r="BW2" s="104"/>
      <c r="BX2" s="104"/>
      <c r="BY2" s="104"/>
      <c r="BZ2" s="104"/>
      <c r="CA2" s="104"/>
      <c r="CB2" s="104"/>
      <c r="CC2" s="104"/>
      <c r="CD2" s="16" t="s">
        <v>18</v>
      </c>
      <c r="CE2" s="105" t="s">
        <v>19</v>
      </c>
      <c r="CF2" s="105" t="s">
        <v>20</v>
      </c>
      <c r="CG2" s="105" t="s">
        <v>21</v>
      </c>
    </row>
    <row r="3" ht="48" customHeight="1" spans="1:85" x14ac:dyDescent="0.25">
      <c r="A3" s="8"/>
      <c r="B3" s="9"/>
      <c r="C3" s="9"/>
      <c r="D3" s="10"/>
      <c r="E3" s="10"/>
      <c r="F3" s="10"/>
      <c r="G3" s="10"/>
      <c r="H3" s="11"/>
      <c r="I3" s="10"/>
      <c r="J3" s="12"/>
      <c r="K3" s="58" t="s">
        <v>237</v>
      </c>
      <c r="L3" s="58"/>
      <c r="M3" s="58"/>
      <c r="N3" s="58" t="s">
        <v>238</v>
      </c>
      <c r="O3" s="58"/>
      <c r="P3" s="58"/>
      <c r="Q3" s="58" t="s">
        <v>239</v>
      </c>
      <c r="R3" s="58"/>
      <c r="S3" s="58"/>
      <c r="T3" s="106" t="s">
        <v>240</v>
      </c>
      <c r="U3" s="106"/>
      <c r="V3" s="106"/>
      <c r="W3" s="106" t="s">
        <v>241</v>
      </c>
      <c r="X3" s="106"/>
      <c r="Y3" s="106"/>
      <c r="Z3" s="58" t="s">
        <v>242</v>
      </c>
      <c r="AA3" s="58"/>
      <c r="AB3" s="58"/>
      <c r="AC3" s="58" t="s">
        <v>243</v>
      </c>
      <c r="AD3" s="58"/>
      <c r="AE3" s="58"/>
      <c r="AF3" s="58" t="s">
        <v>244</v>
      </c>
      <c r="AG3" s="58"/>
      <c r="AH3" s="58"/>
      <c r="AI3" s="107" t="s">
        <v>245</v>
      </c>
      <c r="AJ3" s="107"/>
      <c r="AK3" s="107"/>
      <c r="AL3" s="108" t="s">
        <v>246</v>
      </c>
      <c r="AM3" s="108"/>
      <c r="AN3" s="108"/>
      <c r="AO3" s="108" t="s">
        <v>247</v>
      </c>
      <c r="AP3" s="108"/>
      <c r="AQ3" s="108"/>
      <c r="AR3" s="16"/>
      <c r="AS3" s="17"/>
      <c r="AT3" s="8"/>
      <c r="AU3" s="9"/>
      <c r="AV3" s="9"/>
      <c r="AW3" s="10"/>
      <c r="AX3" s="10"/>
      <c r="AY3" s="10"/>
      <c r="AZ3" s="10"/>
      <c r="BA3" s="11"/>
      <c r="BB3" s="10"/>
      <c r="BC3" s="27" t="s">
        <v>248</v>
      </c>
      <c r="BD3" s="27"/>
      <c r="BE3" s="27"/>
      <c r="BF3" s="27" t="s">
        <v>249</v>
      </c>
      <c r="BG3" s="27"/>
      <c r="BH3" s="27"/>
      <c r="BI3" s="27" t="s">
        <v>250</v>
      </c>
      <c r="BJ3" s="27"/>
      <c r="BK3" s="27"/>
      <c r="BL3" s="27" t="s">
        <v>251</v>
      </c>
      <c r="BM3" s="27"/>
      <c r="BN3" s="27"/>
      <c r="BO3" s="109" t="s">
        <v>252</v>
      </c>
      <c r="BP3" s="109"/>
      <c r="BQ3" s="109"/>
      <c r="BR3" s="27" t="s">
        <v>253</v>
      </c>
      <c r="BS3" s="27"/>
      <c r="BT3" s="27"/>
      <c r="BU3" s="27" t="s">
        <v>254</v>
      </c>
      <c r="BV3" s="27"/>
      <c r="BW3" s="27"/>
      <c r="BX3" s="27" t="s">
        <v>255</v>
      </c>
      <c r="BY3" s="27"/>
      <c r="BZ3" s="27"/>
      <c r="CA3" s="27" t="s">
        <v>256</v>
      </c>
      <c r="CB3" s="27"/>
      <c r="CC3" s="27"/>
      <c r="CD3" s="16"/>
      <c r="CE3" s="105"/>
      <c r="CF3" s="105"/>
      <c r="CG3" s="105"/>
    </row>
    <row r="4" ht="24.75" customHeight="1" spans="1:199" s="28" customFormat="1" x14ac:dyDescent="0.25">
      <c r="A4" s="8"/>
      <c r="B4" s="9"/>
      <c r="C4" s="9"/>
      <c r="D4" s="10"/>
      <c r="E4" s="10"/>
      <c r="F4" s="10"/>
      <c r="G4" s="10"/>
      <c r="H4" s="11"/>
      <c r="I4" s="10"/>
      <c r="J4" s="12"/>
      <c r="K4" s="29" t="s">
        <v>16</v>
      </c>
      <c r="L4" s="29" t="s">
        <v>14</v>
      </c>
      <c r="M4" s="29" t="s">
        <v>15</v>
      </c>
      <c r="N4" s="29" t="s">
        <v>16</v>
      </c>
      <c r="O4" s="29" t="s">
        <v>14</v>
      </c>
      <c r="P4" s="29" t="s">
        <v>15</v>
      </c>
      <c r="Q4" s="29" t="s">
        <v>16</v>
      </c>
      <c r="R4" s="29" t="s">
        <v>14</v>
      </c>
      <c r="S4" s="29" t="s">
        <v>15</v>
      </c>
      <c r="T4" s="29" t="s">
        <v>16</v>
      </c>
      <c r="U4" s="29" t="s">
        <v>14</v>
      </c>
      <c r="V4" s="29" t="s">
        <v>15</v>
      </c>
      <c r="W4" s="29" t="s">
        <v>16</v>
      </c>
      <c r="X4" s="29" t="s">
        <v>14</v>
      </c>
      <c r="Y4" s="29" t="s">
        <v>15</v>
      </c>
      <c r="Z4" s="29" t="s">
        <v>16</v>
      </c>
      <c r="AA4" s="29" t="s">
        <v>14</v>
      </c>
      <c r="AB4" s="29" t="s">
        <v>15</v>
      </c>
      <c r="AC4" s="29" t="s">
        <v>16</v>
      </c>
      <c r="AD4" s="29" t="s">
        <v>14</v>
      </c>
      <c r="AE4" s="29" t="s">
        <v>15</v>
      </c>
      <c r="AF4" s="29" t="s">
        <v>16</v>
      </c>
      <c r="AG4" s="29" t="s">
        <v>14</v>
      </c>
      <c r="AH4" s="29" t="s">
        <v>15</v>
      </c>
      <c r="AI4" s="29" t="s">
        <v>16</v>
      </c>
      <c r="AJ4" s="29" t="s">
        <v>14</v>
      </c>
      <c r="AK4" s="29" t="s">
        <v>15</v>
      </c>
      <c r="AL4" s="29" t="s">
        <v>257</v>
      </c>
      <c r="AM4" s="29" t="s">
        <v>16</v>
      </c>
      <c r="AN4" s="29" t="s">
        <v>14</v>
      </c>
      <c r="AO4" s="29" t="s">
        <v>15</v>
      </c>
      <c r="AP4" s="29" t="s">
        <v>16</v>
      </c>
      <c r="AQ4" s="29" t="s">
        <v>14</v>
      </c>
      <c r="AR4" s="16"/>
      <c r="AS4" s="17"/>
      <c r="AT4" s="8"/>
      <c r="AU4" s="9"/>
      <c r="AV4" s="9"/>
      <c r="AW4" s="10"/>
      <c r="AX4" s="10"/>
      <c r="AY4" s="10"/>
      <c r="AZ4" s="10"/>
      <c r="BA4" s="11"/>
      <c r="BB4" s="10"/>
      <c r="BC4" s="29" t="s">
        <v>14</v>
      </c>
      <c r="BD4" s="29" t="s">
        <v>15</v>
      </c>
      <c r="BE4" s="29" t="s">
        <v>16</v>
      </c>
      <c r="BF4" s="29" t="s">
        <v>14</v>
      </c>
      <c r="BG4" s="29" t="s">
        <v>15</v>
      </c>
      <c r="BH4" s="29" t="s">
        <v>16</v>
      </c>
      <c r="BI4" s="29" t="s">
        <v>14</v>
      </c>
      <c r="BJ4" s="29" t="s">
        <v>15</v>
      </c>
      <c r="BK4" s="29" t="s">
        <v>16</v>
      </c>
      <c r="BL4" s="29" t="s">
        <v>14</v>
      </c>
      <c r="BM4" s="29" t="s">
        <v>15</v>
      </c>
      <c r="BN4" s="29" t="s">
        <v>258</v>
      </c>
      <c r="BO4" s="29" t="s">
        <v>16</v>
      </c>
      <c r="BP4" s="29" t="s">
        <v>14</v>
      </c>
      <c r="BQ4" s="29" t="s">
        <v>15</v>
      </c>
      <c r="BR4" s="29" t="s">
        <v>16</v>
      </c>
      <c r="BS4" s="29" t="s">
        <v>14</v>
      </c>
      <c r="BT4" s="29" t="s">
        <v>15</v>
      </c>
      <c r="BU4" s="29" t="s">
        <v>16</v>
      </c>
      <c r="BV4" s="29" t="s">
        <v>14</v>
      </c>
      <c r="BW4" s="29" t="s">
        <v>15</v>
      </c>
      <c r="BX4" s="29" t="s">
        <v>16</v>
      </c>
      <c r="BY4" s="29" t="s">
        <v>14</v>
      </c>
      <c r="BZ4" s="29" t="s">
        <v>15</v>
      </c>
      <c r="CA4" s="29" t="s">
        <v>16</v>
      </c>
      <c r="CB4" s="29" t="s">
        <v>14</v>
      </c>
      <c r="CC4" s="29" t="s">
        <v>15</v>
      </c>
      <c r="CD4" s="16"/>
      <c r="CE4" s="105"/>
      <c r="CF4" s="105"/>
      <c r="CG4" s="105"/>
      <c r="CH4" s="31"/>
      <c r="CI4" s="31"/>
      <c r="CJ4" s="31"/>
      <c r="CK4" s="32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4"/>
      <c r="CW4" s="34"/>
      <c r="CX4" s="33"/>
      <c r="CY4" s="33"/>
      <c r="CZ4" s="34"/>
      <c r="DA4" s="34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</row>
    <row r="5" ht="24.75" customHeight="1" spans="1:199" s="110" customFormat="1" x14ac:dyDescent="0.25">
      <c r="A5" s="8"/>
      <c r="B5" s="9"/>
      <c r="C5" s="9"/>
      <c r="D5" s="10"/>
      <c r="E5" s="10"/>
      <c r="F5" s="10"/>
      <c r="G5" s="10"/>
      <c r="H5" s="11"/>
      <c r="I5" s="10"/>
      <c r="J5" s="12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16"/>
      <c r="AS5" s="17" t="s">
        <v>259</v>
      </c>
      <c r="AT5" s="8"/>
      <c r="AU5" s="9"/>
      <c r="AV5" s="9"/>
      <c r="AW5" s="10"/>
      <c r="AX5" s="10"/>
      <c r="AY5" s="10"/>
      <c r="AZ5" s="10"/>
      <c r="BA5" s="11"/>
      <c r="BB5" s="10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16"/>
      <c r="CE5" s="105"/>
      <c r="CF5" s="105"/>
      <c r="CG5" s="105"/>
      <c r="CH5" s="99"/>
      <c r="CI5" s="99"/>
      <c r="CJ5" s="99"/>
      <c r="CK5" s="101"/>
      <c r="CL5" s="101"/>
      <c r="CM5" s="101"/>
      <c r="CN5" s="101"/>
      <c r="CO5" s="101"/>
      <c r="CP5" s="101"/>
      <c r="CQ5" s="101"/>
      <c r="CR5" s="101"/>
      <c r="CS5" s="101"/>
      <c r="CT5" s="101"/>
      <c r="CU5" s="101"/>
      <c r="CV5" s="101"/>
      <c r="CW5" s="101"/>
      <c r="CX5" s="101"/>
      <c r="CY5" s="101"/>
      <c r="CZ5" s="101"/>
      <c r="DA5" s="101"/>
      <c r="DB5" s="101"/>
      <c r="DC5" s="101"/>
      <c r="DD5" s="101"/>
      <c r="DE5" s="101"/>
      <c r="DF5" s="101"/>
      <c r="DG5" s="101"/>
      <c r="DH5" s="101"/>
      <c r="DI5" s="101"/>
      <c r="DJ5" s="101"/>
      <c r="DK5" s="101"/>
      <c r="DL5" s="101"/>
      <c r="DM5" s="101"/>
      <c r="DN5" s="101"/>
      <c r="DO5" s="101"/>
      <c r="DP5" s="101"/>
      <c r="DQ5" s="101"/>
      <c r="DR5" s="101"/>
      <c r="DS5" s="101"/>
      <c r="DT5" s="101"/>
      <c r="DU5" s="101"/>
      <c r="DV5" s="101"/>
      <c r="DW5" s="101"/>
      <c r="DX5" s="101"/>
      <c r="DY5" s="101"/>
      <c r="DZ5" s="101"/>
      <c r="EA5" s="101"/>
      <c r="EB5" s="101"/>
      <c r="EC5" s="101"/>
      <c r="ED5" s="101"/>
      <c r="EE5" s="101"/>
      <c r="EF5" s="101"/>
      <c r="EG5" s="101"/>
      <c r="EH5" s="101"/>
      <c r="EI5" s="101"/>
      <c r="EJ5" s="101"/>
      <c r="EK5" s="101"/>
      <c r="EL5" s="101"/>
      <c r="EM5" s="101"/>
      <c r="EN5" s="101"/>
      <c r="EO5" s="101"/>
      <c r="EP5" s="101"/>
      <c r="EQ5" s="101"/>
      <c r="ER5" s="101"/>
      <c r="ES5" s="101"/>
      <c r="ET5" s="101"/>
      <c r="EU5" s="101"/>
      <c r="EV5" s="101"/>
      <c r="EW5" s="101"/>
      <c r="EX5" s="101"/>
      <c r="EY5" s="101"/>
      <c r="EZ5" s="101"/>
      <c r="FA5" s="101"/>
      <c r="FB5" s="101"/>
      <c r="FC5" s="101"/>
      <c r="FD5" s="101"/>
      <c r="FE5" s="101"/>
      <c r="FF5" s="101"/>
      <c r="FG5" s="101"/>
      <c r="FH5" s="101"/>
      <c r="FI5" s="101"/>
      <c r="FJ5" s="101"/>
      <c r="FK5" s="101"/>
      <c r="FL5" s="101"/>
      <c r="FM5" s="101"/>
      <c r="FN5" s="101"/>
      <c r="FO5" s="101"/>
      <c r="FP5" s="101"/>
      <c r="FQ5" s="101"/>
      <c r="FR5" s="101"/>
      <c r="FS5" s="101"/>
      <c r="FT5" s="101"/>
      <c r="FU5" s="101"/>
      <c r="FV5" s="101"/>
      <c r="FW5" s="101"/>
      <c r="FX5" s="101"/>
      <c r="FY5" s="101"/>
      <c r="FZ5" s="101"/>
      <c r="GA5" s="101"/>
      <c r="GB5" s="101"/>
      <c r="GC5" s="101"/>
      <c r="GD5" s="101"/>
      <c r="GE5" s="101"/>
      <c r="GF5" s="101"/>
      <c r="GG5" s="101"/>
      <c r="GH5" s="101"/>
      <c r="GI5" s="101"/>
      <c r="GJ5" s="101"/>
      <c r="GK5" s="101"/>
      <c r="GL5" s="101"/>
      <c r="GM5" s="101"/>
      <c r="GN5" s="101"/>
      <c r="GO5" s="101"/>
      <c r="GP5" s="101"/>
      <c r="GQ5" s="101"/>
    </row>
    <row r="6" ht="24.75" customHeight="1" spans="1:199" s="110" customFormat="1" x14ac:dyDescent="0.25">
      <c r="A6" s="8"/>
      <c r="B6" s="9"/>
      <c r="C6" s="9"/>
      <c r="D6" s="10"/>
      <c r="E6" s="10"/>
      <c r="F6" s="10"/>
      <c r="G6" s="10"/>
      <c r="H6" s="11"/>
      <c r="I6" s="10"/>
      <c r="J6" s="1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16"/>
      <c r="AS6" s="17" t="s">
        <v>16</v>
      </c>
      <c r="AT6" s="8"/>
      <c r="AU6" s="9"/>
      <c r="AV6" s="9"/>
      <c r="AW6" s="10"/>
      <c r="AX6" s="10"/>
      <c r="AY6" s="10"/>
      <c r="AZ6" s="10"/>
      <c r="BA6" s="11"/>
      <c r="BB6" s="10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16"/>
      <c r="CE6" s="105"/>
      <c r="CF6" s="105"/>
      <c r="CG6" s="105"/>
      <c r="CH6" s="99"/>
      <c r="CI6" s="99"/>
      <c r="CJ6" s="99"/>
      <c r="CK6" s="101"/>
      <c r="CL6" s="101"/>
      <c r="CM6" s="101"/>
      <c r="CN6" s="101"/>
      <c r="CO6" s="101"/>
      <c r="CP6" s="101"/>
      <c r="CQ6" s="101"/>
      <c r="CR6" s="101"/>
      <c r="CS6" s="101"/>
      <c r="CT6" s="101"/>
      <c r="CU6" s="101"/>
      <c r="CV6" s="101"/>
      <c r="CW6" s="101"/>
      <c r="CX6" s="101"/>
      <c r="CY6" s="101"/>
      <c r="CZ6" s="101"/>
      <c r="DA6" s="101"/>
      <c r="DB6" s="101"/>
      <c r="DC6" s="101"/>
      <c r="DD6" s="101"/>
      <c r="DE6" s="101"/>
      <c r="DF6" s="101"/>
      <c r="DG6" s="101"/>
      <c r="DH6" s="101"/>
      <c r="DI6" s="101"/>
      <c r="DJ6" s="101"/>
      <c r="DK6" s="101"/>
      <c r="DL6" s="101"/>
      <c r="DM6" s="101"/>
      <c r="DN6" s="101"/>
      <c r="DO6" s="101"/>
      <c r="DP6" s="101"/>
      <c r="DQ6" s="101"/>
      <c r="DR6" s="101"/>
      <c r="DS6" s="101"/>
      <c r="DT6" s="101"/>
      <c r="DU6" s="101"/>
      <c r="DV6" s="101"/>
      <c r="DW6" s="101"/>
      <c r="DX6" s="101"/>
      <c r="DY6" s="101"/>
      <c r="DZ6" s="101"/>
      <c r="EA6" s="101"/>
      <c r="EB6" s="101"/>
      <c r="EC6" s="101"/>
      <c r="ED6" s="101"/>
      <c r="EE6" s="101"/>
      <c r="EF6" s="101"/>
      <c r="EG6" s="101"/>
      <c r="EH6" s="101"/>
      <c r="EI6" s="101"/>
      <c r="EJ6" s="101"/>
      <c r="EK6" s="101"/>
      <c r="EL6" s="101"/>
      <c r="EM6" s="101"/>
      <c r="EN6" s="101"/>
      <c r="EO6" s="101"/>
      <c r="EP6" s="101"/>
      <c r="EQ6" s="101"/>
      <c r="ER6" s="101"/>
      <c r="ES6" s="101"/>
      <c r="ET6" s="101"/>
      <c r="EU6" s="101"/>
      <c r="EV6" s="101"/>
      <c r="EW6" s="101"/>
      <c r="EX6" s="101"/>
      <c r="EY6" s="101"/>
      <c r="EZ6" s="101"/>
      <c r="FA6" s="101"/>
      <c r="FB6" s="101"/>
      <c r="FC6" s="101"/>
      <c r="FD6" s="101"/>
      <c r="FE6" s="101"/>
      <c r="FF6" s="101"/>
      <c r="FG6" s="101"/>
      <c r="FH6" s="101"/>
      <c r="FI6" s="101"/>
      <c r="FJ6" s="101"/>
      <c r="FK6" s="101"/>
      <c r="FL6" s="101"/>
      <c r="FM6" s="101"/>
      <c r="FN6" s="101"/>
      <c r="FO6" s="101"/>
      <c r="FP6" s="101"/>
      <c r="FQ6" s="101"/>
      <c r="FR6" s="101"/>
      <c r="FS6" s="101"/>
      <c r="FT6" s="101"/>
      <c r="FU6" s="101"/>
      <c r="FV6" s="101"/>
      <c r="FW6" s="101"/>
      <c r="FX6" s="101"/>
      <c r="FY6" s="101"/>
      <c r="FZ6" s="101"/>
      <c r="GA6" s="101"/>
      <c r="GB6" s="101"/>
      <c r="GC6" s="101"/>
      <c r="GD6" s="101"/>
      <c r="GE6" s="101"/>
      <c r="GF6" s="101"/>
      <c r="GG6" s="101"/>
      <c r="GH6" s="101"/>
      <c r="GI6" s="101"/>
      <c r="GJ6" s="101"/>
      <c r="GK6" s="101"/>
      <c r="GL6" s="101"/>
      <c r="GM6" s="101"/>
      <c r="GN6" s="101"/>
      <c r="GO6" s="101"/>
      <c r="GP6" s="101"/>
      <c r="GQ6" s="101"/>
    </row>
    <row r="7" ht="20" customHeight="1" spans="1:199" s="39" customFormat="1" x14ac:dyDescent="0.25">
      <c r="A7" s="40">
        <v>1</v>
      </c>
      <c r="B7" s="40" t="s">
        <v>260</v>
      </c>
      <c r="C7" s="40" t="s">
        <v>43</v>
      </c>
      <c r="D7" s="40" t="s">
        <v>44</v>
      </c>
      <c r="E7" s="40" t="s">
        <v>45</v>
      </c>
      <c r="F7" s="40" t="s">
        <v>261</v>
      </c>
      <c r="G7" s="40" t="s">
        <v>47</v>
      </c>
      <c r="H7" s="111" t="s">
        <v>262</v>
      </c>
      <c r="I7" s="112"/>
      <c r="J7" s="40">
        <v>1</v>
      </c>
      <c r="K7" s="42">
        <v>86</v>
      </c>
      <c r="L7" s="40">
        <f>IF(K7&gt;=91, 4.00, IF(K7&gt;=81, 3.50, IF(K7&gt;=70, 3.00, IF(K7&gt;=65, 2.50, IF(K7&gt;=60, 2.00, IF(K7&gt;=55, 1.50, IF(K7&gt;=50, 1.00, 0.00)))))))</f>
      </c>
      <c r="M7" s="40">
        <f>IF(K7&gt;=91,"A",IF(K7&gt;=81,"B+",IF(K7&gt;=70,"B",IF(K7&gt;=65,"C+",IF(K7&gt;=60,"C",IF(K7&gt;=55,"D+",IF(K7&gt;=50,"D","F")))))))</f>
      </c>
      <c r="N7" s="42">
        <v>89</v>
      </c>
      <c r="O7" s="40">
        <f>IF(N7&gt;=91, 4.00, IF(N7&gt;=81, 3.50, IF(N7&gt;=70, 3.00, IF(N7&gt;=65, 2.50, IF(N7&gt;=60, 2.00, IF(N7&gt;=55, 1.50, IF(N7&gt;=50, 1.00, 0.00)))))))</f>
      </c>
      <c r="P7" s="40">
        <f>IF(N7&gt;=91,"A",IF(N7&gt;=81,"B+",IF(N7&gt;=70,"B",IF(N7&gt;=65,"C+",IF(N7&gt;=60,"C",IF(N7&gt;=55,"D+",IF(N7&gt;=50,"D","F")))))))</f>
      </c>
      <c r="Q7" s="42">
        <v>92</v>
      </c>
      <c r="R7" s="40">
        <f>IF(Q7&gt;=91, 4.00, IF(Q7&gt;=81, 3.50, IF(Q7&gt;=70, 3.00, IF(Q7&gt;=65, 2.50, IF(Q7&gt;=60, 2.00, IF(Q7&gt;=55, 1.50, IF(Q7&gt;=50, 1.00, 0.00)))))))</f>
      </c>
      <c r="S7" s="40">
        <f>IF(Q7&gt;=91,"A",IF(Q7&gt;=81,"B+",IF(Q7&gt;=70,"B",IF(Q7&gt;=65,"C+",IF(Q7&gt;=60,"C",IF(Q7&gt;=55,"D+",IF(Q7&gt;=50,"D","F")))))))</f>
      </c>
      <c r="T7" s="42">
        <v>95</v>
      </c>
      <c r="U7" s="40">
        <f>IF(T7&gt;=91, 4.00, IF(T7&gt;=81, 3.50, IF(T7&gt;=70, 3.00, IF(T7&gt;=65, 2.50, IF(T7&gt;=60, 2.00, IF(T7&gt;=55, 1.50, IF(T7&gt;=50, 1.00, 0.00)))))))</f>
      </c>
      <c r="V7" s="40">
        <f>IF(T7&gt;=91,"A",IF(T7&gt;=81,"B+",IF(T7&gt;=70,"B",IF(T7&gt;=65,"C+",IF(T7&gt;=60,"C",IF(T7&gt;=55,"D+",IF(T7&gt;=50,"D","F")))))))</f>
      </c>
      <c r="W7" s="42">
        <v>77</v>
      </c>
      <c r="X7" s="40">
        <f>IF(W7&gt;=91, 4.00, IF(W7&gt;=81, 3.50, IF(W7&gt;=70, 3.00, IF(W7&gt;=65, 2.50, IF(W7&gt;=60, 2.00, IF(W7&gt;=55, 1.50, IF(W7&gt;=50, 1.00, 0.00)))))))</f>
      </c>
      <c r="Y7" s="40">
        <f>IF(W7&gt;=91,"A",IF(W7&gt;=81,"B+",IF(W7&gt;=70,"B",IF(W7&gt;=65,"C+",IF(W7&gt;=60,"C",IF(W7&gt;=55,"D+",IF(W7&gt;=50,"D","F")))))))</f>
      </c>
      <c r="Z7" s="46">
        <v>80</v>
      </c>
      <c r="AA7" s="40">
        <f>IF(Z7&gt;=91, 4.00, IF(Z7&gt;=81, 3.50, IF(Z7&gt;=70, 3.00, IF(Z7&gt;=65, 2.50, IF(Z7&gt;=60, 2.00, IF(Z7&gt;=55, 1.50, IF(Z7&gt;=50, 1.00, 0.00)))))))</f>
      </c>
      <c r="AB7" s="40">
        <f>IF(Z7&gt;=91,"A",IF(Z7&gt;=81,"B+",IF(Z7&gt;=70,"B",IF(Z7&gt;=65,"C+",IF(Z7&gt;=60,"C",IF(Z7&gt;=55,"D+",IF(Z7&gt;=50,"D","F")))))))</f>
      </c>
      <c r="AC7" s="42">
        <v>83</v>
      </c>
      <c r="AD7" s="40">
        <f>IF(AC7&gt;=91, 4.00, IF(AC7&gt;=81, 3.50, IF(AC7&gt;=70, 3.00, IF(AC7&gt;=65, 2.50, IF(AC7&gt;=60, 2.00, IF(AC7&gt;=55, 1.50, IF(AC7&gt;=50, 1.00, 0.00)))))))</f>
      </c>
      <c r="AE7" s="40">
        <f>IF(AC7&gt;=91,"A",IF(AC7&gt;=81,"B+",IF(AC7&gt;=70,"B",IF(AC7&gt;=65,"C+",IF(AC7&gt;=60,"C",IF(AC7&gt;=55,"D+",IF(AC7&gt;=50,"D","F")))))))</f>
      </c>
      <c r="AF7" s="40">
        <v>86</v>
      </c>
      <c r="AG7" s="40">
        <f>IF(AF7&gt;=91, 4.00, IF(AF7&gt;=81, 3.50, IF(AF7&gt;=70, 3.00, IF(AF7&gt;=65, 2.50, IF(AF7&gt;=60, 2.00, IF(AF7&gt;=55, 1.50, IF(AF7&gt;=50, 1.00, 0.00)))))))</f>
      </c>
      <c r="AH7" s="40">
        <f>IF(AF7&gt;=91,"A",IF(AF7&gt;=81,"B+",IF(AF7&gt;=70,"B",IF(AF7&gt;=65,"C+",IF(AF7&gt;=60,"C",IF(AF7&gt;=55,"D+",IF(AF7&gt;=50,"D","F")))))))</f>
      </c>
      <c r="AI7" s="46">
        <v>89</v>
      </c>
      <c r="AJ7" s="40">
        <f>IF(AI7&gt;=91, 4.00, IF(AI7&gt;=81, 3.50, IF(AI7&gt;=70, 3.00, IF(AI7&gt;=65, 2.50, IF(AI7&gt;=60, 2.00, IF(AI7&gt;=55, 1.50, IF(AI7&gt;=50, 1.00, 0.00)))))))</f>
      </c>
      <c r="AK7" s="40">
        <f>IF(AI7&gt;=91,"A",IF(AI7&gt;=81,"B+",IF(AI7&gt;=70,"B",IF(AI7&gt;=65,"C+",IF(AI7&gt;=60,"C",IF(AI7&gt;=55,"D+",IF(AI7&gt;=50,"D","F")))))))</f>
      </c>
      <c r="AL7" s="42">
        <f>ROUND((L7*3+O7*2+R7*1+U7*1+X7*1+AA7*2+AD7*2+AG7*1+AJ7*2)/15, 2)</f>
      </c>
      <c r="AM7" s="40" t="str">
        <f>IF(AL7&gt;90,"4.00",IF(AL7&gt;80,"3.50",IF(AL7&gt;69,"3.00",IF(AL7&gt;64,"2.50",IF(AL7&gt;59,"2.00",IF(AL7&gt;54,"1.50",IF(AL7&gt;49,"1.00","0.00")))))))</f>
        <v>0.00</v>
      </c>
      <c r="AN7" s="40">
        <f>IF(AM7&gt;=91, 4.00, IF(AM7&gt;=81, 3.50, IF(AM7&gt;=70, 3.00, IF(AM7&gt;=65, 2.50, IF(AM7&gt;=60, 2.00, IF(AM7&gt;=55, 1.50, IF(AM7&gt;=50, 1.00, 0.00)))))))</f>
      </c>
      <c r="AO7" s="40">
        <f>IF(AM7&gt;=91,"A",IF(AM7&gt;=81,"B+",IF(AM7&gt;=70,"B",IF(AM7&gt;=65,"C+",IF(AM7&gt;=60,"C",IF(AM7&gt;=55,"D+",IF(AM7&gt;=50,"D","F")))))))</f>
      </c>
      <c r="AP7" s="40" t="str">
        <f>IF(AO7&gt;90,"4.00",IF(AO7&gt;80,"3.50",IF(AO7&gt;69,"3.00",IF(AO7&gt;64,"2.50",IF(AO7&gt;59,"2.00",IF(AO7&gt;54,"1.50",IF(AO7&gt;49,"1.00","0.00")))))))</f>
        <v>0.00</v>
      </c>
      <c r="AQ7" s="40">
        <f>IF(AP7&gt;=91, 4.00, IF(AP7&gt;=81, 3.50, IF(AP7&gt;=70, 3.00, IF(AP7&gt;=65, 2.50, IF(AP7&gt;=60, 2.00, IF(AP7&gt;=55, 1.50, IF(AP7&gt;=50, 1.00, 0.00)))))))</f>
      </c>
      <c r="AR7" s="40">
        <f>IF(AP7&gt;=91,"A",IF(AP7&gt;=81,"B+",IF(AP7&gt;=70,"B",IF(AP7&gt;=65,"C+",IF(AP7&gt;=60,"C",IF(AP7&gt;=55,"D+",IF(AP7&gt;=50,"D","F")))))))</f>
      </c>
      <c r="AS7" s="47">
        <v>78</v>
      </c>
      <c r="AT7" s="40">
        <f>IF(AS7&gt;=91, 4.00, IF(AS7&gt;=81, 3.50, IF(AS7&gt;=70, 3.00, IF(AS7&gt;=65, 2.50, IF(AS7&gt;=60, 2.00, IF(AS7&gt;=55, 1.50, IF(AS7&gt;=50, 1.00, 0.00)))))))</f>
      </c>
      <c r="AU7" s="40">
        <f>IF(AS7&gt;=91,"A",IF(AS7&gt;=81,"B+",IF(AS7&gt;=70,"B",IF(AS7&gt;=65,"C+",IF(AS7&gt;=60,"C",IF(AS7&gt;=55,"D+",IF(AS7&gt;=50,"D","F")))))))</f>
      </c>
      <c r="AV7" s="40" t="s">
        <v>43</v>
      </c>
      <c r="AW7" s="40">
        <f>IF(AV7&gt;=91, 4.00, IF(AV7&gt;=81, 3.50, IF(AV7&gt;=70, 3.00, IF(AV7&gt;=65, 2.50, IF(AV7&gt;=60, 2.00, IF(AV7&gt;=55, 1.50, IF(AV7&gt;=50, 1.00, 0.00)))))))</f>
      </c>
      <c r="AX7" s="40">
        <f>IF(AV7&gt;=91,"A",IF(AV7&gt;=81,"B+",IF(AV7&gt;=70,"B",IF(AV7&gt;=65,"C+",IF(AV7&gt;=60,"C",IF(AV7&gt;=55,"D+",IF(AV7&gt;=50,"D","F")))))))</f>
      </c>
      <c r="AY7" s="40" t="s">
        <v>261</v>
      </c>
      <c r="AZ7" s="40">
        <f>IF(AY7&gt;=91, 4.00, IF(AY7&gt;=81, 3.50, IF(AY7&gt;=70, 3.00, IF(AY7&gt;=65, 2.50, IF(AY7&gt;=60, 2.00, IF(AY7&gt;=55, 1.50, IF(AY7&gt;=50, 1.00, 0.00)))))))</f>
      </c>
      <c r="BA7" s="111">
        <f>IF(AY7&gt;=91,"A",IF(AY7&gt;=81,"B+",IF(AY7&gt;=70,"B",IF(AY7&gt;=65,"C+",IF(AY7&gt;=60,"C",IF(AY7&gt;=55,"D+",IF(AY7&gt;=50,"D","F")))))))</f>
      </c>
      <c r="BB7" s="112">
        <v>87</v>
      </c>
      <c r="BC7" s="48">
        <f>IF(BB7&gt;=91, 4.00, IF(BB7&gt;=81, 3.50, IF(BB7&gt;=70, 3.00, IF(BB7&gt;=65, 2.50, IF(BB7&gt;=60, 2.00, IF(BB7&gt;=55, 1.50, IF(BB7&gt;=50, 1.00, 0.00)))))))</f>
      </c>
      <c r="BD7" s="49">
        <f>IF(BB7&gt;=91,"A",IF(BB7&gt;=81,"B+",IF(BB7&gt;=70,"B",IF(BB7&gt;=65,"C+",IF(BB7&gt;=60,"C",IF(BB7&gt;=55,"D+",IF(BB7&gt;=50,"D","F")))))))</f>
      </c>
      <c r="BE7" s="40" t="str">
        <f>IF(BC7&gt;90,"A",IF(BC7&gt;80,"B+",IF(BC7&gt;69,"B",IF(BC7&gt;64,"C+",IF(BC7&gt;59,"C",IF(BC7&gt;54,"D+",IF(BC7&gt;49,"D",IF(BC7&gt;=0,"F"))))))))</f>
        <v>F</v>
      </c>
      <c r="BF7" s="48">
        <f>IF(BE7&gt;=91, 4.00, IF(BE7&gt;=81, 3.50, IF(BE7&gt;=70, 3.00, IF(BE7&gt;=65, 2.50, IF(BE7&gt;=60, 2.00, IF(BE7&gt;=55, 1.50, IF(BE7&gt;=50, 1.00, 0.00)))))))</f>
      </c>
      <c r="BG7" s="49">
        <f>IF(BE7&gt;=91,"A",IF(BE7&gt;=81,"B+",IF(BE7&gt;=70,"B",IF(BE7&gt;=65,"C+",IF(BE7&gt;=60,"C",IF(BE7&gt;=55,"D+",IF(BE7&gt;=50,"D","F")))))))</f>
      </c>
      <c r="BH7" s="40" t="str">
        <f>IF(BF7&gt;90,"A",IF(BF7&gt;80,"B+",IF(BF7&gt;69,"B",IF(BF7&gt;64,"C+",IF(BF7&gt;59,"C",IF(BF7&gt;54,"D+",IF(BF7&gt;49,"D",IF(BF7&gt;=0,"F"))))))))</f>
        <v>F</v>
      </c>
      <c r="BI7" s="43">
        <f>IF(BH7&gt;=91, 4.00, IF(BH7&gt;=81, 3.50, IF(BH7&gt;=70, 3.00, IF(BH7&gt;=65, 2.50, IF(BH7&gt;=60, 2.00, IF(BH7&gt;=55, 1.50, IF(BH7&gt;=50, 1.00, 0.00)))))))</f>
      </c>
      <c r="BJ7" s="49">
        <f>IF(BH7&gt;=91,"A",IF(BH7&gt;=81,"B+",IF(BH7&gt;=70,"B",IF(BH7&gt;=65,"C+",IF(BH7&gt;=60,"C",IF(BH7&gt;=55,"D+",IF(BH7&gt;=50,"D","F")))))))</f>
      </c>
      <c r="BK7" s="40" t="str">
        <f>IF(BI7&gt;90,"A",IF(BI7&gt;80,"B+",IF(BI7&gt;69,"B",IF(BI7&gt;64,"C+",IF(BI7&gt;59,"C",IF(BI7&gt;54,"D+",IF(BI7&gt;49,"D",IF(BI7&gt;=0,"F"))))))))</f>
        <v>F</v>
      </c>
      <c r="BL7" s="48">
        <f>IF(BK7&gt;=91, 4.00, IF(BK7&gt;=81, 3.50, IF(BK7&gt;=70, 3.00, IF(BK7&gt;=65, 2.50, IF(BK7&gt;=60, 2.00, IF(BK7&gt;=55, 1.50, IF(BK7&gt;=50, 1.00, 0.00)))))))</f>
      </c>
      <c r="BM7" s="49">
        <f>IF(BK7&gt;=91,"A",IF(BK7&gt;=81,"B+",IF(BK7&gt;=70,"B",IF(BK7&gt;=65,"C+",IF(BK7&gt;=60,"C",IF(BK7&gt;=55,"D+",IF(BK7&gt;=50,"D","F")))))))</f>
      </c>
      <c r="BN7" s="40">
        <f>ROUND((AN7*3+AQ7*2+AT7*1+AW7*1+AZ7*1+BC7*2+BF7*2+BI7*1+BL7*2)/15, 2)</f>
      </c>
      <c r="BO7" s="43"/>
      <c r="BP7" s="49" t="str">
        <f>IF(BO7&gt;90,"4.00",IF(BO7&gt;80,"3.50",IF(BO7&gt;69,"3.00",IF(BO7&gt;64,"2.50",IF(BO7&gt;59,"2.00",IF(BO7&gt;54,"1.50",IF(BO7&gt;49,"1.00","0.00")))))))</f>
        <v>0.00</v>
      </c>
      <c r="BQ7" s="40" t="str">
        <f>IF(BO7&gt;90,"A",IF(BO7&gt;80,"B+",IF(BO7&gt;69,"B",IF(BO7&gt;64,"C+",IF(BO7&gt;59,"C",IF(BO7&gt;54,"D+",IF(BO7&gt;49,"D",IF(BO7&gt;=0,"F"))))))))</f>
        <v>F</v>
      </c>
      <c r="BR7" s="43"/>
      <c r="BS7" s="49" t="str">
        <f>IF(BR7&gt;90,"4.00",IF(BR7&gt;80,"3.50",IF(BR7&gt;69,"3.00",IF(BR7&gt;64,"2.50",IF(BR7&gt;59,"2.00",IF(BR7&gt;54,"1.50",IF(BR7&gt;49,"1.00","0.00")))))))</f>
        <v>0.00</v>
      </c>
      <c r="BT7" s="40" t="str">
        <f>IF(BR7&gt;90,"A",IF(BR7&gt;80,"B+",IF(BR7&gt;69,"B",IF(BR7&gt;64,"C+",IF(BR7&gt;59,"C",IF(BR7&gt;54,"D+",IF(BR7&gt;49,"D",IF(BR7&gt;=0,"F"))))))))</f>
        <v>F</v>
      </c>
      <c r="BU7" s="49"/>
      <c r="BV7" s="49" t="str">
        <f>IF(BU7&gt;90,"4.00",IF(BU7&gt;80,"3.50",IF(BU7&gt;69,"3.00",IF(BU7&gt;64,"2.50",IF(BU7&gt;59,"2.00",IF(BU7&gt;54,"1.50",IF(BU7&gt;49,"1.00","0.00")))))))</f>
        <v>0.00</v>
      </c>
      <c r="BW7" s="40" t="str">
        <f>IF(BU7&gt;90,"A",IF(BU7&gt;80,"B+",IF(BU7&gt;69,"B",IF(BU7&gt;64,"C+",IF(BU7&gt;59,"C",IF(BU7&gt;54,"D+",IF(BU7&gt;49,"D",IF(BU7&gt;=0,"F"))))))))</f>
        <v>F</v>
      </c>
      <c r="BX7" s="49"/>
      <c r="BY7" s="49" t="str">
        <f>IF(BX7&gt;90,"4.00",IF(BX7&gt;80,"3.50",IF(BX7&gt;69,"3.00",IF(BX7&gt;64,"2.50",IF(BX7&gt;59,"2.00",IF(BX7&gt;54,"1.50",IF(BX7&gt;49,"1.00","0.00")))))))</f>
        <v>0.00</v>
      </c>
      <c r="BZ7" s="40" t="str">
        <f>IF(BX7&gt;90,"A",IF(BX7&gt;80,"B+",IF(BX7&gt;69,"B",IF(BX7&gt;64,"C+",IF(BX7&gt;59,"C",IF(BX7&gt;54,"D+",IF(BX7&gt;49,"D",IF(BX7&gt;=0,"F"))))))))</f>
        <v>F</v>
      </c>
      <c r="CA7" s="49"/>
      <c r="CB7" s="49" t="str">
        <f>IF(CA7&gt;90,"4.00",IF(CA7&gt;80,"3.50",IF(CA7&gt;69,"3.00",IF(CA7&gt;64,"2.50",IF(CA7&gt;59,"2.00",IF(CA7&gt;54,"1.50",IF(CA7&gt;49,"1.00","0.00")))))))</f>
        <v>0.00</v>
      </c>
      <c r="CC7" s="40" t="str">
        <f>IF(CA7&gt;90,"A",IF(CA7&gt;80,"B+",IF(CA7&gt;69,"B",IF(CA7&gt;64,"C+",IF(CA7&gt;59,"C",IF(CA7&gt;54,"D+",IF(CA7&gt;49,"D",IF(CA7&gt;=0,"F"))))))))</f>
        <v>F</v>
      </c>
      <c r="CD7" s="50">
        <f>(BD7*3+BG7*2+BJ7*1+BM7*2+BP7*1+BS7*1+BV7*2+BY7*2+CB7*2)/(3+2+1+2+1+1+2+2+2)</f>
        <v>0</v>
      </c>
      <c r="CE7" s="50">
        <f>(AR7+CD7)/2</f>
        <v>0</v>
      </c>
      <c r="CF7" s="51">
        <f>RANK(CE7,$CE$7:CE36)</f>
        <v>1</v>
      </c>
      <c r="CG7" s="40"/>
      <c r="CH7" s="52"/>
      <c r="CI7" s="52"/>
      <c r="CJ7" s="52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</row>
    <row r="8" ht="20" customHeight="1" spans="1:199" s="39" customFormat="1" x14ac:dyDescent="0.25">
      <c r="A8" s="40">
        <v>2</v>
      </c>
      <c r="B8" s="40" t="s">
        <v>263</v>
      </c>
      <c r="C8" s="40" t="s">
        <v>51</v>
      </c>
      <c r="D8" s="40" t="s">
        <v>52</v>
      </c>
      <c r="E8" s="40" t="s">
        <v>53</v>
      </c>
      <c r="F8" s="40" t="s">
        <v>264</v>
      </c>
      <c r="G8" s="40" t="s">
        <v>55</v>
      </c>
      <c r="H8" s="44"/>
      <c r="I8" s="112"/>
      <c r="J8" s="40">
        <v>1</v>
      </c>
      <c r="K8" s="42">
        <v>89</v>
      </c>
      <c r="L8" s="40">
        <f>IF(K8&gt;=91, 4.00, IF(K8&gt;=81, 3.50, IF(K8&gt;=70, 3.00, IF(K8&gt;=65, 2.50, IF(K8&gt;=60, 2.00, IF(K8&gt;=55, 1.50, IF(K8&gt;=50, 1.00, 0.00)))))))</f>
      </c>
      <c r="M8" s="40">
        <f>IF(K8&gt;=91,"A",IF(K8&gt;=81,"B+",IF(K8&gt;=70,"B",IF(K8&gt;=65,"C+",IF(K8&gt;=60,"C",IF(K8&gt;=55,"D+",IF(K8&gt;=50,"D","F")))))))</f>
      </c>
      <c r="N8" s="42">
        <v>92</v>
      </c>
      <c r="O8" s="40">
        <f>IF(N8&gt;=91, 4.00, IF(N8&gt;=81, 3.50, IF(N8&gt;=70, 3.00, IF(N8&gt;=65, 2.50, IF(N8&gt;=60, 2.00, IF(N8&gt;=55, 1.50, IF(N8&gt;=50, 1.00, 0.00)))))))</f>
      </c>
      <c r="P8" s="40">
        <f>IF(N8&gt;=91,"A",IF(N8&gt;=81,"B+",IF(N8&gt;=70,"B",IF(N8&gt;=65,"C+",IF(N8&gt;=60,"C",IF(N8&gt;=55,"D+",IF(N8&gt;=50,"D","F")))))))</f>
      </c>
      <c r="Q8" s="42">
        <v>95</v>
      </c>
      <c r="R8" s="40">
        <f>IF(Q8&gt;=91, 4.00, IF(Q8&gt;=81, 3.50, IF(Q8&gt;=70, 3.00, IF(Q8&gt;=65, 2.50, IF(Q8&gt;=60, 2.00, IF(Q8&gt;=55, 1.50, IF(Q8&gt;=50, 1.00, 0.00)))))))</f>
      </c>
      <c r="S8" s="40">
        <f>IF(Q8&gt;=91,"A",IF(Q8&gt;=81,"B+",IF(Q8&gt;=70,"B",IF(Q8&gt;=65,"C+",IF(Q8&gt;=60,"C",IF(Q8&gt;=55,"D+",IF(Q8&gt;=50,"D","F")))))))</f>
      </c>
      <c r="T8" s="42">
        <v>77</v>
      </c>
      <c r="U8" s="40">
        <f>IF(T8&gt;=91, 4.00, IF(T8&gt;=81, 3.50, IF(T8&gt;=70, 3.00, IF(T8&gt;=65, 2.50, IF(T8&gt;=60, 2.00, IF(T8&gt;=55, 1.50, IF(T8&gt;=50, 1.00, 0.00)))))))</f>
      </c>
      <c r="V8" s="40">
        <f>IF(T8&gt;=91,"A",IF(T8&gt;=81,"B+",IF(T8&gt;=70,"B",IF(T8&gt;=65,"C+",IF(T8&gt;=60,"C",IF(T8&gt;=55,"D+",IF(T8&gt;=50,"D","F")))))))</f>
      </c>
      <c r="W8" s="42">
        <v>80</v>
      </c>
      <c r="X8" s="40">
        <f>IF(W8&gt;=91, 4.00, IF(W8&gt;=81, 3.50, IF(W8&gt;=70, 3.00, IF(W8&gt;=65, 2.50, IF(W8&gt;=60, 2.00, IF(W8&gt;=55, 1.50, IF(W8&gt;=50, 1.00, 0.00)))))))</f>
      </c>
      <c r="Y8" s="40">
        <f>IF(W8&gt;=91,"A",IF(W8&gt;=81,"B+",IF(W8&gt;=70,"B",IF(W8&gt;=65,"C+",IF(W8&gt;=60,"C",IF(W8&gt;=55,"D+",IF(W8&gt;=50,"D","F")))))))</f>
      </c>
      <c r="Z8" s="46">
        <v>83</v>
      </c>
      <c r="AA8" s="40">
        <f>IF(Z8&gt;=91, 4.00, IF(Z8&gt;=81, 3.50, IF(Z8&gt;=70, 3.00, IF(Z8&gt;=65, 2.50, IF(Z8&gt;=60, 2.00, IF(Z8&gt;=55, 1.50, IF(Z8&gt;=50, 1.00, 0.00)))))))</f>
      </c>
      <c r="AB8" s="40">
        <f>IF(Z8&gt;=91,"A",IF(Z8&gt;=81,"B+",IF(Z8&gt;=70,"B",IF(Z8&gt;=65,"C+",IF(Z8&gt;=60,"C",IF(Z8&gt;=55,"D+",IF(Z8&gt;=50,"D","F")))))))</f>
      </c>
      <c r="AC8" s="42">
        <v>86</v>
      </c>
      <c r="AD8" s="40">
        <f>IF(AC8&gt;=91, 4.00, IF(AC8&gt;=81, 3.50, IF(AC8&gt;=70, 3.00, IF(AC8&gt;=65, 2.50, IF(AC8&gt;=60, 2.00, IF(AC8&gt;=55, 1.50, IF(AC8&gt;=50, 1.00, 0.00)))))))</f>
      </c>
      <c r="AE8" s="40">
        <f>IF(AC8&gt;=91,"A",IF(AC8&gt;=81,"B+",IF(AC8&gt;=70,"B",IF(AC8&gt;=65,"C+",IF(AC8&gt;=60,"C",IF(AC8&gt;=55,"D+",IF(AC8&gt;=50,"D","F")))))))</f>
      </c>
      <c r="AF8" s="40">
        <v>89</v>
      </c>
      <c r="AG8" s="40">
        <f>IF(AF8&gt;=91, 4.00, IF(AF8&gt;=81, 3.50, IF(AF8&gt;=70, 3.00, IF(AF8&gt;=65, 2.50, IF(AF8&gt;=60, 2.00, IF(AF8&gt;=55, 1.50, IF(AF8&gt;=50, 1.00, 0.00)))))))</f>
      </c>
      <c r="AH8" s="40">
        <f>IF(AF8&gt;=91,"A",IF(AF8&gt;=81,"B+",IF(AF8&gt;=70,"B",IF(AF8&gt;=65,"C+",IF(AF8&gt;=60,"C",IF(AF8&gt;=55,"D+",IF(AF8&gt;=50,"D","F")))))))</f>
      </c>
      <c r="AI8" s="46">
        <v>92</v>
      </c>
      <c r="AJ8" s="40">
        <f>IF(AI8&gt;=91, 4.00, IF(AI8&gt;=81, 3.50, IF(AI8&gt;=70, 3.00, IF(AI8&gt;=65, 2.50, IF(AI8&gt;=60, 2.00, IF(AI8&gt;=55, 1.50, IF(AI8&gt;=50, 1.00, 0.00)))))))</f>
      </c>
      <c r="AK8" s="40">
        <f>IF(AI8&gt;=91,"A",IF(AI8&gt;=81,"B+",IF(AI8&gt;=70,"B",IF(AI8&gt;=65,"C+",IF(AI8&gt;=60,"C",IF(AI8&gt;=55,"D+",IF(AI8&gt;=50,"D","F")))))))</f>
      </c>
      <c r="AL8" s="42">
        <f>ROUND((L8*3+O8*2+R8*1+U8*1+X8*1+AA8*2+AD8*2+AG8*1+AJ8*2)/15, 2)</f>
      </c>
      <c r="AM8" s="40" t="str">
        <f>IF(AL8&gt;90,"4.00",IF(AL8&gt;80,"3.50",IF(AL8&gt;69,"3.00",IF(AL8&gt;64,"2.50",IF(AL8&gt;59,"2.00",IF(AL8&gt;54,"1.50",IF(AL8&gt;49,"1.00","0.00")))))))</f>
        <v>0.00</v>
      </c>
      <c r="AN8" s="40">
        <f>IF(AM8&gt;=91, 4.00, IF(AM8&gt;=81, 3.50, IF(AM8&gt;=70, 3.00, IF(AM8&gt;=65, 2.50, IF(AM8&gt;=60, 2.00, IF(AM8&gt;=55, 1.50, IF(AM8&gt;=50, 1.00, 0.00)))))))</f>
      </c>
      <c r="AO8" s="40">
        <f>IF(AM8&gt;=91,"A",IF(AM8&gt;=81,"B+",IF(AM8&gt;=70,"B",IF(AM8&gt;=65,"C+",IF(AM8&gt;=60,"C",IF(AM8&gt;=55,"D+",IF(AM8&gt;=50,"D","F")))))))</f>
      </c>
      <c r="AP8" s="40" t="str">
        <f>IF(AO8&gt;90,"4.00",IF(AO8&gt;80,"3.50",IF(AO8&gt;69,"3.00",IF(AO8&gt;64,"2.50",IF(AO8&gt;59,"2.00",IF(AO8&gt;54,"1.50",IF(AO8&gt;49,"1.00","0.00")))))))</f>
        <v>0.00</v>
      </c>
      <c r="AQ8" s="40">
        <f>IF(AP8&gt;=91, 4.00, IF(AP8&gt;=81, 3.50, IF(AP8&gt;=70, 3.00, IF(AP8&gt;=65, 2.50, IF(AP8&gt;=60, 2.00, IF(AP8&gt;=55, 1.50, IF(AP8&gt;=50, 1.00, 0.00)))))))</f>
      </c>
      <c r="AR8" s="40">
        <f>IF(AP8&gt;=91,"A",IF(AP8&gt;=81,"B+",IF(AP8&gt;=70,"B",IF(AP8&gt;=65,"C+",IF(AP8&gt;=60,"C",IF(AP8&gt;=55,"D+",IF(AP8&gt;=50,"D","F")))))))</f>
      </c>
      <c r="AS8" s="47">
        <v>81</v>
      </c>
      <c r="AT8" s="40">
        <f>IF(AS8&gt;=91, 4.00, IF(AS8&gt;=81, 3.50, IF(AS8&gt;=70, 3.00, IF(AS8&gt;=65, 2.50, IF(AS8&gt;=60, 2.00, IF(AS8&gt;=55, 1.50, IF(AS8&gt;=50, 1.00, 0.00)))))))</f>
      </c>
      <c r="AU8" s="40">
        <f>IF(AS8&gt;=91,"A",IF(AS8&gt;=81,"B+",IF(AS8&gt;=70,"B",IF(AS8&gt;=65,"C+",IF(AS8&gt;=60,"C",IF(AS8&gt;=55,"D+",IF(AS8&gt;=50,"D","F")))))))</f>
      </c>
      <c r="AV8" s="40" t="s">
        <v>51</v>
      </c>
      <c r="AW8" s="40">
        <f>IF(AV8&gt;=91, 4.00, IF(AV8&gt;=81, 3.50, IF(AV8&gt;=70, 3.00, IF(AV8&gt;=65, 2.50, IF(AV8&gt;=60, 2.00, IF(AV8&gt;=55, 1.50, IF(AV8&gt;=50, 1.00, 0.00)))))))</f>
      </c>
      <c r="AX8" s="40">
        <f>IF(AV8&gt;=91,"A",IF(AV8&gt;=81,"B+",IF(AV8&gt;=70,"B",IF(AV8&gt;=65,"C+",IF(AV8&gt;=60,"C",IF(AV8&gt;=55,"D+",IF(AV8&gt;=50,"D","F")))))))</f>
      </c>
      <c r="AY8" s="40" t="s">
        <v>264</v>
      </c>
      <c r="AZ8" s="40">
        <f>IF(AY8&gt;=91, 4.00, IF(AY8&gt;=81, 3.50, IF(AY8&gt;=70, 3.00, IF(AY8&gt;=65, 2.50, IF(AY8&gt;=60, 2.00, IF(AY8&gt;=55, 1.50, IF(AY8&gt;=50, 1.00, 0.00)))))))</f>
      </c>
      <c r="BA8" s="44">
        <f>IF(AY8&gt;=91,"A",IF(AY8&gt;=81,"B+",IF(AY8&gt;=70,"B",IF(AY8&gt;=65,"C+",IF(AY8&gt;=60,"C",IF(AY8&gt;=55,"D+",IF(AY8&gt;=50,"D","F")))))))</f>
      </c>
      <c r="BB8" s="112">
        <v>90</v>
      </c>
      <c r="BC8" s="48">
        <f>IF(BB8&gt;=91, 4.00, IF(BB8&gt;=81, 3.50, IF(BB8&gt;=70, 3.00, IF(BB8&gt;=65, 2.50, IF(BB8&gt;=60, 2.00, IF(BB8&gt;=55, 1.50, IF(BB8&gt;=50, 1.00, 0.00)))))))</f>
      </c>
      <c r="BD8" s="49">
        <f>IF(BB8&gt;=91,"A",IF(BB8&gt;=81,"B+",IF(BB8&gt;=70,"B",IF(BB8&gt;=65,"C+",IF(BB8&gt;=60,"C",IF(BB8&gt;=55,"D+",IF(BB8&gt;=50,"D","F")))))))</f>
      </c>
      <c r="BE8" s="40" t="str">
        <f>IF(BC8&gt;90,"A",IF(BC8&gt;80,"B+",IF(BC8&gt;69,"B",IF(BC8&gt;64,"C+",IF(BC8&gt;59,"C",IF(BC8&gt;54,"D+",IF(BC8&gt;49,"D",IF(BC8&gt;=0,"F"))))))))</f>
        <v>F</v>
      </c>
      <c r="BF8" s="48">
        <f>IF(BE8&gt;=91, 4.00, IF(BE8&gt;=81, 3.50, IF(BE8&gt;=70, 3.00, IF(BE8&gt;=65, 2.50, IF(BE8&gt;=60, 2.00, IF(BE8&gt;=55, 1.50, IF(BE8&gt;=50, 1.00, 0.00)))))))</f>
      </c>
      <c r="BG8" s="49">
        <f>IF(BE8&gt;=91,"A",IF(BE8&gt;=81,"B+",IF(BE8&gt;=70,"B",IF(BE8&gt;=65,"C+",IF(BE8&gt;=60,"C",IF(BE8&gt;=55,"D+",IF(BE8&gt;=50,"D","F")))))))</f>
      </c>
      <c r="BH8" s="40" t="str">
        <f>IF(BF8&gt;90,"A",IF(BF8&gt;80,"B+",IF(BF8&gt;69,"B",IF(BF8&gt;64,"C+",IF(BF8&gt;59,"C",IF(BF8&gt;54,"D+",IF(BF8&gt;49,"D",IF(BF8&gt;=0,"F"))))))))</f>
        <v>F</v>
      </c>
      <c r="BI8" s="43">
        <f>IF(BH8&gt;=91, 4.00, IF(BH8&gt;=81, 3.50, IF(BH8&gt;=70, 3.00, IF(BH8&gt;=65, 2.50, IF(BH8&gt;=60, 2.00, IF(BH8&gt;=55, 1.50, IF(BH8&gt;=50, 1.00, 0.00)))))))</f>
      </c>
      <c r="BJ8" s="49">
        <f>IF(BH8&gt;=91,"A",IF(BH8&gt;=81,"B+",IF(BH8&gt;=70,"B",IF(BH8&gt;=65,"C+",IF(BH8&gt;=60,"C",IF(BH8&gt;=55,"D+",IF(BH8&gt;=50,"D","F")))))))</f>
      </c>
      <c r="BK8" s="40" t="str">
        <f>IF(BI8&gt;90,"A",IF(BI8&gt;80,"B+",IF(BI8&gt;69,"B",IF(BI8&gt;64,"C+",IF(BI8&gt;59,"C",IF(BI8&gt;54,"D+",IF(BI8&gt;49,"D",IF(BI8&gt;=0,"F"))))))))</f>
        <v>F</v>
      </c>
      <c r="BL8" s="48">
        <f>IF(BK8&gt;=91, 4.00, IF(BK8&gt;=81, 3.50, IF(BK8&gt;=70, 3.00, IF(BK8&gt;=65, 2.50, IF(BK8&gt;=60, 2.00, IF(BK8&gt;=55, 1.50, IF(BK8&gt;=50, 1.00, 0.00)))))))</f>
      </c>
      <c r="BM8" s="49">
        <f>IF(BK8&gt;=91,"A",IF(BK8&gt;=81,"B+",IF(BK8&gt;=70,"B",IF(BK8&gt;=65,"C+",IF(BK8&gt;=60,"C",IF(BK8&gt;=55,"D+",IF(BK8&gt;=50,"D","F")))))))</f>
      </c>
      <c r="BN8" s="40">
        <f>ROUND((AN8*3+AQ8*2+AT8*1+AW8*1+AZ8*1+BC8*2+BF8*2+BI8*1+BL8*2)/15, 2)</f>
      </c>
      <c r="BO8" s="43"/>
      <c r="BP8" s="49" t="str">
        <f>IF(BO8&gt;90,"4.00",IF(BO8&gt;80,"3.50",IF(BO8&gt;69,"3.00",IF(BO8&gt;64,"2.50",IF(BO8&gt;59,"2.00",IF(BO8&gt;54,"1.50",IF(BO8&gt;49,"1.00","0.00")))))))</f>
        <v>0.00</v>
      </c>
      <c r="BQ8" s="40" t="str">
        <f>IF(BO8&gt;90,"A",IF(BO8&gt;80,"B+",IF(BO8&gt;69,"B",IF(BO8&gt;64,"C+",IF(BO8&gt;59,"C",IF(BO8&gt;54,"D+",IF(BO8&gt;49,"D",IF(BO8&gt;=0,"F"))))))))</f>
        <v>F</v>
      </c>
      <c r="BR8" s="43"/>
      <c r="BS8" s="49" t="str">
        <f>IF(BR8&gt;90,"4.00",IF(BR8&gt;80,"3.50",IF(BR8&gt;69,"3.00",IF(BR8&gt;64,"2.50",IF(BR8&gt;59,"2.00",IF(BR8&gt;54,"1.50",IF(BR8&gt;49,"1.00","0.00")))))))</f>
        <v>0.00</v>
      </c>
      <c r="BT8" s="40" t="str">
        <f>IF(BR8&gt;90,"A",IF(BR8&gt;80,"B+",IF(BR8&gt;69,"B",IF(BR8&gt;64,"C+",IF(BR8&gt;59,"C",IF(BR8&gt;54,"D+",IF(BR8&gt;49,"D",IF(BR8&gt;=0,"F"))))))))</f>
        <v>F</v>
      </c>
      <c r="BU8" s="49"/>
      <c r="BV8" s="49" t="str">
        <f>IF(BU8&gt;90,"4.00",IF(BU8&gt;80,"3.50",IF(BU8&gt;69,"3.00",IF(BU8&gt;64,"2.50",IF(BU8&gt;59,"2.00",IF(BU8&gt;54,"1.50",IF(BU8&gt;49,"1.00","0.00")))))))</f>
        <v>0.00</v>
      </c>
      <c r="BW8" s="40" t="str">
        <f>IF(BU8&gt;90,"A",IF(BU8&gt;80,"B+",IF(BU8&gt;69,"B",IF(BU8&gt;64,"C+",IF(BU8&gt;59,"C",IF(BU8&gt;54,"D+",IF(BU8&gt;49,"D",IF(BU8&gt;=0,"F"))))))))</f>
        <v>F</v>
      </c>
      <c r="BX8" s="49"/>
      <c r="BY8" s="49" t="str">
        <f>IF(BX8&gt;90,"4.00",IF(BX8&gt;80,"3.50",IF(BX8&gt;69,"3.00",IF(BX8&gt;64,"2.50",IF(BX8&gt;59,"2.00",IF(BX8&gt;54,"1.50",IF(BX8&gt;49,"1.00","0.00")))))))</f>
        <v>0.00</v>
      </c>
      <c r="BZ8" s="40" t="str">
        <f>IF(BX8&gt;90,"A",IF(BX8&gt;80,"B+",IF(BX8&gt;69,"B",IF(BX8&gt;64,"C+",IF(BX8&gt;59,"C",IF(BX8&gt;54,"D+",IF(BX8&gt;49,"D",IF(BX8&gt;=0,"F"))))))))</f>
        <v>F</v>
      </c>
      <c r="CA8" s="49"/>
      <c r="CB8" s="49" t="str">
        <f>IF(CA8&gt;90,"4.00",IF(CA8&gt;80,"3.50",IF(CA8&gt;69,"3.00",IF(CA8&gt;64,"2.50",IF(CA8&gt;59,"2.00",IF(CA8&gt;54,"1.50",IF(CA8&gt;49,"1.00","0.00")))))))</f>
        <v>0.00</v>
      </c>
      <c r="CC8" s="40" t="str">
        <f>IF(CA8&gt;90,"A",IF(CA8&gt;80,"B+",IF(CA8&gt;69,"B",IF(CA8&gt;64,"C+",IF(CA8&gt;59,"C",IF(CA8&gt;54,"D+",IF(CA8&gt;49,"D",IF(CA8&gt;=0,"F"))))))))</f>
        <v>F</v>
      </c>
      <c r="CD8" s="50">
        <f>(BD8*3+BG8*2+BJ8*1+BM8*2+BP8*1+BS8*1+BV8*2+BY8*2+CB8*2)/(3+2+1+2+1+1+2+2+2)</f>
        <v>0</v>
      </c>
      <c r="CE8" s="50">
        <f>(AR8+CD8)/2</f>
        <v>0</v>
      </c>
      <c r="CF8" s="51">
        <f>RANK(CE8,$CE$7:CE37)</f>
        <v>1</v>
      </c>
      <c r="CG8" s="40"/>
      <c r="CH8" s="52"/>
      <c r="CI8" s="52"/>
      <c r="CJ8" s="52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</row>
    <row r="9" ht="20" customHeight="1" spans="1:199" s="39" customFormat="1" x14ac:dyDescent="0.25">
      <c r="A9" s="40">
        <v>3</v>
      </c>
      <c r="B9" s="40" t="s">
        <v>265</v>
      </c>
      <c r="C9" s="40" t="s">
        <v>43</v>
      </c>
      <c r="D9" s="40" t="s">
        <v>58</v>
      </c>
      <c r="E9" s="40" t="s">
        <v>59</v>
      </c>
      <c r="F9" s="40" t="s">
        <v>266</v>
      </c>
      <c r="G9" s="40" t="s">
        <v>61</v>
      </c>
      <c r="H9" s="111"/>
      <c r="I9" s="112"/>
      <c r="J9" s="40">
        <v>1</v>
      </c>
      <c r="K9" s="42">
        <v>92</v>
      </c>
      <c r="L9" s="40">
        <f>IF(K9&gt;=91, 4.00, IF(K9&gt;=81, 3.50, IF(K9&gt;=70, 3.00, IF(K9&gt;=65, 2.50, IF(K9&gt;=60, 2.00, IF(K9&gt;=55, 1.50, IF(K9&gt;=50, 1.00, 0.00)))))))</f>
      </c>
      <c r="M9" s="40">
        <f>IF(K9&gt;=91,"A",IF(K9&gt;=81,"B+",IF(K9&gt;=70,"B",IF(K9&gt;=65,"C+",IF(K9&gt;=60,"C",IF(K9&gt;=55,"D+",IF(K9&gt;=50,"D","F")))))))</f>
      </c>
      <c r="N9" s="42">
        <v>95</v>
      </c>
      <c r="O9" s="40">
        <f>IF(N9&gt;=91, 4.00, IF(N9&gt;=81, 3.50, IF(N9&gt;=70, 3.00, IF(N9&gt;=65, 2.50, IF(N9&gt;=60, 2.00, IF(N9&gt;=55, 1.50, IF(N9&gt;=50, 1.00, 0.00)))))))</f>
      </c>
      <c r="P9" s="40">
        <f>IF(N9&gt;=91,"A",IF(N9&gt;=81,"B+",IF(N9&gt;=70,"B",IF(N9&gt;=65,"C+",IF(N9&gt;=60,"C",IF(N9&gt;=55,"D+",IF(N9&gt;=50,"D","F")))))))</f>
      </c>
      <c r="Q9" s="42">
        <v>77</v>
      </c>
      <c r="R9" s="40">
        <f>IF(Q9&gt;=91, 4.00, IF(Q9&gt;=81, 3.50, IF(Q9&gt;=70, 3.00, IF(Q9&gt;=65, 2.50, IF(Q9&gt;=60, 2.00, IF(Q9&gt;=55, 1.50, IF(Q9&gt;=50, 1.00, 0.00)))))))</f>
      </c>
      <c r="S9" s="40">
        <f>IF(Q9&gt;=91,"A",IF(Q9&gt;=81,"B+",IF(Q9&gt;=70,"B",IF(Q9&gt;=65,"C+",IF(Q9&gt;=60,"C",IF(Q9&gt;=55,"D+",IF(Q9&gt;=50,"D","F")))))))</f>
      </c>
      <c r="T9" s="42">
        <v>80</v>
      </c>
      <c r="U9" s="40">
        <f>IF(T9&gt;=91, 4.00, IF(T9&gt;=81, 3.50, IF(T9&gt;=70, 3.00, IF(T9&gt;=65, 2.50, IF(T9&gt;=60, 2.00, IF(T9&gt;=55, 1.50, IF(T9&gt;=50, 1.00, 0.00)))))))</f>
      </c>
      <c r="V9" s="40">
        <f>IF(T9&gt;=91,"A",IF(T9&gt;=81,"B+",IF(T9&gt;=70,"B",IF(T9&gt;=65,"C+",IF(T9&gt;=60,"C",IF(T9&gt;=55,"D+",IF(T9&gt;=50,"D","F")))))))</f>
      </c>
      <c r="W9" s="42">
        <v>83</v>
      </c>
      <c r="X9" s="40">
        <f>IF(W9&gt;=91, 4.00, IF(W9&gt;=81, 3.50, IF(W9&gt;=70, 3.00, IF(W9&gt;=65, 2.50, IF(W9&gt;=60, 2.00, IF(W9&gt;=55, 1.50, IF(W9&gt;=50, 1.00, 0.00)))))))</f>
      </c>
      <c r="Y9" s="40">
        <f>IF(W9&gt;=91,"A",IF(W9&gt;=81,"B+",IF(W9&gt;=70,"B",IF(W9&gt;=65,"C+",IF(W9&gt;=60,"C",IF(W9&gt;=55,"D+",IF(W9&gt;=50,"D","F")))))))</f>
      </c>
      <c r="Z9" s="46">
        <v>86</v>
      </c>
      <c r="AA9" s="40">
        <f>IF(Z9&gt;=91, 4.00, IF(Z9&gt;=81, 3.50, IF(Z9&gt;=70, 3.00, IF(Z9&gt;=65, 2.50, IF(Z9&gt;=60, 2.00, IF(Z9&gt;=55, 1.50, IF(Z9&gt;=50, 1.00, 0.00)))))))</f>
      </c>
      <c r="AB9" s="40">
        <f>IF(Z9&gt;=91,"A",IF(Z9&gt;=81,"B+",IF(Z9&gt;=70,"B",IF(Z9&gt;=65,"C+",IF(Z9&gt;=60,"C",IF(Z9&gt;=55,"D+",IF(Z9&gt;=50,"D","F")))))))</f>
      </c>
      <c r="AC9" s="42">
        <v>89</v>
      </c>
      <c r="AD9" s="40">
        <f>IF(AC9&gt;=91, 4.00, IF(AC9&gt;=81, 3.50, IF(AC9&gt;=70, 3.00, IF(AC9&gt;=65, 2.50, IF(AC9&gt;=60, 2.00, IF(AC9&gt;=55, 1.50, IF(AC9&gt;=50, 1.00, 0.00)))))))</f>
      </c>
      <c r="AE9" s="40">
        <f>IF(AC9&gt;=91,"A",IF(AC9&gt;=81,"B+",IF(AC9&gt;=70,"B",IF(AC9&gt;=65,"C+",IF(AC9&gt;=60,"C",IF(AC9&gt;=55,"D+",IF(AC9&gt;=50,"D","F")))))))</f>
      </c>
      <c r="AF9" s="40">
        <v>92</v>
      </c>
      <c r="AG9" s="40">
        <f>IF(AF9&gt;=91, 4.00, IF(AF9&gt;=81, 3.50, IF(AF9&gt;=70, 3.00, IF(AF9&gt;=65, 2.50, IF(AF9&gt;=60, 2.00, IF(AF9&gt;=55, 1.50, IF(AF9&gt;=50, 1.00, 0.00)))))))</f>
      </c>
      <c r="AH9" s="40">
        <f>IF(AF9&gt;=91,"A",IF(AF9&gt;=81,"B+",IF(AF9&gt;=70,"B",IF(AF9&gt;=65,"C+",IF(AF9&gt;=60,"C",IF(AF9&gt;=55,"D+",IF(AF9&gt;=50,"D","F")))))))</f>
      </c>
      <c r="AI9" s="46">
        <v>95</v>
      </c>
      <c r="AJ9" s="40">
        <f>IF(AI9&gt;=91, 4.00, IF(AI9&gt;=81, 3.50, IF(AI9&gt;=70, 3.00, IF(AI9&gt;=65, 2.50, IF(AI9&gt;=60, 2.00, IF(AI9&gt;=55, 1.50, IF(AI9&gt;=50, 1.00, 0.00)))))))</f>
      </c>
      <c r="AK9" s="40">
        <f>IF(AI9&gt;=91,"A",IF(AI9&gt;=81,"B+",IF(AI9&gt;=70,"B",IF(AI9&gt;=65,"C+",IF(AI9&gt;=60,"C",IF(AI9&gt;=55,"D+",IF(AI9&gt;=50,"D","F")))))))</f>
      </c>
      <c r="AL9" s="42">
        <f>ROUND((L9*3+O9*2+R9*1+U9*1+X9*1+AA9*2+AD9*2+AG9*1+AJ9*2)/15, 2)</f>
      </c>
      <c r="AM9" s="40" t="str">
        <f>IF(AL9&gt;90,"4.00",IF(AL9&gt;80,"3.50",IF(AL9&gt;69,"3.00",IF(AL9&gt;64,"2.50",IF(AL9&gt;59,"2.00",IF(AL9&gt;54,"1.50",IF(AL9&gt;49,"1.00","0.00")))))))</f>
        <v>0.00</v>
      </c>
      <c r="AN9" s="40">
        <f>IF(AM9&gt;=91, 4.00, IF(AM9&gt;=81, 3.50, IF(AM9&gt;=70, 3.00, IF(AM9&gt;=65, 2.50, IF(AM9&gt;=60, 2.00, IF(AM9&gt;=55, 1.50, IF(AM9&gt;=50, 1.00, 0.00)))))))</f>
      </c>
      <c r="AO9" s="40">
        <f>IF(AM9&gt;=91,"A",IF(AM9&gt;=81,"B+",IF(AM9&gt;=70,"B",IF(AM9&gt;=65,"C+",IF(AM9&gt;=60,"C",IF(AM9&gt;=55,"D+",IF(AM9&gt;=50,"D","F")))))))</f>
      </c>
      <c r="AP9" s="40" t="str">
        <f>IF(AO9&gt;90,"4.00",IF(AO9&gt;80,"3.50",IF(AO9&gt;69,"3.00",IF(AO9&gt;64,"2.50",IF(AO9&gt;59,"2.00",IF(AO9&gt;54,"1.50",IF(AO9&gt;49,"1.00","0.00")))))))</f>
        <v>0.00</v>
      </c>
      <c r="AQ9" s="40">
        <f>IF(AP9&gt;=91, 4.00, IF(AP9&gt;=81, 3.50, IF(AP9&gt;=70, 3.00, IF(AP9&gt;=65, 2.50, IF(AP9&gt;=60, 2.00, IF(AP9&gt;=55, 1.50, IF(AP9&gt;=50, 1.00, 0.00)))))))</f>
      </c>
      <c r="AR9" s="40">
        <f>IF(AP9&gt;=91,"A",IF(AP9&gt;=81,"B+",IF(AP9&gt;=70,"B",IF(AP9&gt;=65,"C+",IF(AP9&gt;=60,"C",IF(AP9&gt;=55,"D+",IF(AP9&gt;=50,"D","F")))))))</f>
      </c>
      <c r="AS9" s="47">
        <v>84</v>
      </c>
      <c r="AT9" s="40">
        <f>IF(AS9&gt;=91, 4.00, IF(AS9&gt;=81, 3.50, IF(AS9&gt;=70, 3.00, IF(AS9&gt;=65, 2.50, IF(AS9&gt;=60, 2.00, IF(AS9&gt;=55, 1.50, IF(AS9&gt;=50, 1.00, 0.00)))))))</f>
      </c>
      <c r="AU9" s="40">
        <f>IF(AS9&gt;=91,"A",IF(AS9&gt;=81,"B+",IF(AS9&gt;=70,"B",IF(AS9&gt;=65,"C+",IF(AS9&gt;=60,"C",IF(AS9&gt;=55,"D+",IF(AS9&gt;=50,"D","F")))))))</f>
      </c>
      <c r="AV9" s="40" t="s">
        <v>43</v>
      </c>
      <c r="AW9" s="40">
        <f>IF(AV9&gt;=91, 4.00, IF(AV9&gt;=81, 3.50, IF(AV9&gt;=70, 3.00, IF(AV9&gt;=65, 2.50, IF(AV9&gt;=60, 2.00, IF(AV9&gt;=55, 1.50, IF(AV9&gt;=50, 1.00, 0.00)))))))</f>
      </c>
      <c r="AX9" s="40">
        <f>IF(AV9&gt;=91,"A",IF(AV9&gt;=81,"B+",IF(AV9&gt;=70,"B",IF(AV9&gt;=65,"C+",IF(AV9&gt;=60,"C",IF(AV9&gt;=55,"D+",IF(AV9&gt;=50,"D","F")))))))</f>
      </c>
      <c r="AY9" s="40" t="s">
        <v>266</v>
      </c>
      <c r="AZ9" s="40">
        <f>IF(AY9&gt;=91, 4.00, IF(AY9&gt;=81, 3.50, IF(AY9&gt;=70, 3.00, IF(AY9&gt;=65, 2.50, IF(AY9&gt;=60, 2.00, IF(AY9&gt;=55, 1.50, IF(AY9&gt;=50, 1.00, 0.00)))))))</f>
      </c>
      <c r="BA9" s="111">
        <f>IF(AY9&gt;=91,"A",IF(AY9&gt;=81,"B+",IF(AY9&gt;=70,"B",IF(AY9&gt;=65,"C+",IF(AY9&gt;=60,"C",IF(AY9&gt;=55,"D+",IF(AY9&gt;=50,"D","F")))))))</f>
      </c>
      <c r="BB9" s="112">
        <v>93</v>
      </c>
      <c r="BC9" s="48">
        <f>IF(BB9&gt;=91, 4.00, IF(BB9&gt;=81, 3.50, IF(BB9&gt;=70, 3.00, IF(BB9&gt;=65, 2.50, IF(BB9&gt;=60, 2.00, IF(BB9&gt;=55, 1.50, IF(BB9&gt;=50, 1.00, 0.00)))))))</f>
      </c>
      <c r="BD9" s="49">
        <f>IF(BB9&gt;=91,"A",IF(BB9&gt;=81,"B+",IF(BB9&gt;=70,"B",IF(BB9&gt;=65,"C+",IF(BB9&gt;=60,"C",IF(BB9&gt;=55,"D+",IF(BB9&gt;=50,"D","F")))))))</f>
      </c>
      <c r="BE9" s="40" t="str">
        <f>IF(BC9&gt;90,"A",IF(BC9&gt;80,"B+",IF(BC9&gt;69,"B",IF(BC9&gt;64,"C+",IF(BC9&gt;59,"C",IF(BC9&gt;54,"D+",IF(BC9&gt;49,"D",IF(BC9&gt;=0,"F"))))))))</f>
        <v>F</v>
      </c>
      <c r="BF9" s="48">
        <f>IF(BE9&gt;=91, 4.00, IF(BE9&gt;=81, 3.50, IF(BE9&gt;=70, 3.00, IF(BE9&gt;=65, 2.50, IF(BE9&gt;=60, 2.00, IF(BE9&gt;=55, 1.50, IF(BE9&gt;=50, 1.00, 0.00)))))))</f>
      </c>
      <c r="BG9" s="49">
        <f>IF(BE9&gt;=91,"A",IF(BE9&gt;=81,"B+",IF(BE9&gt;=70,"B",IF(BE9&gt;=65,"C+",IF(BE9&gt;=60,"C",IF(BE9&gt;=55,"D+",IF(BE9&gt;=50,"D","F")))))))</f>
      </c>
      <c r="BH9" s="40" t="str">
        <f>IF(BF9&gt;90,"A",IF(BF9&gt;80,"B+",IF(BF9&gt;69,"B",IF(BF9&gt;64,"C+",IF(BF9&gt;59,"C",IF(BF9&gt;54,"D+",IF(BF9&gt;49,"D",IF(BF9&gt;=0,"F"))))))))</f>
        <v>F</v>
      </c>
      <c r="BI9" s="43">
        <f>IF(BH9&gt;=91, 4.00, IF(BH9&gt;=81, 3.50, IF(BH9&gt;=70, 3.00, IF(BH9&gt;=65, 2.50, IF(BH9&gt;=60, 2.00, IF(BH9&gt;=55, 1.50, IF(BH9&gt;=50, 1.00, 0.00)))))))</f>
      </c>
      <c r="BJ9" s="49">
        <f>IF(BH9&gt;=91,"A",IF(BH9&gt;=81,"B+",IF(BH9&gt;=70,"B",IF(BH9&gt;=65,"C+",IF(BH9&gt;=60,"C",IF(BH9&gt;=55,"D+",IF(BH9&gt;=50,"D","F")))))))</f>
      </c>
      <c r="BK9" s="40" t="str">
        <f>IF(BI9&gt;90,"A",IF(BI9&gt;80,"B+",IF(BI9&gt;69,"B",IF(BI9&gt;64,"C+",IF(BI9&gt;59,"C",IF(BI9&gt;54,"D+",IF(BI9&gt;49,"D",IF(BI9&gt;=0,"F"))))))))</f>
        <v>F</v>
      </c>
      <c r="BL9" s="48">
        <f>IF(BK9&gt;=91, 4.00, IF(BK9&gt;=81, 3.50, IF(BK9&gt;=70, 3.00, IF(BK9&gt;=65, 2.50, IF(BK9&gt;=60, 2.00, IF(BK9&gt;=55, 1.50, IF(BK9&gt;=50, 1.00, 0.00)))))))</f>
      </c>
      <c r="BM9" s="49">
        <f>IF(BK9&gt;=91,"A",IF(BK9&gt;=81,"B+",IF(BK9&gt;=70,"B",IF(BK9&gt;=65,"C+",IF(BK9&gt;=60,"C",IF(BK9&gt;=55,"D+",IF(BK9&gt;=50,"D","F")))))))</f>
      </c>
      <c r="BN9" s="40">
        <f>ROUND((AN9*3+AQ9*2+AT9*1+AW9*1+AZ9*1+BC9*2+BF9*2+BI9*1+BL9*2)/15, 2)</f>
      </c>
      <c r="BO9" s="43"/>
      <c r="BP9" s="49" t="str">
        <f>IF(BO9&gt;90,"4.00",IF(BO9&gt;80,"3.50",IF(BO9&gt;69,"3.00",IF(BO9&gt;64,"2.50",IF(BO9&gt;59,"2.00",IF(BO9&gt;54,"1.50",IF(BO9&gt;49,"1.00","0.00")))))))</f>
        <v>0.00</v>
      </c>
      <c r="BQ9" s="40" t="str">
        <f>IF(BO9&gt;90,"A",IF(BO9&gt;80,"B+",IF(BO9&gt;69,"B",IF(BO9&gt;64,"C+",IF(BO9&gt;59,"C",IF(BO9&gt;54,"D+",IF(BO9&gt;49,"D",IF(BO9&gt;=0,"F"))))))))</f>
        <v>F</v>
      </c>
      <c r="BR9" s="43"/>
      <c r="BS9" s="49" t="str">
        <f>IF(BR9&gt;90,"4.00",IF(BR9&gt;80,"3.50",IF(BR9&gt;69,"3.00",IF(BR9&gt;64,"2.50",IF(BR9&gt;59,"2.00",IF(BR9&gt;54,"1.50",IF(BR9&gt;49,"1.00","0.00")))))))</f>
        <v>0.00</v>
      </c>
      <c r="BT9" s="40" t="str">
        <f>IF(BR9&gt;90,"A",IF(BR9&gt;80,"B+",IF(BR9&gt;69,"B",IF(BR9&gt;64,"C+",IF(BR9&gt;59,"C",IF(BR9&gt;54,"D+",IF(BR9&gt;49,"D",IF(BR9&gt;=0,"F"))))))))</f>
        <v>F</v>
      </c>
      <c r="BU9" s="49"/>
      <c r="BV9" s="49" t="str">
        <f>IF(BU9&gt;90,"4.00",IF(BU9&gt;80,"3.50",IF(BU9&gt;69,"3.00",IF(BU9&gt;64,"2.50",IF(BU9&gt;59,"2.00",IF(BU9&gt;54,"1.50",IF(BU9&gt;49,"1.00","0.00")))))))</f>
        <v>0.00</v>
      </c>
      <c r="BW9" s="40" t="str">
        <f>IF(BU9&gt;90,"A",IF(BU9&gt;80,"B+",IF(BU9&gt;69,"B",IF(BU9&gt;64,"C+",IF(BU9&gt;59,"C",IF(BU9&gt;54,"D+",IF(BU9&gt;49,"D",IF(BU9&gt;=0,"F"))))))))</f>
        <v>F</v>
      </c>
      <c r="BX9" s="49"/>
      <c r="BY9" s="49" t="str">
        <f>IF(BX9&gt;90,"4.00",IF(BX9&gt;80,"3.50",IF(BX9&gt;69,"3.00",IF(BX9&gt;64,"2.50",IF(BX9&gt;59,"2.00",IF(BX9&gt;54,"1.50",IF(BX9&gt;49,"1.00","0.00")))))))</f>
        <v>0.00</v>
      </c>
      <c r="BZ9" s="40" t="str">
        <f>IF(BX9&gt;90,"A",IF(BX9&gt;80,"B+",IF(BX9&gt;69,"B",IF(BX9&gt;64,"C+",IF(BX9&gt;59,"C",IF(BX9&gt;54,"D+",IF(BX9&gt;49,"D",IF(BX9&gt;=0,"F"))))))))</f>
        <v>F</v>
      </c>
      <c r="CA9" s="49"/>
      <c r="CB9" s="49" t="str">
        <f>IF(CA9&gt;90,"4.00",IF(CA9&gt;80,"3.50",IF(CA9&gt;69,"3.00",IF(CA9&gt;64,"2.50",IF(CA9&gt;59,"2.00",IF(CA9&gt;54,"1.50",IF(CA9&gt;49,"1.00","0.00")))))))</f>
        <v>0.00</v>
      </c>
      <c r="CC9" s="40" t="str">
        <f>IF(CA9&gt;90,"A",IF(CA9&gt;80,"B+",IF(CA9&gt;69,"B",IF(CA9&gt;64,"C+",IF(CA9&gt;59,"C",IF(CA9&gt;54,"D+",IF(CA9&gt;49,"D",IF(CA9&gt;=0,"F"))))))))</f>
        <v>F</v>
      </c>
      <c r="CD9" s="50">
        <f>(BD9*3+BG9*2+BJ9*1+BM9*2+BP9*1+BS9*1+BV9*2+BY9*2+CB9*2)/(3+2+1+2+1+1+2+2+2)</f>
        <v>0</v>
      </c>
      <c r="CE9" s="50">
        <f>(AR9+CD9)/2</f>
        <v>0</v>
      </c>
      <c r="CF9" s="51">
        <f>RANK(CE9,$CE$7:CE38)</f>
        <v>1</v>
      </c>
      <c r="CG9" s="58"/>
      <c r="CH9" s="52"/>
      <c r="CI9" s="52"/>
      <c r="CJ9" s="52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</row>
    <row r="10" ht="20" customHeight="1" spans="1:199" s="39" customFormat="1" x14ac:dyDescent="0.25">
      <c r="A10" s="40">
        <v>4</v>
      </c>
      <c r="B10" s="40" t="s">
        <v>267</v>
      </c>
      <c r="C10" s="40" t="s">
        <v>51</v>
      </c>
      <c r="D10" s="40" t="s">
        <v>268</v>
      </c>
      <c r="E10" s="40" t="s">
        <v>64</v>
      </c>
      <c r="F10" s="40"/>
      <c r="G10" s="40"/>
      <c r="H10" s="44"/>
      <c r="I10" s="112"/>
      <c r="J10" s="40">
        <v>1</v>
      </c>
      <c r="K10" s="42">
        <v>95</v>
      </c>
      <c r="L10" s="40">
        <f>IF(K10&gt;=91, 4.00, IF(K10&gt;=81, 3.50, IF(K10&gt;=70, 3.00, IF(K10&gt;=65, 2.50, IF(K10&gt;=60, 2.00, IF(K10&gt;=55, 1.50, IF(K10&gt;=50, 1.00, 0.00)))))))</f>
      </c>
      <c r="M10" s="40">
        <f>IF(K10&gt;=91,"A",IF(K10&gt;=81,"B+",IF(K10&gt;=70,"B",IF(K10&gt;=65,"C+",IF(K10&gt;=60,"C",IF(K10&gt;=55,"D+",IF(K10&gt;=50,"D","F")))))))</f>
      </c>
      <c r="N10" s="42">
        <v>77</v>
      </c>
      <c r="O10" s="40">
        <f>IF(N10&gt;=91, 4.00, IF(N10&gt;=81, 3.50, IF(N10&gt;=70, 3.00, IF(N10&gt;=65, 2.50, IF(N10&gt;=60, 2.00, IF(N10&gt;=55, 1.50, IF(N10&gt;=50, 1.00, 0.00)))))))</f>
      </c>
      <c r="P10" s="40">
        <f>IF(N10&gt;=91,"A",IF(N10&gt;=81,"B+",IF(N10&gt;=70,"B",IF(N10&gt;=65,"C+",IF(N10&gt;=60,"C",IF(N10&gt;=55,"D+",IF(N10&gt;=50,"D","F")))))))</f>
      </c>
      <c r="Q10" s="42">
        <v>80</v>
      </c>
      <c r="R10" s="40">
        <f>IF(Q10&gt;=91, 4.00, IF(Q10&gt;=81, 3.50, IF(Q10&gt;=70, 3.00, IF(Q10&gt;=65, 2.50, IF(Q10&gt;=60, 2.00, IF(Q10&gt;=55, 1.50, IF(Q10&gt;=50, 1.00, 0.00)))))))</f>
      </c>
      <c r="S10" s="40">
        <f>IF(Q10&gt;=91,"A",IF(Q10&gt;=81,"B+",IF(Q10&gt;=70,"B",IF(Q10&gt;=65,"C+",IF(Q10&gt;=60,"C",IF(Q10&gt;=55,"D+",IF(Q10&gt;=50,"D","F")))))))</f>
      </c>
      <c r="T10" s="42">
        <v>83</v>
      </c>
      <c r="U10" s="40">
        <f>IF(T10&gt;=91, 4.00, IF(T10&gt;=81, 3.50, IF(T10&gt;=70, 3.00, IF(T10&gt;=65, 2.50, IF(T10&gt;=60, 2.00, IF(T10&gt;=55, 1.50, IF(T10&gt;=50, 1.00, 0.00)))))))</f>
      </c>
      <c r="V10" s="40">
        <f>IF(T10&gt;=91,"A",IF(T10&gt;=81,"B+",IF(T10&gt;=70,"B",IF(T10&gt;=65,"C+",IF(T10&gt;=60,"C",IF(T10&gt;=55,"D+",IF(T10&gt;=50,"D","F")))))))</f>
      </c>
      <c r="W10" s="42">
        <v>86</v>
      </c>
      <c r="X10" s="40">
        <f>IF(W10&gt;=91, 4.00, IF(W10&gt;=81, 3.50, IF(W10&gt;=70, 3.00, IF(W10&gt;=65, 2.50, IF(W10&gt;=60, 2.00, IF(W10&gt;=55, 1.50, IF(W10&gt;=50, 1.00, 0.00)))))))</f>
      </c>
      <c r="Y10" s="40">
        <f>IF(W10&gt;=91,"A",IF(W10&gt;=81,"B+",IF(W10&gt;=70,"B",IF(W10&gt;=65,"C+",IF(W10&gt;=60,"C",IF(W10&gt;=55,"D+",IF(W10&gt;=50,"D","F")))))))</f>
      </c>
      <c r="Z10" s="46">
        <v>89</v>
      </c>
      <c r="AA10" s="40">
        <f>IF(Z10&gt;=91, 4.00, IF(Z10&gt;=81, 3.50, IF(Z10&gt;=70, 3.00, IF(Z10&gt;=65, 2.50, IF(Z10&gt;=60, 2.00, IF(Z10&gt;=55, 1.50, IF(Z10&gt;=50, 1.00, 0.00)))))))</f>
      </c>
      <c r="AB10" s="40">
        <f>IF(Z10&gt;=91,"A",IF(Z10&gt;=81,"B+",IF(Z10&gt;=70,"B",IF(Z10&gt;=65,"C+",IF(Z10&gt;=60,"C",IF(Z10&gt;=55,"D+",IF(Z10&gt;=50,"D","F")))))))</f>
      </c>
      <c r="AC10" s="42">
        <v>92</v>
      </c>
      <c r="AD10" s="40">
        <f>IF(AC10&gt;=91, 4.00, IF(AC10&gt;=81, 3.50, IF(AC10&gt;=70, 3.00, IF(AC10&gt;=65, 2.50, IF(AC10&gt;=60, 2.00, IF(AC10&gt;=55, 1.50, IF(AC10&gt;=50, 1.00, 0.00)))))))</f>
      </c>
      <c r="AE10" s="40">
        <f>IF(AC10&gt;=91,"A",IF(AC10&gt;=81,"B+",IF(AC10&gt;=70,"B",IF(AC10&gt;=65,"C+",IF(AC10&gt;=60,"C",IF(AC10&gt;=55,"D+",IF(AC10&gt;=50,"D","F")))))))</f>
      </c>
      <c r="AF10" s="40">
        <v>95</v>
      </c>
      <c r="AG10" s="40">
        <f>IF(AF10&gt;=91, 4.00, IF(AF10&gt;=81, 3.50, IF(AF10&gt;=70, 3.00, IF(AF10&gt;=65, 2.50, IF(AF10&gt;=60, 2.00, IF(AF10&gt;=55, 1.50, IF(AF10&gt;=50, 1.00, 0.00)))))))</f>
      </c>
      <c r="AH10" s="40">
        <f>IF(AF10&gt;=91,"A",IF(AF10&gt;=81,"B+",IF(AF10&gt;=70,"B",IF(AF10&gt;=65,"C+",IF(AF10&gt;=60,"C",IF(AF10&gt;=55,"D+",IF(AF10&gt;=50,"D","F")))))))</f>
      </c>
      <c r="AI10" s="46">
        <v>77</v>
      </c>
      <c r="AJ10" s="40">
        <f>IF(AI10&gt;=91, 4.00, IF(AI10&gt;=81, 3.50, IF(AI10&gt;=70, 3.00, IF(AI10&gt;=65, 2.50, IF(AI10&gt;=60, 2.00, IF(AI10&gt;=55, 1.50, IF(AI10&gt;=50, 1.00, 0.00)))))))</f>
      </c>
      <c r="AK10" s="40">
        <f>IF(AI10&gt;=91,"A",IF(AI10&gt;=81,"B+",IF(AI10&gt;=70,"B",IF(AI10&gt;=65,"C+",IF(AI10&gt;=60,"C",IF(AI10&gt;=55,"D+",IF(AI10&gt;=50,"D","F")))))))</f>
      </c>
      <c r="AL10" s="42">
        <f>ROUND((L10*3+O10*2+R10*1+U10*1+X10*1+AA10*2+AD10*2+AG10*1+AJ10*2)/15, 2)</f>
      </c>
      <c r="AM10" s="40" t="str">
        <f>IF(AL10&gt;90,"4.00",IF(AL10&gt;80,"3.50",IF(AL10&gt;69,"3.00",IF(AL10&gt;64,"2.50",IF(AL10&gt;59,"2.00",IF(AL10&gt;54,"1.50",IF(AL10&gt;49,"1.00","0.00")))))))</f>
        <v>0.00</v>
      </c>
      <c r="AN10" s="40">
        <f>IF(AM10&gt;=91, 4.00, IF(AM10&gt;=81, 3.50, IF(AM10&gt;=70, 3.00, IF(AM10&gt;=65, 2.50, IF(AM10&gt;=60, 2.00, IF(AM10&gt;=55, 1.50, IF(AM10&gt;=50, 1.00, 0.00)))))))</f>
      </c>
      <c r="AO10" s="40">
        <f>IF(AM10&gt;=91,"A",IF(AM10&gt;=81,"B+",IF(AM10&gt;=70,"B",IF(AM10&gt;=65,"C+",IF(AM10&gt;=60,"C",IF(AM10&gt;=55,"D+",IF(AM10&gt;=50,"D","F")))))))</f>
      </c>
      <c r="AP10" s="40" t="str">
        <f>IF(AO10&gt;90,"4.00",IF(AO10&gt;80,"3.50",IF(AO10&gt;69,"3.00",IF(AO10&gt;64,"2.50",IF(AO10&gt;59,"2.00",IF(AO10&gt;54,"1.50",IF(AO10&gt;49,"1.00","0.00")))))))</f>
        <v>0.00</v>
      </c>
      <c r="AQ10" s="40">
        <f>IF(AP10&gt;=91, 4.00, IF(AP10&gt;=81, 3.50, IF(AP10&gt;=70, 3.00, IF(AP10&gt;=65, 2.50, IF(AP10&gt;=60, 2.00, IF(AP10&gt;=55, 1.50, IF(AP10&gt;=50, 1.00, 0.00)))))))</f>
      </c>
      <c r="AR10" s="40">
        <f>IF(AP10&gt;=91,"A",IF(AP10&gt;=81,"B+",IF(AP10&gt;=70,"B",IF(AP10&gt;=65,"C+",IF(AP10&gt;=60,"C",IF(AP10&gt;=55,"D+",IF(AP10&gt;=50,"D","F")))))))</f>
      </c>
      <c r="AS10" s="47">
        <v>87</v>
      </c>
      <c r="AT10" s="40">
        <f>IF(AS10&gt;=91, 4.00, IF(AS10&gt;=81, 3.50, IF(AS10&gt;=70, 3.00, IF(AS10&gt;=65, 2.50, IF(AS10&gt;=60, 2.00, IF(AS10&gt;=55, 1.50, IF(AS10&gt;=50, 1.00, 0.00)))))))</f>
      </c>
      <c r="AU10" s="40">
        <f>IF(AS10&gt;=91,"A",IF(AS10&gt;=81,"B+",IF(AS10&gt;=70,"B",IF(AS10&gt;=65,"C+",IF(AS10&gt;=60,"C",IF(AS10&gt;=55,"D+",IF(AS10&gt;=50,"D","F")))))))</f>
      </c>
      <c r="AV10" s="40" t="s">
        <v>51</v>
      </c>
      <c r="AW10" s="40">
        <f>IF(AV10&gt;=91, 4.00, IF(AV10&gt;=81, 3.50, IF(AV10&gt;=70, 3.00, IF(AV10&gt;=65, 2.50, IF(AV10&gt;=60, 2.00, IF(AV10&gt;=55, 1.50, IF(AV10&gt;=50, 1.00, 0.00)))))))</f>
      </c>
      <c r="AX10" s="40">
        <f>IF(AV10&gt;=91,"A",IF(AV10&gt;=81,"B+",IF(AV10&gt;=70,"B",IF(AV10&gt;=65,"C+",IF(AV10&gt;=60,"C",IF(AV10&gt;=55,"D+",IF(AV10&gt;=50,"D","F")))))))</f>
      </c>
      <c r="AY10" s="40">
        <v>93</v>
      </c>
      <c r="AZ10" s="40">
        <f>IF(AY10&gt;=91, 4.00, IF(AY10&gt;=81, 3.50, IF(AY10&gt;=70, 3.00, IF(AY10&gt;=65, 2.50, IF(AY10&gt;=60, 2.00, IF(AY10&gt;=55, 1.50, IF(AY10&gt;=50, 1.00, 0.00)))))))</f>
      </c>
      <c r="BA10" s="44">
        <f>IF(AY10&gt;=91,"A",IF(AY10&gt;=81,"B+",IF(AY10&gt;=70,"B",IF(AY10&gt;=65,"C+",IF(AY10&gt;=60,"C",IF(AY10&gt;=55,"D+",IF(AY10&gt;=50,"D","F")))))))</f>
      </c>
      <c r="BB10" s="112">
        <v>75</v>
      </c>
      <c r="BC10" s="48">
        <f>IF(BB10&gt;=91, 4.00, IF(BB10&gt;=81, 3.50, IF(BB10&gt;=70, 3.00, IF(BB10&gt;=65, 2.50, IF(BB10&gt;=60, 2.00, IF(BB10&gt;=55, 1.50, IF(BB10&gt;=50, 1.00, 0.00)))))))</f>
      </c>
      <c r="BD10" s="49">
        <f>IF(BB10&gt;=91,"A",IF(BB10&gt;=81,"B+",IF(BB10&gt;=70,"B",IF(BB10&gt;=65,"C+",IF(BB10&gt;=60,"C",IF(BB10&gt;=55,"D+",IF(BB10&gt;=50,"D","F")))))))</f>
      </c>
      <c r="BE10" s="40" t="str">
        <f>IF(BC10&gt;90,"A",IF(BC10&gt;80,"B+",IF(BC10&gt;69,"B",IF(BC10&gt;64,"C+",IF(BC10&gt;59,"C",IF(BC10&gt;54,"D+",IF(BC10&gt;49,"D",IF(BC10&gt;=0,"F"))))))))</f>
        <v>F</v>
      </c>
      <c r="BF10" s="48">
        <f>IF(BE10&gt;=91, 4.00, IF(BE10&gt;=81, 3.50, IF(BE10&gt;=70, 3.00, IF(BE10&gt;=65, 2.50, IF(BE10&gt;=60, 2.00, IF(BE10&gt;=55, 1.50, IF(BE10&gt;=50, 1.00, 0.00)))))))</f>
      </c>
      <c r="BG10" s="49">
        <f>IF(BE10&gt;=91,"A",IF(BE10&gt;=81,"B+",IF(BE10&gt;=70,"B",IF(BE10&gt;=65,"C+",IF(BE10&gt;=60,"C",IF(BE10&gt;=55,"D+",IF(BE10&gt;=50,"D","F")))))))</f>
      </c>
      <c r="BH10" s="40" t="str">
        <f>IF(BF10&gt;90,"A",IF(BF10&gt;80,"B+",IF(BF10&gt;69,"B",IF(BF10&gt;64,"C+",IF(BF10&gt;59,"C",IF(BF10&gt;54,"D+",IF(BF10&gt;49,"D",IF(BF10&gt;=0,"F"))))))))</f>
        <v>F</v>
      </c>
      <c r="BI10" s="43">
        <f>IF(BH10&gt;=91, 4.00, IF(BH10&gt;=81, 3.50, IF(BH10&gt;=70, 3.00, IF(BH10&gt;=65, 2.50, IF(BH10&gt;=60, 2.00, IF(BH10&gt;=55, 1.50, IF(BH10&gt;=50, 1.00, 0.00)))))))</f>
      </c>
      <c r="BJ10" s="49">
        <f>IF(BH10&gt;=91,"A",IF(BH10&gt;=81,"B+",IF(BH10&gt;=70,"B",IF(BH10&gt;=65,"C+",IF(BH10&gt;=60,"C",IF(BH10&gt;=55,"D+",IF(BH10&gt;=50,"D","F")))))))</f>
      </c>
      <c r="BK10" s="40" t="str">
        <f>IF(BI10&gt;90,"A",IF(BI10&gt;80,"B+",IF(BI10&gt;69,"B",IF(BI10&gt;64,"C+",IF(BI10&gt;59,"C",IF(BI10&gt;54,"D+",IF(BI10&gt;49,"D",IF(BI10&gt;=0,"F"))))))))</f>
        <v>F</v>
      </c>
      <c r="BL10" s="48">
        <f>IF(BK10&gt;=91, 4.00, IF(BK10&gt;=81, 3.50, IF(BK10&gt;=70, 3.00, IF(BK10&gt;=65, 2.50, IF(BK10&gt;=60, 2.00, IF(BK10&gt;=55, 1.50, IF(BK10&gt;=50, 1.00, 0.00)))))))</f>
      </c>
      <c r="BM10" s="49">
        <f>IF(BK10&gt;=91,"A",IF(BK10&gt;=81,"B+",IF(BK10&gt;=70,"B",IF(BK10&gt;=65,"C+",IF(BK10&gt;=60,"C",IF(BK10&gt;=55,"D+",IF(BK10&gt;=50,"D","F")))))))</f>
      </c>
      <c r="BN10" s="40">
        <f>ROUND((AN10*3+AQ10*2+AT10*1+AW10*1+AZ10*1+BC10*2+BF10*2+BI10*1+BL10*2)/15, 2)</f>
      </c>
      <c r="BO10" s="43"/>
      <c r="BP10" s="49" t="str">
        <f>IF(BO10&gt;90,"4.00",IF(BO10&gt;80,"3.50",IF(BO10&gt;69,"3.00",IF(BO10&gt;64,"2.50",IF(BO10&gt;59,"2.00",IF(BO10&gt;54,"1.50",IF(BO10&gt;49,"1.00","0.00")))))))</f>
        <v>0.00</v>
      </c>
      <c r="BQ10" s="40" t="str">
        <f>IF(BO10&gt;90,"A",IF(BO10&gt;80,"B+",IF(BO10&gt;69,"B",IF(BO10&gt;64,"C+",IF(BO10&gt;59,"C",IF(BO10&gt;54,"D+",IF(BO10&gt;49,"D",IF(BO10&gt;=0,"F"))))))))</f>
        <v>F</v>
      </c>
      <c r="BR10" s="43"/>
      <c r="BS10" s="49" t="str">
        <f>IF(BR10&gt;90,"4.00",IF(BR10&gt;80,"3.50",IF(BR10&gt;69,"3.00",IF(BR10&gt;64,"2.50",IF(BR10&gt;59,"2.00",IF(BR10&gt;54,"1.50",IF(BR10&gt;49,"1.00","0.00")))))))</f>
        <v>0.00</v>
      </c>
      <c r="BT10" s="40" t="str">
        <f>IF(BR10&gt;90,"A",IF(BR10&gt;80,"B+",IF(BR10&gt;69,"B",IF(BR10&gt;64,"C+",IF(BR10&gt;59,"C",IF(BR10&gt;54,"D+",IF(BR10&gt;49,"D",IF(BR10&gt;=0,"F"))))))))</f>
        <v>F</v>
      </c>
      <c r="BU10" s="49"/>
      <c r="BV10" s="49" t="str">
        <f>IF(BU10&gt;90,"4.00",IF(BU10&gt;80,"3.50",IF(BU10&gt;69,"3.00",IF(BU10&gt;64,"2.50",IF(BU10&gt;59,"2.00",IF(BU10&gt;54,"1.50",IF(BU10&gt;49,"1.00","0.00")))))))</f>
        <v>0.00</v>
      </c>
      <c r="BW10" s="40" t="str">
        <f>IF(BU10&gt;90,"A",IF(BU10&gt;80,"B+",IF(BU10&gt;69,"B",IF(BU10&gt;64,"C+",IF(BU10&gt;59,"C",IF(BU10&gt;54,"D+",IF(BU10&gt;49,"D",IF(BU10&gt;=0,"F"))))))))</f>
        <v>F</v>
      </c>
      <c r="BX10" s="49"/>
      <c r="BY10" s="49" t="str">
        <f>IF(BX10&gt;90,"4.00",IF(BX10&gt;80,"3.50",IF(BX10&gt;69,"3.00",IF(BX10&gt;64,"2.50",IF(BX10&gt;59,"2.00",IF(BX10&gt;54,"1.50",IF(BX10&gt;49,"1.00","0.00")))))))</f>
        <v>0.00</v>
      </c>
      <c r="BZ10" s="40" t="str">
        <f>IF(BX10&gt;90,"A",IF(BX10&gt;80,"B+",IF(BX10&gt;69,"B",IF(BX10&gt;64,"C+",IF(BX10&gt;59,"C",IF(BX10&gt;54,"D+",IF(BX10&gt;49,"D",IF(BX10&gt;=0,"F"))))))))</f>
        <v>F</v>
      </c>
      <c r="CA10" s="49"/>
      <c r="CB10" s="49" t="str">
        <f>IF(CA10&gt;90,"4.00",IF(CA10&gt;80,"3.50",IF(CA10&gt;69,"3.00",IF(CA10&gt;64,"2.50",IF(CA10&gt;59,"2.00",IF(CA10&gt;54,"1.50",IF(CA10&gt;49,"1.00","0.00")))))))</f>
        <v>0.00</v>
      </c>
      <c r="CC10" s="40" t="str">
        <f>IF(CA10&gt;90,"A",IF(CA10&gt;80,"B+",IF(CA10&gt;69,"B",IF(CA10&gt;64,"C+",IF(CA10&gt;59,"C",IF(CA10&gt;54,"D+",IF(CA10&gt;49,"D",IF(CA10&gt;=0,"F"))))))))</f>
        <v>F</v>
      </c>
      <c r="CD10" s="50">
        <f>(BD10*3+BG10*2+BJ10*1+BM10*2+BP10*1+BS10*1+BV10*2+BY10*2+CB10*2)/(3+2+1+2+1+1+2+2+2)</f>
        <v>0</v>
      </c>
      <c r="CE10" s="50">
        <f>(AR10+CD10)/2</f>
        <v>0</v>
      </c>
      <c r="CF10" s="51">
        <f>RANK(CE10,$CE$7:CE39)</f>
        <v>1</v>
      </c>
      <c r="CG10" s="58"/>
      <c r="CH10" s="52"/>
      <c r="CI10" s="52"/>
      <c r="CJ10" s="52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</row>
    <row r="11" ht="20" customHeight="1" spans="1:199" s="39" customFormat="1" x14ac:dyDescent="0.25">
      <c r="A11" s="40">
        <v>5</v>
      </c>
      <c r="B11" s="40" t="s">
        <v>269</v>
      </c>
      <c r="C11" s="40" t="s">
        <v>51</v>
      </c>
      <c r="D11" s="40" t="s">
        <v>70</v>
      </c>
      <c r="E11" s="40" t="s">
        <v>71</v>
      </c>
      <c r="F11" s="40"/>
      <c r="G11" s="40"/>
      <c r="H11" s="44"/>
      <c r="I11" s="112"/>
      <c r="J11" s="40">
        <v>1</v>
      </c>
      <c r="K11" s="42">
        <v>77</v>
      </c>
      <c r="L11" s="40">
        <f>IF(K11&gt;=91, 4.00, IF(K11&gt;=81, 3.50, IF(K11&gt;=70, 3.00, IF(K11&gt;=65, 2.50, IF(K11&gt;=60, 2.00, IF(K11&gt;=55, 1.50, IF(K11&gt;=50, 1.00, 0.00)))))))</f>
      </c>
      <c r="M11" s="40">
        <f>IF(K11&gt;=91,"A",IF(K11&gt;=81,"B+",IF(K11&gt;=70,"B",IF(K11&gt;=65,"C+",IF(K11&gt;=60,"C",IF(K11&gt;=55,"D+",IF(K11&gt;=50,"D","F")))))))</f>
      </c>
      <c r="N11" s="42">
        <v>80</v>
      </c>
      <c r="O11" s="40">
        <f>IF(N11&gt;=91, 4.00, IF(N11&gt;=81, 3.50, IF(N11&gt;=70, 3.00, IF(N11&gt;=65, 2.50, IF(N11&gt;=60, 2.00, IF(N11&gt;=55, 1.50, IF(N11&gt;=50, 1.00, 0.00)))))))</f>
      </c>
      <c r="P11" s="40">
        <f>IF(N11&gt;=91,"A",IF(N11&gt;=81,"B+",IF(N11&gt;=70,"B",IF(N11&gt;=65,"C+",IF(N11&gt;=60,"C",IF(N11&gt;=55,"D+",IF(N11&gt;=50,"D","F")))))))</f>
      </c>
      <c r="Q11" s="42">
        <v>83</v>
      </c>
      <c r="R11" s="40">
        <f>IF(Q11&gt;=91, 4.00, IF(Q11&gt;=81, 3.50, IF(Q11&gt;=70, 3.00, IF(Q11&gt;=65, 2.50, IF(Q11&gt;=60, 2.00, IF(Q11&gt;=55, 1.50, IF(Q11&gt;=50, 1.00, 0.00)))))))</f>
      </c>
      <c r="S11" s="40">
        <f>IF(Q11&gt;=91,"A",IF(Q11&gt;=81,"B+",IF(Q11&gt;=70,"B",IF(Q11&gt;=65,"C+",IF(Q11&gt;=60,"C",IF(Q11&gt;=55,"D+",IF(Q11&gt;=50,"D","F")))))))</f>
      </c>
      <c r="T11" s="42">
        <v>86</v>
      </c>
      <c r="U11" s="40">
        <f>IF(T11&gt;=91, 4.00, IF(T11&gt;=81, 3.50, IF(T11&gt;=70, 3.00, IF(T11&gt;=65, 2.50, IF(T11&gt;=60, 2.00, IF(T11&gt;=55, 1.50, IF(T11&gt;=50, 1.00, 0.00)))))))</f>
      </c>
      <c r="V11" s="40">
        <f>IF(T11&gt;=91,"A",IF(T11&gt;=81,"B+",IF(T11&gt;=70,"B",IF(T11&gt;=65,"C+",IF(T11&gt;=60,"C",IF(T11&gt;=55,"D+",IF(T11&gt;=50,"D","F")))))))</f>
      </c>
      <c r="W11" s="42">
        <v>89</v>
      </c>
      <c r="X11" s="40">
        <f>IF(W11&gt;=91, 4.00, IF(W11&gt;=81, 3.50, IF(W11&gt;=70, 3.00, IF(W11&gt;=65, 2.50, IF(W11&gt;=60, 2.00, IF(W11&gt;=55, 1.50, IF(W11&gt;=50, 1.00, 0.00)))))))</f>
      </c>
      <c r="Y11" s="40">
        <f>IF(W11&gt;=91,"A",IF(W11&gt;=81,"B+",IF(W11&gt;=70,"B",IF(W11&gt;=65,"C+",IF(W11&gt;=60,"C",IF(W11&gt;=55,"D+",IF(W11&gt;=50,"D","F")))))))</f>
      </c>
      <c r="Z11" s="46">
        <v>92</v>
      </c>
      <c r="AA11" s="40">
        <f>IF(Z11&gt;=91, 4.00, IF(Z11&gt;=81, 3.50, IF(Z11&gt;=70, 3.00, IF(Z11&gt;=65, 2.50, IF(Z11&gt;=60, 2.00, IF(Z11&gt;=55, 1.50, IF(Z11&gt;=50, 1.00, 0.00)))))))</f>
      </c>
      <c r="AB11" s="40">
        <f>IF(Z11&gt;=91,"A",IF(Z11&gt;=81,"B+",IF(Z11&gt;=70,"B",IF(Z11&gt;=65,"C+",IF(Z11&gt;=60,"C",IF(Z11&gt;=55,"D+",IF(Z11&gt;=50,"D","F")))))))</f>
      </c>
      <c r="AC11" s="42">
        <v>95</v>
      </c>
      <c r="AD11" s="40">
        <f>IF(AC11&gt;=91, 4.00, IF(AC11&gt;=81, 3.50, IF(AC11&gt;=70, 3.00, IF(AC11&gt;=65, 2.50, IF(AC11&gt;=60, 2.00, IF(AC11&gt;=55, 1.50, IF(AC11&gt;=50, 1.00, 0.00)))))))</f>
      </c>
      <c r="AE11" s="40">
        <f>IF(AC11&gt;=91,"A",IF(AC11&gt;=81,"B+",IF(AC11&gt;=70,"B",IF(AC11&gt;=65,"C+",IF(AC11&gt;=60,"C",IF(AC11&gt;=55,"D+",IF(AC11&gt;=50,"D","F")))))))</f>
      </c>
      <c r="AF11" s="40">
        <v>77</v>
      </c>
      <c r="AG11" s="40">
        <f>IF(AF11&gt;=91, 4.00, IF(AF11&gt;=81, 3.50, IF(AF11&gt;=70, 3.00, IF(AF11&gt;=65, 2.50, IF(AF11&gt;=60, 2.00, IF(AF11&gt;=55, 1.50, IF(AF11&gt;=50, 1.00, 0.00)))))))</f>
      </c>
      <c r="AH11" s="40">
        <f>IF(AF11&gt;=91,"A",IF(AF11&gt;=81,"B+",IF(AF11&gt;=70,"B",IF(AF11&gt;=65,"C+",IF(AF11&gt;=60,"C",IF(AF11&gt;=55,"D+",IF(AF11&gt;=50,"D","F")))))))</f>
      </c>
      <c r="AI11" s="46">
        <v>80</v>
      </c>
      <c r="AJ11" s="40">
        <f>IF(AI11&gt;=91, 4.00, IF(AI11&gt;=81, 3.50, IF(AI11&gt;=70, 3.00, IF(AI11&gt;=65, 2.50, IF(AI11&gt;=60, 2.00, IF(AI11&gt;=55, 1.50, IF(AI11&gt;=50, 1.00, 0.00)))))))</f>
      </c>
      <c r="AK11" s="40">
        <f>IF(AI11&gt;=91,"A",IF(AI11&gt;=81,"B+",IF(AI11&gt;=70,"B",IF(AI11&gt;=65,"C+",IF(AI11&gt;=60,"C",IF(AI11&gt;=55,"D+",IF(AI11&gt;=50,"D","F")))))))</f>
      </c>
      <c r="AL11" s="42">
        <f>ROUND((L11*3+O11*2+R11*1+U11*1+X11*1+AA11*2+AD11*2+AG11*1+AJ11*2)/15, 2)</f>
      </c>
      <c r="AM11" s="40" t="str">
        <f>IF(AL11&gt;90,"4.00",IF(AL11&gt;80,"3.50",IF(AL11&gt;69,"3.00",IF(AL11&gt;64,"2.50",IF(AL11&gt;59,"2.00",IF(AL11&gt;54,"1.50",IF(AL11&gt;49,"1.00","0.00")))))))</f>
        <v>0.00</v>
      </c>
      <c r="AN11" s="40">
        <f>IF(AM11&gt;=91, 4.00, IF(AM11&gt;=81, 3.50, IF(AM11&gt;=70, 3.00, IF(AM11&gt;=65, 2.50, IF(AM11&gt;=60, 2.00, IF(AM11&gt;=55, 1.50, IF(AM11&gt;=50, 1.00, 0.00)))))))</f>
      </c>
      <c r="AO11" s="40">
        <f>IF(AM11&gt;=91,"A",IF(AM11&gt;=81,"B+",IF(AM11&gt;=70,"B",IF(AM11&gt;=65,"C+",IF(AM11&gt;=60,"C",IF(AM11&gt;=55,"D+",IF(AM11&gt;=50,"D","F")))))))</f>
      </c>
      <c r="AP11" s="40" t="str">
        <f>IF(AO11&gt;90,"4.00",IF(AO11&gt;80,"3.50",IF(AO11&gt;69,"3.00",IF(AO11&gt;64,"2.50",IF(AO11&gt;59,"2.00",IF(AO11&gt;54,"1.50",IF(AO11&gt;49,"1.00","0.00")))))))</f>
        <v>0.00</v>
      </c>
      <c r="AQ11" s="40">
        <f>IF(AP11&gt;=91, 4.00, IF(AP11&gt;=81, 3.50, IF(AP11&gt;=70, 3.00, IF(AP11&gt;=65, 2.50, IF(AP11&gt;=60, 2.00, IF(AP11&gt;=55, 1.50, IF(AP11&gt;=50, 1.00, 0.00)))))))</f>
      </c>
      <c r="AR11" s="40">
        <f>IF(AP11&gt;=91,"A",IF(AP11&gt;=81,"B+",IF(AP11&gt;=70,"B",IF(AP11&gt;=65,"C+",IF(AP11&gt;=60,"C",IF(AP11&gt;=55,"D+",IF(AP11&gt;=50,"D","F")))))))</f>
      </c>
      <c r="AS11" s="47">
        <v>90</v>
      </c>
      <c r="AT11" s="40">
        <f>IF(AS11&gt;=91, 4.00, IF(AS11&gt;=81, 3.50, IF(AS11&gt;=70, 3.00, IF(AS11&gt;=65, 2.50, IF(AS11&gt;=60, 2.00, IF(AS11&gt;=55, 1.50, IF(AS11&gt;=50, 1.00, 0.00)))))))</f>
      </c>
      <c r="AU11" s="40">
        <f>IF(AS11&gt;=91,"A",IF(AS11&gt;=81,"B+",IF(AS11&gt;=70,"B",IF(AS11&gt;=65,"C+",IF(AS11&gt;=60,"C",IF(AS11&gt;=55,"D+",IF(AS11&gt;=50,"D","F")))))))</f>
      </c>
      <c r="AV11" s="40" t="s">
        <v>51</v>
      </c>
      <c r="AW11" s="40">
        <f>IF(AV11&gt;=91, 4.00, IF(AV11&gt;=81, 3.50, IF(AV11&gt;=70, 3.00, IF(AV11&gt;=65, 2.50, IF(AV11&gt;=60, 2.00, IF(AV11&gt;=55, 1.50, IF(AV11&gt;=50, 1.00, 0.00)))))))</f>
      </c>
      <c r="AX11" s="40">
        <f>IF(AV11&gt;=91,"A",IF(AV11&gt;=81,"B+",IF(AV11&gt;=70,"B",IF(AV11&gt;=65,"C+",IF(AV11&gt;=60,"C",IF(AV11&gt;=55,"D+",IF(AV11&gt;=50,"D","F")))))))</f>
      </c>
      <c r="AY11" s="40">
        <v>75</v>
      </c>
      <c r="AZ11" s="40">
        <f>IF(AY11&gt;=91, 4.00, IF(AY11&gt;=81, 3.50, IF(AY11&gt;=70, 3.00, IF(AY11&gt;=65, 2.50, IF(AY11&gt;=60, 2.00, IF(AY11&gt;=55, 1.50, IF(AY11&gt;=50, 1.00, 0.00)))))))</f>
      </c>
      <c r="BA11" s="44">
        <f>IF(AY11&gt;=91,"A",IF(AY11&gt;=81,"B+",IF(AY11&gt;=70,"B",IF(AY11&gt;=65,"C+",IF(AY11&gt;=60,"C",IF(AY11&gt;=55,"D+",IF(AY11&gt;=50,"D","F")))))))</f>
      </c>
      <c r="BB11" s="112">
        <v>78</v>
      </c>
      <c r="BC11" s="40">
        <f>IF(BB11&gt;=91, 4.00, IF(BB11&gt;=81, 3.50, IF(BB11&gt;=70, 3.00, IF(BB11&gt;=65, 2.50, IF(BB11&gt;=60, 2.00, IF(BB11&gt;=55, 1.50, IF(BB11&gt;=50, 1.00, 0.00)))))))</f>
      </c>
      <c r="BD11" s="49">
        <f>IF(BB11&gt;=91,"A",IF(BB11&gt;=81,"B+",IF(BB11&gt;=70,"B",IF(BB11&gt;=65,"C+",IF(BB11&gt;=60,"C",IF(BB11&gt;=55,"D+",IF(BB11&gt;=50,"D","F")))))))</f>
      </c>
      <c r="BE11" s="40" t="str">
        <f>IF(BC11&gt;90,"A",IF(BC11&gt;80,"B+",IF(BC11&gt;69,"B",IF(BC11&gt;64,"C+",IF(BC11&gt;59,"C",IF(BC11&gt;54,"D+",IF(BC11&gt;49,"D",IF(BC11&gt;=0,"F"))))))))</f>
        <v>F</v>
      </c>
      <c r="BF11" s="48">
        <f>IF(BE11&gt;=91, 4.00, IF(BE11&gt;=81, 3.50, IF(BE11&gt;=70, 3.00, IF(BE11&gt;=65, 2.50, IF(BE11&gt;=60, 2.00, IF(BE11&gt;=55, 1.50, IF(BE11&gt;=50, 1.00, 0.00)))))))</f>
      </c>
      <c r="BG11" s="49">
        <f>IF(BE11&gt;=91,"A",IF(BE11&gt;=81,"B+",IF(BE11&gt;=70,"B",IF(BE11&gt;=65,"C+",IF(BE11&gt;=60,"C",IF(BE11&gt;=55,"D+",IF(BE11&gt;=50,"D","F")))))))</f>
      </c>
      <c r="BH11" s="40" t="str">
        <f>IF(BF11&gt;90,"A",IF(BF11&gt;80,"B+",IF(BF11&gt;69,"B",IF(BF11&gt;64,"C+",IF(BF11&gt;59,"C",IF(BF11&gt;54,"D+",IF(BF11&gt;49,"D",IF(BF11&gt;=0,"F"))))))))</f>
        <v>F</v>
      </c>
      <c r="BI11" s="43">
        <f>IF(BH11&gt;=91, 4.00, IF(BH11&gt;=81, 3.50, IF(BH11&gt;=70, 3.00, IF(BH11&gt;=65, 2.50, IF(BH11&gt;=60, 2.00, IF(BH11&gt;=55, 1.50, IF(BH11&gt;=50, 1.00, 0.00)))))))</f>
      </c>
      <c r="BJ11" s="49">
        <f>IF(BH11&gt;=91,"A",IF(BH11&gt;=81,"B+",IF(BH11&gt;=70,"B",IF(BH11&gt;=65,"C+",IF(BH11&gt;=60,"C",IF(BH11&gt;=55,"D+",IF(BH11&gt;=50,"D","F")))))))</f>
      </c>
      <c r="BK11" s="40" t="str">
        <f>IF(BI11&gt;90,"A",IF(BI11&gt;80,"B+",IF(BI11&gt;69,"B",IF(BI11&gt;64,"C+",IF(BI11&gt;59,"C",IF(BI11&gt;54,"D+",IF(BI11&gt;49,"D",IF(BI11&gt;=0,"F"))))))))</f>
        <v>F</v>
      </c>
      <c r="BL11" s="48">
        <f>IF(BK11&gt;=91, 4.00, IF(BK11&gt;=81, 3.50, IF(BK11&gt;=70, 3.00, IF(BK11&gt;=65, 2.50, IF(BK11&gt;=60, 2.00, IF(BK11&gt;=55, 1.50, IF(BK11&gt;=50, 1.00, 0.00)))))))</f>
      </c>
      <c r="BM11" s="49">
        <f>IF(BK11&gt;=91,"A",IF(BK11&gt;=81,"B+",IF(BK11&gt;=70,"B",IF(BK11&gt;=65,"C+",IF(BK11&gt;=60,"C",IF(BK11&gt;=55,"D+",IF(BK11&gt;=50,"D","F")))))))</f>
      </c>
      <c r="BN11" s="40">
        <f>ROUND((AN11*3+AQ11*2+AT11*1+AW11*1+AZ11*1+BC11*2+BF11*2+BI11*1+BL11*2)/15, 2)</f>
      </c>
      <c r="BO11" s="43"/>
      <c r="BP11" s="49" t="str">
        <f>IF(BO11&gt;90,"4.00",IF(BO11&gt;80,"3.50",IF(BO11&gt;69,"3.00",IF(BO11&gt;64,"2.50",IF(BO11&gt;59,"2.00",IF(BO11&gt;54,"1.50",IF(BO11&gt;49,"1.00","0.00")))))))</f>
        <v>0.00</v>
      </c>
      <c r="BQ11" s="40" t="str">
        <f>IF(BO11&gt;90,"A",IF(BO11&gt;80,"B+",IF(BO11&gt;69,"B",IF(BO11&gt;64,"C+",IF(BO11&gt;59,"C",IF(BO11&gt;54,"D+",IF(BO11&gt;49,"D",IF(BO11&gt;=0,"F"))))))))</f>
        <v>F</v>
      </c>
      <c r="BR11" s="43"/>
      <c r="BS11" s="49" t="str">
        <f>IF(BR11&gt;90,"4.00",IF(BR11&gt;80,"3.50",IF(BR11&gt;69,"3.00",IF(BR11&gt;64,"2.50",IF(BR11&gt;59,"2.00",IF(BR11&gt;54,"1.50",IF(BR11&gt;49,"1.00","0.00")))))))</f>
        <v>0.00</v>
      </c>
      <c r="BT11" s="40" t="str">
        <f>IF(BR11&gt;90,"A",IF(BR11&gt;80,"B+",IF(BR11&gt;69,"B",IF(BR11&gt;64,"C+",IF(BR11&gt;59,"C",IF(BR11&gt;54,"D+",IF(BR11&gt;49,"D",IF(BR11&gt;=0,"F"))))))))</f>
        <v>F</v>
      </c>
      <c r="BU11" s="49"/>
      <c r="BV11" s="49" t="str">
        <f>IF(BU11&gt;90,"4.00",IF(BU11&gt;80,"3.50",IF(BU11&gt;69,"3.00",IF(BU11&gt;64,"2.50",IF(BU11&gt;59,"2.00",IF(BU11&gt;54,"1.50",IF(BU11&gt;49,"1.00","0.00")))))))</f>
        <v>0.00</v>
      </c>
      <c r="BW11" s="40" t="str">
        <f>IF(BU11&gt;90,"A",IF(BU11&gt;80,"B+",IF(BU11&gt;69,"B",IF(BU11&gt;64,"C+",IF(BU11&gt;59,"C",IF(BU11&gt;54,"D+",IF(BU11&gt;49,"D",IF(BU11&gt;=0,"F"))))))))</f>
        <v>F</v>
      </c>
      <c r="BX11" s="49"/>
      <c r="BY11" s="49" t="str">
        <f>IF(BX11&gt;90,"4.00",IF(BX11&gt;80,"3.50",IF(BX11&gt;69,"3.00",IF(BX11&gt;64,"2.50",IF(BX11&gt;59,"2.00",IF(BX11&gt;54,"1.50",IF(BX11&gt;49,"1.00","0.00")))))))</f>
        <v>0.00</v>
      </c>
      <c r="BZ11" s="40" t="str">
        <f>IF(BX11&gt;90,"A",IF(BX11&gt;80,"B+",IF(BX11&gt;69,"B",IF(BX11&gt;64,"C+",IF(BX11&gt;59,"C",IF(BX11&gt;54,"D+",IF(BX11&gt;49,"D",IF(BX11&gt;=0,"F"))))))))</f>
        <v>F</v>
      </c>
      <c r="CA11" s="49"/>
      <c r="CB11" s="49" t="str">
        <f>IF(CA11&gt;90,"4.00",IF(CA11&gt;80,"3.50",IF(CA11&gt;69,"3.00",IF(CA11&gt;64,"2.50",IF(CA11&gt;59,"2.00",IF(CA11&gt;54,"1.50",IF(CA11&gt;49,"1.00","0.00")))))))</f>
        <v>0.00</v>
      </c>
      <c r="CC11" s="40" t="str">
        <f>IF(CA11&gt;90,"A",IF(CA11&gt;80,"B+",IF(CA11&gt;69,"B",IF(CA11&gt;64,"C+",IF(CA11&gt;59,"C",IF(CA11&gt;54,"D+",IF(CA11&gt;49,"D",IF(CA11&gt;=0,"F"))))))))</f>
        <v>F</v>
      </c>
      <c r="CD11" s="50">
        <f>(BD11*3+BG11*2+BJ11*1+BM11*2+BP11*1+BS11*1+BV11*2+BY11*2+CB11*2)/(3+2+1+2+1+1+2+2+2)</f>
        <v>0</v>
      </c>
      <c r="CE11" s="50">
        <f>(AR11+CD11)/2</f>
        <v>0</v>
      </c>
      <c r="CF11" s="51">
        <f>RANK(CE11,$CE$7:CE40)</f>
        <v>1</v>
      </c>
      <c r="CG11" s="40"/>
      <c r="CH11" s="52"/>
      <c r="CI11" s="52"/>
      <c r="CJ11" s="52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</row>
    <row r="12" ht="20" customHeight="1" spans="1:199" s="39" customFormat="1" x14ac:dyDescent="0.25">
      <c r="A12" s="40">
        <v>6</v>
      </c>
      <c r="B12" s="40" t="s">
        <v>270</v>
      </c>
      <c r="C12" s="40" t="s">
        <v>51</v>
      </c>
      <c r="D12" s="40" t="s">
        <v>75</v>
      </c>
      <c r="E12" s="40" t="s">
        <v>76</v>
      </c>
      <c r="F12" s="40" t="s">
        <v>271</v>
      </c>
      <c r="G12" s="40" t="s">
        <v>78</v>
      </c>
      <c r="H12" s="111"/>
      <c r="I12" s="112"/>
      <c r="J12" s="40">
        <v>1</v>
      </c>
      <c r="K12" s="42">
        <v>80</v>
      </c>
      <c r="L12" s="40">
        <f>IF(K12&gt;=91, 4.00, IF(K12&gt;=81, 3.50, IF(K12&gt;=70, 3.00, IF(K12&gt;=65, 2.50, IF(K12&gt;=60, 2.00, IF(K12&gt;=55, 1.50, IF(K12&gt;=50, 1.00, 0.00)))))))</f>
      </c>
      <c r="M12" s="40">
        <f>IF(K12&gt;=91,"A",IF(K12&gt;=81,"B+",IF(K12&gt;=70,"B",IF(K12&gt;=65,"C+",IF(K12&gt;=60,"C",IF(K12&gt;=55,"D+",IF(K12&gt;=50,"D","F")))))))</f>
      </c>
      <c r="N12" s="42">
        <v>83</v>
      </c>
      <c r="O12" s="40">
        <f>IF(N12&gt;=91, 4.00, IF(N12&gt;=81, 3.50, IF(N12&gt;=70, 3.00, IF(N12&gt;=65, 2.50, IF(N12&gt;=60, 2.00, IF(N12&gt;=55, 1.50, IF(N12&gt;=50, 1.00, 0.00)))))))</f>
      </c>
      <c r="P12" s="40">
        <f>IF(N12&gt;=91,"A",IF(N12&gt;=81,"B+",IF(N12&gt;=70,"B",IF(N12&gt;=65,"C+",IF(N12&gt;=60,"C",IF(N12&gt;=55,"D+",IF(N12&gt;=50,"D","F")))))))</f>
      </c>
      <c r="Q12" s="42">
        <v>86</v>
      </c>
      <c r="R12" s="40">
        <f>IF(Q12&gt;=91, 4.00, IF(Q12&gt;=81, 3.50, IF(Q12&gt;=70, 3.00, IF(Q12&gt;=65, 2.50, IF(Q12&gt;=60, 2.00, IF(Q12&gt;=55, 1.50, IF(Q12&gt;=50, 1.00, 0.00)))))))</f>
      </c>
      <c r="S12" s="40">
        <f>IF(Q12&gt;=91,"A",IF(Q12&gt;=81,"B+",IF(Q12&gt;=70,"B",IF(Q12&gt;=65,"C+",IF(Q12&gt;=60,"C",IF(Q12&gt;=55,"D+",IF(Q12&gt;=50,"D","F")))))))</f>
      </c>
      <c r="T12" s="42">
        <v>89</v>
      </c>
      <c r="U12" s="40">
        <f>IF(T12&gt;=91, 4.00, IF(T12&gt;=81, 3.50, IF(T12&gt;=70, 3.00, IF(T12&gt;=65, 2.50, IF(T12&gt;=60, 2.00, IF(T12&gt;=55, 1.50, IF(T12&gt;=50, 1.00, 0.00)))))))</f>
      </c>
      <c r="V12" s="40">
        <f>IF(T12&gt;=91,"A",IF(T12&gt;=81,"B+",IF(T12&gt;=70,"B",IF(T12&gt;=65,"C+",IF(T12&gt;=60,"C",IF(T12&gt;=55,"D+",IF(T12&gt;=50,"D","F")))))))</f>
      </c>
      <c r="W12" s="42">
        <v>92</v>
      </c>
      <c r="X12" s="40">
        <f>IF(W12&gt;=91, 4.00, IF(W12&gt;=81, 3.50, IF(W12&gt;=70, 3.00, IF(W12&gt;=65, 2.50, IF(W12&gt;=60, 2.00, IF(W12&gt;=55, 1.50, IF(W12&gt;=50, 1.00, 0.00)))))))</f>
      </c>
      <c r="Y12" s="40">
        <f>IF(W12&gt;=91,"A",IF(W12&gt;=81,"B+",IF(W12&gt;=70,"B",IF(W12&gt;=65,"C+",IF(W12&gt;=60,"C",IF(W12&gt;=55,"D+",IF(W12&gt;=50,"D","F")))))))</f>
      </c>
      <c r="Z12" s="46">
        <v>95</v>
      </c>
      <c r="AA12" s="40">
        <f>IF(Z12&gt;=91, 4.00, IF(Z12&gt;=81, 3.50, IF(Z12&gt;=70, 3.00, IF(Z12&gt;=65, 2.50, IF(Z12&gt;=60, 2.00, IF(Z12&gt;=55, 1.50, IF(Z12&gt;=50, 1.00, 0.00)))))))</f>
      </c>
      <c r="AB12" s="40">
        <f>IF(Z12&gt;=91,"A",IF(Z12&gt;=81,"B+",IF(Z12&gt;=70,"B",IF(Z12&gt;=65,"C+",IF(Z12&gt;=60,"C",IF(Z12&gt;=55,"D+",IF(Z12&gt;=50,"D","F")))))))</f>
      </c>
      <c r="AC12" s="42">
        <v>77</v>
      </c>
      <c r="AD12" s="40">
        <f>IF(AC12&gt;=91, 4.00, IF(AC12&gt;=81, 3.50, IF(AC12&gt;=70, 3.00, IF(AC12&gt;=65, 2.50, IF(AC12&gt;=60, 2.00, IF(AC12&gt;=55, 1.50, IF(AC12&gt;=50, 1.00, 0.00)))))))</f>
      </c>
      <c r="AE12" s="40">
        <f>IF(AC12&gt;=91,"A",IF(AC12&gt;=81,"B+",IF(AC12&gt;=70,"B",IF(AC12&gt;=65,"C+",IF(AC12&gt;=60,"C",IF(AC12&gt;=55,"D+",IF(AC12&gt;=50,"D","F")))))))</f>
      </c>
      <c r="AF12" s="40">
        <v>80</v>
      </c>
      <c r="AG12" s="40">
        <f>IF(AF12&gt;=91, 4.00, IF(AF12&gt;=81, 3.50, IF(AF12&gt;=70, 3.00, IF(AF12&gt;=65, 2.50, IF(AF12&gt;=60, 2.00, IF(AF12&gt;=55, 1.50, IF(AF12&gt;=50, 1.00, 0.00)))))))</f>
      </c>
      <c r="AH12" s="40">
        <f>IF(AF12&gt;=91,"A",IF(AF12&gt;=81,"B+",IF(AF12&gt;=70,"B",IF(AF12&gt;=65,"C+",IF(AF12&gt;=60,"C",IF(AF12&gt;=55,"D+",IF(AF12&gt;=50,"D","F")))))))</f>
      </c>
      <c r="AI12" s="46">
        <v>83</v>
      </c>
      <c r="AJ12" s="40">
        <f>IF(AI12&gt;=91, 4.00, IF(AI12&gt;=81, 3.50, IF(AI12&gt;=70, 3.00, IF(AI12&gt;=65, 2.50, IF(AI12&gt;=60, 2.00, IF(AI12&gt;=55, 1.50, IF(AI12&gt;=50, 1.00, 0.00)))))))</f>
      </c>
      <c r="AK12" s="40">
        <f>IF(AI12&gt;=91,"A",IF(AI12&gt;=81,"B+",IF(AI12&gt;=70,"B",IF(AI12&gt;=65,"C+",IF(AI12&gt;=60,"C",IF(AI12&gt;=55,"D+",IF(AI12&gt;=50,"D","F")))))))</f>
      </c>
      <c r="AL12" s="42">
        <f>ROUND((L12*3+O12*2+R12*1+U12*1+X12*1+AA12*2+AD12*2+AG12*1+AJ12*2)/15, 2)</f>
      </c>
      <c r="AM12" s="40" t="str">
        <f>IF(AL12&gt;90,"4.00",IF(AL12&gt;80,"3.50",IF(AL12&gt;69,"3.00",IF(AL12&gt;64,"2.50",IF(AL12&gt;59,"2.00",IF(AL12&gt;54,"1.50",IF(AL12&gt;49,"1.00","0.00")))))))</f>
        <v>0.00</v>
      </c>
      <c r="AN12" s="40">
        <f>IF(AM12&gt;=91, 4.00, IF(AM12&gt;=81, 3.50, IF(AM12&gt;=70, 3.00, IF(AM12&gt;=65, 2.50, IF(AM12&gt;=60, 2.00, IF(AM12&gt;=55, 1.50, IF(AM12&gt;=50, 1.00, 0.00)))))))</f>
      </c>
      <c r="AO12" s="40">
        <f>IF(AM12&gt;=91,"A",IF(AM12&gt;=81,"B+",IF(AM12&gt;=70,"B",IF(AM12&gt;=65,"C+",IF(AM12&gt;=60,"C",IF(AM12&gt;=55,"D+",IF(AM12&gt;=50,"D","F")))))))</f>
      </c>
      <c r="AP12" s="40" t="str">
        <f>IF(AO12&gt;90,"4.00",IF(AO12&gt;80,"3.50",IF(AO12&gt;69,"3.00",IF(AO12&gt;64,"2.50",IF(AO12&gt;59,"2.00",IF(AO12&gt;54,"1.50",IF(AO12&gt;49,"1.00","0.00")))))))</f>
        <v>0.00</v>
      </c>
      <c r="AQ12" s="40">
        <f>IF(AP12&gt;=91, 4.00, IF(AP12&gt;=81, 3.50, IF(AP12&gt;=70, 3.00, IF(AP12&gt;=65, 2.50, IF(AP12&gt;=60, 2.00, IF(AP12&gt;=55, 1.50, IF(AP12&gt;=50, 1.00, 0.00)))))))</f>
      </c>
      <c r="AR12" s="40">
        <f>IF(AP12&gt;=91,"A",IF(AP12&gt;=81,"B+",IF(AP12&gt;=70,"B",IF(AP12&gt;=65,"C+",IF(AP12&gt;=60,"C",IF(AP12&gt;=55,"D+",IF(AP12&gt;=50,"D","F")))))))</f>
      </c>
      <c r="AS12" s="47">
        <v>93</v>
      </c>
      <c r="AT12" s="40">
        <f>IF(AS12&gt;=91, 4.00, IF(AS12&gt;=81, 3.50, IF(AS12&gt;=70, 3.00, IF(AS12&gt;=65, 2.50, IF(AS12&gt;=60, 2.00, IF(AS12&gt;=55, 1.50, IF(AS12&gt;=50, 1.00, 0.00)))))))</f>
      </c>
      <c r="AU12" s="40">
        <f>IF(AS12&gt;=91,"A",IF(AS12&gt;=81,"B+",IF(AS12&gt;=70,"B",IF(AS12&gt;=65,"C+",IF(AS12&gt;=60,"C",IF(AS12&gt;=55,"D+",IF(AS12&gt;=50,"D","F")))))))</f>
      </c>
      <c r="AV12" s="40" t="s">
        <v>51</v>
      </c>
      <c r="AW12" s="40">
        <f>IF(AV12&gt;=91, 4.00, IF(AV12&gt;=81, 3.50, IF(AV12&gt;=70, 3.00, IF(AV12&gt;=65, 2.50, IF(AV12&gt;=60, 2.00, IF(AV12&gt;=55, 1.50, IF(AV12&gt;=50, 1.00, 0.00)))))))</f>
      </c>
      <c r="AX12" s="40">
        <f>IF(AV12&gt;=91,"A",IF(AV12&gt;=81,"B+",IF(AV12&gt;=70,"B",IF(AV12&gt;=65,"C+",IF(AV12&gt;=60,"C",IF(AV12&gt;=55,"D+",IF(AV12&gt;=50,"D","F")))))))</f>
      </c>
      <c r="AY12" s="40" t="s">
        <v>271</v>
      </c>
      <c r="AZ12" s="40">
        <f>IF(AY12&gt;=91, 4.00, IF(AY12&gt;=81, 3.50, IF(AY12&gt;=70, 3.00, IF(AY12&gt;=65, 2.50, IF(AY12&gt;=60, 2.00, IF(AY12&gt;=55, 1.50, IF(AY12&gt;=50, 1.00, 0.00)))))))</f>
      </c>
      <c r="BA12" s="111">
        <f>IF(AY12&gt;=91,"A",IF(AY12&gt;=81,"B+",IF(AY12&gt;=70,"B",IF(AY12&gt;=65,"C+",IF(AY12&gt;=60,"C",IF(AY12&gt;=55,"D+",IF(AY12&gt;=50,"D","F")))))))</f>
      </c>
      <c r="BB12" s="112">
        <v>81</v>
      </c>
      <c r="BC12" s="48">
        <f>IF(BB12&gt;=91, 4.00, IF(BB12&gt;=81, 3.50, IF(BB12&gt;=70, 3.00, IF(BB12&gt;=65, 2.50, IF(BB12&gt;=60, 2.00, IF(BB12&gt;=55, 1.50, IF(BB12&gt;=50, 1.00, 0.00)))))))</f>
      </c>
      <c r="BD12" s="49">
        <f>IF(BB12&gt;=91,"A",IF(BB12&gt;=81,"B+",IF(BB12&gt;=70,"B",IF(BB12&gt;=65,"C+",IF(BB12&gt;=60,"C",IF(BB12&gt;=55,"D+",IF(BB12&gt;=50,"D","F")))))))</f>
      </c>
      <c r="BE12" s="40" t="str">
        <f>IF(BC12&gt;90,"A",IF(BC12&gt;80,"B+",IF(BC12&gt;69,"B",IF(BC12&gt;64,"C+",IF(BC12&gt;59,"C",IF(BC12&gt;54,"D+",IF(BC12&gt;49,"D",IF(BC12&gt;=0,"F"))))))))</f>
        <v>F</v>
      </c>
      <c r="BF12" s="48">
        <f>IF(BE12&gt;=91, 4.00, IF(BE12&gt;=81, 3.50, IF(BE12&gt;=70, 3.00, IF(BE12&gt;=65, 2.50, IF(BE12&gt;=60, 2.00, IF(BE12&gt;=55, 1.50, IF(BE12&gt;=50, 1.00, 0.00)))))))</f>
      </c>
      <c r="BG12" s="49">
        <f>IF(BE12&gt;=91,"A",IF(BE12&gt;=81,"B+",IF(BE12&gt;=70,"B",IF(BE12&gt;=65,"C+",IF(BE12&gt;=60,"C",IF(BE12&gt;=55,"D+",IF(BE12&gt;=50,"D","F")))))))</f>
      </c>
      <c r="BH12" s="40" t="str">
        <f>IF(BF12&gt;90,"A",IF(BF12&gt;80,"B+",IF(BF12&gt;69,"B",IF(BF12&gt;64,"C+",IF(BF12&gt;59,"C",IF(BF12&gt;54,"D+",IF(BF12&gt;49,"D",IF(BF12&gt;=0,"F"))))))))</f>
        <v>F</v>
      </c>
      <c r="BI12" s="43">
        <f>IF(BH12&gt;=91, 4.00, IF(BH12&gt;=81, 3.50, IF(BH12&gt;=70, 3.00, IF(BH12&gt;=65, 2.50, IF(BH12&gt;=60, 2.00, IF(BH12&gt;=55, 1.50, IF(BH12&gt;=50, 1.00, 0.00)))))))</f>
      </c>
      <c r="BJ12" s="49">
        <f>IF(BH12&gt;=91,"A",IF(BH12&gt;=81,"B+",IF(BH12&gt;=70,"B",IF(BH12&gt;=65,"C+",IF(BH12&gt;=60,"C",IF(BH12&gt;=55,"D+",IF(BH12&gt;=50,"D","F")))))))</f>
      </c>
      <c r="BK12" s="40" t="str">
        <f>IF(BI12&gt;90,"A",IF(BI12&gt;80,"B+",IF(BI12&gt;69,"B",IF(BI12&gt;64,"C+",IF(BI12&gt;59,"C",IF(BI12&gt;54,"D+",IF(BI12&gt;49,"D",IF(BI12&gt;=0,"F"))))))))</f>
        <v>F</v>
      </c>
      <c r="BL12" s="48">
        <f>IF(BK12&gt;=91, 4.00, IF(BK12&gt;=81, 3.50, IF(BK12&gt;=70, 3.00, IF(BK12&gt;=65, 2.50, IF(BK12&gt;=60, 2.00, IF(BK12&gt;=55, 1.50, IF(BK12&gt;=50, 1.00, 0.00)))))))</f>
      </c>
      <c r="BM12" s="49">
        <f>IF(BK12&gt;=91,"A",IF(BK12&gt;=81,"B+",IF(BK12&gt;=70,"B",IF(BK12&gt;=65,"C+",IF(BK12&gt;=60,"C",IF(BK12&gt;=55,"D+",IF(BK12&gt;=50,"D","F")))))))</f>
      </c>
      <c r="BN12" s="40">
        <f>ROUND((AN12*3+AQ12*2+AT12*1+AW12*1+AZ12*1+BC12*2+BF12*2+BI12*1+BL12*2)/15, 2)</f>
      </c>
      <c r="BO12" s="43"/>
      <c r="BP12" s="49" t="str">
        <f>IF(BO12&gt;90,"4.00",IF(BO12&gt;80,"3.50",IF(BO12&gt;69,"3.00",IF(BO12&gt;64,"2.50",IF(BO12&gt;59,"2.00",IF(BO12&gt;54,"1.50",IF(BO12&gt;49,"1.00","0.00")))))))</f>
        <v>0.00</v>
      </c>
      <c r="BQ12" s="40" t="str">
        <f>IF(BO12&gt;90,"A",IF(BO12&gt;80,"B+",IF(BO12&gt;69,"B",IF(BO12&gt;64,"C+",IF(BO12&gt;59,"C",IF(BO12&gt;54,"D+",IF(BO12&gt;49,"D",IF(BO12&gt;=0,"F"))))))))</f>
        <v>F</v>
      </c>
      <c r="BR12" s="43"/>
      <c r="BS12" s="49" t="str">
        <f>IF(BR12&gt;90,"4.00",IF(BR12&gt;80,"3.50",IF(BR12&gt;69,"3.00",IF(BR12&gt;64,"2.50",IF(BR12&gt;59,"2.00",IF(BR12&gt;54,"1.50",IF(BR12&gt;49,"1.00","0.00")))))))</f>
        <v>0.00</v>
      </c>
      <c r="BT12" s="40" t="str">
        <f>IF(BR12&gt;90,"A",IF(BR12&gt;80,"B+",IF(BR12&gt;69,"B",IF(BR12&gt;64,"C+",IF(BR12&gt;59,"C",IF(BR12&gt;54,"D+",IF(BR12&gt;49,"D",IF(BR12&gt;=0,"F"))))))))</f>
        <v>F</v>
      </c>
      <c r="BU12" s="49"/>
      <c r="BV12" s="49" t="str">
        <f>IF(BU12&gt;90,"4.00",IF(BU12&gt;80,"3.50",IF(BU12&gt;69,"3.00",IF(BU12&gt;64,"2.50",IF(BU12&gt;59,"2.00",IF(BU12&gt;54,"1.50",IF(BU12&gt;49,"1.00","0.00")))))))</f>
        <v>0.00</v>
      </c>
      <c r="BW12" s="40" t="str">
        <f>IF(BU12&gt;90,"A",IF(BU12&gt;80,"B+",IF(BU12&gt;69,"B",IF(BU12&gt;64,"C+",IF(BU12&gt;59,"C",IF(BU12&gt;54,"D+",IF(BU12&gt;49,"D",IF(BU12&gt;=0,"F"))))))))</f>
        <v>F</v>
      </c>
      <c r="BX12" s="49"/>
      <c r="BY12" s="49" t="str">
        <f>IF(BX12&gt;90,"4.00",IF(BX12&gt;80,"3.50",IF(BX12&gt;69,"3.00",IF(BX12&gt;64,"2.50",IF(BX12&gt;59,"2.00",IF(BX12&gt;54,"1.50",IF(BX12&gt;49,"1.00","0.00")))))))</f>
        <v>0.00</v>
      </c>
      <c r="BZ12" s="40" t="str">
        <f>IF(BX12&gt;90,"A",IF(BX12&gt;80,"B+",IF(BX12&gt;69,"B",IF(BX12&gt;64,"C+",IF(BX12&gt;59,"C",IF(BX12&gt;54,"D+",IF(BX12&gt;49,"D",IF(BX12&gt;=0,"F"))))))))</f>
        <v>F</v>
      </c>
      <c r="CA12" s="49"/>
      <c r="CB12" s="49" t="str">
        <f>IF(CA12&gt;90,"4.00",IF(CA12&gt;80,"3.50",IF(CA12&gt;69,"3.00",IF(CA12&gt;64,"2.50",IF(CA12&gt;59,"2.00",IF(CA12&gt;54,"1.50",IF(CA12&gt;49,"1.00","0.00")))))))</f>
        <v>0.00</v>
      </c>
      <c r="CC12" s="40" t="str">
        <f>IF(CA12&gt;90,"A",IF(CA12&gt;80,"B+",IF(CA12&gt;69,"B",IF(CA12&gt;64,"C+",IF(CA12&gt;59,"C",IF(CA12&gt;54,"D+",IF(CA12&gt;49,"D",IF(CA12&gt;=0,"F"))))))))</f>
        <v>F</v>
      </c>
      <c r="CD12" s="50">
        <f>(BD12*3+BG12*2+BJ12*1+BM12*2+BP12*1+BS12*1+BV12*2+BY12*2+CB12*2)/(3+2+1+2+1+1+2+2+2)</f>
        <v>0</v>
      </c>
      <c r="CE12" s="50">
        <f>(AR12+CD12)/2</f>
        <v>0</v>
      </c>
      <c r="CF12" s="51">
        <f>RANK(CE12,$CE$7:CE41)</f>
        <v>1</v>
      </c>
      <c r="CG12" s="58"/>
      <c r="CH12" s="52"/>
      <c r="CI12" s="52"/>
      <c r="CJ12" s="52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</row>
    <row r="13" ht="20" customHeight="1" spans="1:199" s="39" customFormat="1" x14ac:dyDescent="0.25">
      <c r="A13" s="40">
        <v>7</v>
      </c>
      <c r="B13" s="40" t="s">
        <v>272</v>
      </c>
      <c r="C13" s="40" t="s">
        <v>51</v>
      </c>
      <c r="D13" s="40" t="s">
        <v>80</v>
      </c>
      <c r="E13" s="40" t="s">
        <v>81</v>
      </c>
      <c r="F13" s="40" t="s">
        <v>273</v>
      </c>
      <c r="G13" s="40" t="s">
        <v>83</v>
      </c>
      <c r="H13" s="44"/>
      <c r="I13" s="112"/>
      <c r="J13" s="40">
        <v>1</v>
      </c>
      <c r="K13" s="42">
        <v>83</v>
      </c>
      <c r="L13" s="40">
        <f>IF(K13&gt;=91, 4.00, IF(K13&gt;=81, 3.50, IF(K13&gt;=70, 3.00, IF(K13&gt;=65, 2.50, IF(K13&gt;=60, 2.00, IF(K13&gt;=55, 1.50, IF(K13&gt;=50, 1.00, 0.00)))))))</f>
      </c>
      <c r="M13" s="40">
        <f>IF(K13&gt;=91,"A",IF(K13&gt;=81,"B+",IF(K13&gt;=70,"B",IF(K13&gt;=65,"C+",IF(K13&gt;=60,"C",IF(K13&gt;=55,"D+",IF(K13&gt;=50,"D","F")))))))</f>
      </c>
      <c r="N13" s="42">
        <v>86</v>
      </c>
      <c r="O13" s="40">
        <f>IF(N13&gt;=91, 4.00, IF(N13&gt;=81, 3.50, IF(N13&gt;=70, 3.00, IF(N13&gt;=65, 2.50, IF(N13&gt;=60, 2.00, IF(N13&gt;=55, 1.50, IF(N13&gt;=50, 1.00, 0.00)))))))</f>
      </c>
      <c r="P13" s="40">
        <f>IF(N13&gt;=91,"A",IF(N13&gt;=81,"B+",IF(N13&gt;=70,"B",IF(N13&gt;=65,"C+",IF(N13&gt;=60,"C",IF(N13&gt;=55,"D+",IF(N13&gt;=50,"D","F")))))))</f>
      </c>
      <c r="Q13" s="42">
        <v>89</v>
      </c>
      <c r="R13" s="40">
        <f>IF(Q13&gt;=91, 4.00, IF(Q13&gt;=81, 3.50, IF(Q13&gt;=70, 3.00, IF(Q13&gt;=65, 2.50, IF(Q13&gt;=60, 2.00, IF(Q13&gt;=55, 1.50, IF(Q13&gt;=50, 1.00, 0.00)))))))</f>
      </c>
      <c r="S13" s="40">
        <f>IF(Q13&gt;=91,"A",IF(Q13&gt;=81,"B+",IF(Q13&gt;=70,"B",IF(Q13&gt;=65,"C+",IF(Q13&gt;=60,"C",IF(Q13&gt;=55,"D+",IF(Q13&gt;=50,"D","F")))))))</f>
      </c>
      <c r="T13" s="42">
        <v>92</v>
      </c>
      <c r="U13" s="40">
        <f>IF(T13&gt;=91, 4.00, IF(T13&gt;=81, 3.50, IF(T13&gt;=70, 3.00, IF(T13&gt;=65, 2.50, IF(T13&gt;=60, 2.00, IF(T13&gt;=55, 1.50, IF(T13&gt;=50, 1.00, 0.00)))))))</f>
      </c>
      <c r="V13" s="40">
        <f>IF(T13&gt;=91,"A",IF(T13&gt;=81,"B+",IF(T13&gt;=70,"B",IF(T13&gt;=65,"C+",IF(T13&gt;=60,"C",IF(T13&gt;=55,"D+",IF(T13&gt;=50,"D","F")))))))</f>
      </c>
      <c r="W13" s="42">
        <v>95</v>
      </c>
      <c r="X13" s="40">
        <f>IF(W13&gt;=91, 4.00, IF(W13&gt;=81, 3.50, IF(W13&gt;=70, 3.00, IF(W13&gt;=65, 2.50, IF(W13&gt;=60, 2.00, IF(W13&gt;=55, 1.50, IF(W13&gt;=50, 1.00, 0.00)))))))</f>
      </c>
      <c r="Y13" s="40">
        <f>IF(W13&gt;=91,"A",IF(W13&gt;=81,"B+",IF(W13&gt;=70,"B",IF(W13&gt;=65,"C+",IF(W13&gt;=60,"C",IF(W13&gt;=55,"D+",IF(W13&gt;=50,"D","F")))))))</f>
      </c>
      <c r="Z13" s="46">
        <v>77</v>
      </c>
      <c r="AA13" s="40">
        <f>IF(Z13&gt;=91, 4.00, IF(Z13&gt;=81, 3.50, IF(Z13&gt;=70, 3.00, IF(Z13&gt;=65, 2.50, IF(Z13&gt;=60, 2.00, IF(Z13&gt;=55, 1.50, IF(Z13&gt;=50, 1.00, 0.00)))))))</f>
      </c>
      <c r="AB13" s="40">
        <f>IF(Z13&gt;=91,"A",IF(Z13&gt;=81,"B+",IF(Z13&gt;=70,"B",IF(Z13&gt;=65,"C+",IF(Z13&gt;=60,"C",IF(Z13&gt;=55,"D+",IF(Z13&gt;=50,"D","F")))))))</f>
      </c>
      <c r="AC13" s="42">
        <v>80</v>
      </c>
      <c r="AD13" s="40">
        <f>IF(AC13&gt;=91, 4.00, IF(AC13&gt;=81, 3.50, IF(AC13&gt;=70, 3.00, IF(AC13&gt;=65, 2.50, IF(AC13&gt;=60, 2.00, IF(AC13&gt;=55, 1.50, IF(AC13&gt;=50, 1.00, 0.00)))))))</f>
      </c>
      <c r="AE13" s="40">
        <f>IF(AC13&gt;=91,"A",IF(AC13&gt;=81,"B+",IF(AC13&gt;=70,"B",IF(AC13&gt;=65,"C+",IF(AC13&gt;=60,"C",IF(AC13&gt;=55,"D+",IF(AC13&gt;=50,"D","F")))))))</f>
      </c>
      <c r="AF13" s="40">
        <v>83</v>
      </c>
      <c r="AG13" s="40">
        <f>IF(AF13&gt;=91, 4.00, IF(AF13&gt;=81, 3.50, IF(AF13&gt;=70, 3.00, IF(AF13&gt;=65, 2.50, IF(AF13&gt;=60, 2.00, IF(AF13&gt;=55, 1.50, IF(AF13&gt;=50, 1.00, 0.00)))))))</f>
      </c>
      <c r="AH13" s="40">
        <f>IF(AF13&gt;=91,"A",IF(AF13&gt;=81,"B+",IF(AF13&gt;=70,"B",IF(AF13&gt;=65,"C+",IF(AF13&gt;=60,"C",IF(AF13&gt;=55,"D+",IF(AF13&gt;=50,"D","F")))))))</f>
      </c>
      <c r="AI13" s="46">
        <v>86</v>
      </c>
      <c r="AJ13" s="40">
        <f>IF(AI13&gt;=91, 4.00, IF(AI13&gt;=81, 3.50, IF(AI13&gt;=70, 3.00, IF(AI13&gt;=65, 2.50, IF(AI13&gt;=60, 2.00, IF(AI13&gt;=55, 1.50, IF(AI13&gt;=50, 1.00, 0.00)))))))</f>
      </c>
      <c r="AK13" s="40">
        <f>IF(AI13&gt;=91,"A",IF(AI13&gt;=81,"B+",IF(AI13&gt;=70,"B",IF(AI13&gt;=65,"C+",IF(AI13&gt;=60,"C",IF(AI13&gt;=55,"D+",IF(AI13&gt;=50,"D","F")))))))</f>
      </c>
      <c r="AL13" s="42">
        <f>ROUND((L13*3+O13*2+R13*1+U13*1+X13*1+AA13*2+AD13*2+AG13*1+AJ13*2)/15, 2)</f>
      </c>
      <c r="AM13" s="40" t="str">
        <f>IF(AL13&gt;90,"4.00",IF(AL13&gt;80,"3.50",IF(AL13&gt;69,"3.00",IF(AL13&gt;64,"2.50",IF(AL13&gt;59,"2.00",IF(AL13&gt;54,"1.50",IF(AL13&gt;49,"1.00","0.00")))))))</f>
        <v>0.00</v>
      </c>
      <c r="AN13" s="40">
        <f>IF(AM13&gt;=91, 4.00, IF(AM13&gt;=81, 3.50, IF(AM13&gt;=70, 3.00, IF(AM13&gt;=65, 2.50, IF(AM13&gt;=60, 2.00, IF(AM13&gt;=55, 1.50, IF(AM13&gt;=50, 1.00, 0.00)))))))</f>
      </c>
      <c r="AO13" s="40">
        <f>IF(AM13&gt;=91,"A",IF(AM13&gt;=81,"B+",IF(AM13&gt;=70,"B",IF(AM13&gt;=65,"C+",IF(AM13&gt;=60,"C",IF(AM13&gt;=55,"D+",IF(AM13&gt;=50,"D","F")))))))</f>
      </c>
      <c r="AP13" s="40" t="str">
        <f>IF(AO13&gt;90,"4.00",IF(AO13&gt;80,"3.50",IF(AO13&gt;69,"3.00",IF(AO13&gt;64,"2.50",IF(AO13&gt;59,"2.00",IF(AO13&gt;54,"1.50",IF(AO13&gt;49,"1.00","0.00")))))))</f>
        <v>0.00</v>
      </c>
      <c r="AQ13" s="40">
        <f>IF(AP13&gt;=91, 4.00, IF(AP13&gt;=81, 3.50, IF(AP13&gt;=70, 3.00, IF(AP13&gt;=65, 2.50, IF(AP13&gt;=60, 2.00, IF(AP13&gt;=55, 1.50, IF(AP13&gt;=50, 1.00, 0.00)))))))</f>
      </c>
      <c r="AR13" s="40">
        <f>IF(AP13&gt;=91,"A",IF(AP13&gt;=81,"B+",IF(AP13&gt;=70,"B",IF(AP13&gt;=65,"C+",IF(AP13&gt;=60,"C",IF(AP13&gt;=55,"D+",IF(AP13&gt;=50,"D","F")))))))</f>
      </c>
      <c r="AS13" s="47">
        <v>75</v>
      </c>
      <c r="AT13" s="40">
        <f>IF(AS13&gt;=91, 4.00, IF(AS13&gt;=81, 3.50, IF(AS13&gt;=70, 3.00, IF(AS13&gt;=65, 2.50, IF(AS13&gt;=60, 2.00, IF(AS13&gt;=55, 1.50, IF(AS13&gt;=50, 1.00, 0.00)))))))</f>
      </c>
      <c r="AU13" s="40">
        <f>IF(AS13&gt;=91,"A",IF(AS13&gt;=81,"B+",IF(AS13&gt;=70,"B",IF(AS13&gt;=65,"C+",IF(AS13&gt;=60,"C",IF(AS13&gt;=55,"D+",IF(AS13&gt;=50,"D","F")))))))</f>
      </c>
      <c r="AV13" s="40" t="s">
        <v>51</v>
      </c>
      <c r="AW13" s="40">
        <f>IF(AV13&gt;=91, 4.00, IF(AV13&gt;=81, 3.50, IF(AV13&gt;=70, 3.00, IF(AV13&gt;=65, 2.50, IF(AV13&gt;=60, 2.00, IF(AV13&gt;=55, 1.50, IF(AV13&gt;=50, 1.00, 0.00)))))))</f>
      </c>
      <c r="AX13" s="40">
        <f>IF(AV13&gt;=91,"A",IF(AV13&gt;=81,"B+",IF(AV13&gt;=70,"B",IF(AV13&gt;=65,"C+",IF(AV13&gt;=60,"C",IF(AV13&gt;=55,"D+",IF(AV13&gt;=50,"D","F")))))))</f>
      </c>
      <c r="AY13" s="40" t="s">
        <v>273</v>
      </c>
      <c r="AZ13" s="40">
        <f>IF(AY13&gt;=91, 4.00, IF(AY13&gt;=81, 3.50, IF(AY13&gt;=70, 3.00, IF(AY13&gt;=65, 2.50, IF(AY13&gt;=60, 2.00, IF(AY13&gt;=55, 1.50, IF(AY13&gt;=50, 1.00, 0.00)))))))</f>
      </c>
      <c r="BA13" s="44">
        <f>IF(AY13&gt;=91,"A",IF(AY13&gt;=81,"B+",IF(AY13&gt;=70,"B",IF(AY13&gt;=65,"C+",IF(AY13&gt;=60,"C",IF(AY13&gt;=55,"D+",IF(AY13&gt;=50,"D","F")))))))</f>
      </c>
      <c r="BB13" s="112">
        <v>84</v>
      </c>
      <c r="BC13" s="48">
        <f>IF(BB13&gt;=91, 4.00, IF(BB13&gt;=81, 3.50, IF(BB13&gt;=70, 3.00, IF(BB13&gt;=65, 2.50, IF(BB13&gt;=60, 2.00, IF(BB13&gt;=55, 1.50, IF(BB13&gt;=50, 1.00, 0.00)))))))</f>
      </c>
      <c r="BD13" s="49">
        <f>IF(BB13&gt;=91,"A",IF(BB13&gt;=81,"B+",IF(BB13&gt;=70,"B",IF(BB13&gt;=65,"C+",IF(BB13&gt;=60,"C",IF(BB13&gt;=55,"D+",IF(BB13&gt;=50,"D","F")))))))</f>
      </c>
      <c r="BE13" s="40" t="str">
        <f>IF(BC13&gt;90,"A",IF(BC13&gt;80,"B+",IF(BC13&gt;69,"B",IF(BC13&gt;64,"C+",IF(BC13&gt;59,"C",IF(BC13&gt;54,"D+",IF(BC13&gt;49,"D",IF(BC13&gt;=0,"F"))))))))</f>
        <v>F</v>
      </c>
      <c r="BF13" s="48">
        <f>IF(BE13&gt;=91, 4.00, IF(BE13&gt;=81, 3.50, IF(BE13&gt;=70, 3.00, IF(BE13&gt;=65, 2.50, IF(BE13&gt;=60, 2.00, IF(BE13&gt;=55, 1.50, IF(BE13&gt;=50, 1.00, 0.00)))))))</f>
      </c>
      <c r="BG13" s="49">
        <f>IF(BE13&gt;=91,"A",IF(BE13&gt;=81,"B+",IF(BE13&gt;=70,"B",IF(BE13&gt;=65,"C+",IF(BE13&gt;=60,"C",IF(BE13&gt;=55,"D+",IF(BE13&gt;=50,"D","F")))))))</f>
      </c>
      <c r="BH13" s="40" t="str">
        <f>IF(BF13&gt;90,"A",IF(BF13&gt;80,"B+",IF(BF13&gt;69,"B",IF(BF13&gt;64,"C+",IF(BF13&gt;59,"C",IF(BF13&gt;54,"D+",IF(BF13&gt;49,"D",IF(BF13&gt;=0,"F"))))))))</f>
        <v>F</v>
      </c>
      <c r="BI13" s="43">
        <f>IF(BH13&gt;=91, 4.00, IF(BH13&gt;=81, 3.50, IF(BH13&gt;=70, 3.00, IF(BH13&gt;=65, 2.50, IF(BH13&gt;=60, 2.00, IF(BH13&gt;=55, 1.50, IF(BH13&gt;=50, 1.00, 0.00)))))))</f>
      </c>
      <c r="BJ13" s="49">
        <f>IF(BH13&gt;=91,"A",IF(BH13&gt;=81,"B+",IF(BH13&gt;=70,"B",IF(BH13&gt;=65,"C+",IF(BH13&gt;=60,"C",IF(BH13&gt;=55,"D+",IF(BH13&gt;=50,"D","F")))))))</f>
      </c>
      <c r="BK13" s="40" t="str">
        <f>IF(BI13&gt;90,"A",IF(BI13&gt;80,"B+",IF(BI13&gt;69,"B",IF(BI13&gt;64,"C+",IF(BI13&gt;59,"C",IF(BI13&gt;54,"D+",IF(BI13&gt;49,"D",IF(BI13&gt;=0,"F"))))))))</f>
        <v>F</v>
      </c>
      <c r="BL13" s="48">
        <f>IF(BK13&gt;=91, 4.00, IF(BK13&gt;=81, 3.50, IF(BK13&gt;=70, 3.00, IF(BK13&gt;=65, 2.50, IF(BK13&gt;=60, 2.00, IF(BK13&gt;=55, 1.50, IF(BK13&gt;=50, 1.00, 0.00)))))))</f>
      </c>
      <c r="BM13" s="49">
        <f>IF(BK13&gt;=91,"A",IF(BK13&gt;=81,"B+",IF(BK13&gt;=70,"B",IF(BK13&gt;=65,"C+",IF(BK13&gt;=60,"C",IF(BK13&gt;=55,"D+",IF(BK13&gt;=50,"D","F")))))))</f>
      </c>
      <c r="BN13" s="40">
        <f>ROUND((AN13*3+AQ13*2+AT13*1+AW13*1+AZ13*1+BC13*2+BF13*2+BI13*1+BL13*2)/15, 2)</f>
      </c>
      <c r="BO13" s="43"/>
      <c r="BP13" s="49" t="str">
        <f>IF(BO13&gt;90,"4.00",IF(BO13&gt;80,"3.50",IF(BO13&gt;69,"3.00",IF(BO13&gt;64,"2.50",IF(BO13&gt;59,"2.00",IF(BO13&gt;54,"1.50",IF(BO13&gt;49,"1.00","0.00")))))))</f>
        <v>0.00</v>
      </c>
      <c r="BQ13" s="40" t="str">
        <f>IF(BO13&gt;90,"A",IF(BO13&gt;80,"B+",IF(BO13&gt;69,"B",IF(BO13&gt;64,"C+",IF(BO13&gt;59,"C",IF(BO13&gt;54,"D+",IF(BO13&gt;49,"D",IF(BO13&gt;=0,"F"))))))))</f>
        <v>F</v>
      </c>
      <c r="BR13" s="43"/>
      <c r="BS13" s="49" t="str">
        <f>IF(BR13&gt;90,"4.00",IF(BR13&gt;80,"3.50",IF(BR13&gt;69,"3.00",IF(BR13&gt;64,"2.50",IF(BR13&gt;59,"2.00",IF(BR13&gt;54,"1.50",IF(BR13&gt;49,"1.00","0.00")))))))</f>
        <v>0.00</v>
      </c>
      <c r="BT13" s="40" t="str">
        <f>IF(BR13&gt;90,"A",IF(BR13&gt;80,"B+",IF(BR13&gt;69,"B",IF(BR13&gt;64,"C+",IF(BR13&gt;59,"C",IF(BR13&gt;54,"D+",IF(BR13&gt;49,"D",IF(BR13&gt;=0,"F"))))))))</f>
        <v>F</v>
      </c>
      <c r="BU13" s="49"/>
      <c r="BV13" s="49" t="str">
        <f>IF(BU13&gt;90,"4.00",IF(BU13&gt;80,"3.50",IF(BU13&gt;69,"3.00",IF(BU13&gt;64,"2.50",IF(BU13&gt;59,"2.00",IF(BU13&gt;54,"1.50",IF(BU13&gt;49,"1.00","0.00")))))))</f>
        <v>0.00</v>
      </c>
      <c r="BW13" s="40" t="str">
        <f>IF(BU13&gt;90,"A",IF(BU13&gt;80,"B+",IF(BU13&gt;69,"B",IF(BU13&gt;64,"C+",IF(BU13&gt;59,"C",IF(BU13&gt;54,"D+",IF(BU13&gt;49,"D",IF(BU13&gt;=0,"F"))))))))</f>
        <v>F</v>
      </c>
      <c r="BX13" s="49"/>
      <c r="BY13" s="49" t="str">
        <f>IF(BX13&gt;90,"4.00",IF(BX13&gt;80,"3.50",IF(BX13&gt;69,"3.00",IF(BX13&gt;64,"2.50",IF(BX13&gt;59,"2.00",IF(BX13&gt;54,"1.50",IF(BX13&gt;49,"1.00","0.00")))))))</f>
        <v>0.00</v>
      </c>
      <c r="BZ13" s="40" t="str">
        <f>IF(BX13&gt;90,"A",IF(BX13&gt;80,"B+",IF(BX13&gt;69,"B",IF(BX13&gt;64,"C+",IF(BX13&gt;59,"C",IF(BX13&gt;54,"D+",IF(BX13&gt;49,"D",IF(BX13&gt;=0,"F"))))))))</f>
        <v>F</v>
      </c>
      <c r="CA13" s="49"/>
      <c r="CB13" s="49" t="str">
        <f>IF(CA13&gt;90,"4.00",IF(CA13&gt;80,"3.50",IF(CA13&gt;69,"3.00",IF(CA13&gt;64,"2.50",IF(CA13&gt;59,"2.00",IF(CA13&gt;54,"1.50",IF(CA13&gt;49,"1.00","0.00")))))))</f>
        <v>0.00</v>
      </c>
      <c r="CC13" s="40" t="str">
        <f>IF(CA13&gt;90,"A",IF(CA13&gt;80,"B+",IF(CA13&gt;69,"B",IF(CA13&gt;64,"C+",IF(CA13&gt;59,"C",IF(CA13&gt;54,"D+",IF(CA13&gt;49,"D",IF(CA13&gt;=0,"F"))))))))</f>
        <v>F</v>
      </c>
      <c r="CD13" s="50">
        <f>(BD13*3+BG13*2+BJ13*1+BM13*2+BP13*1+BS13*1+BV13*2+BY13*2+CB13*2)/(3+2+1+2+1+1+2+2+2)</f>
        <v>0</v>
      </c>
      <c r="CE13" s="50">
        <f>(AR13+CD13)/2</f>
        <v>0</v>
      </c>
      <c r="CF13" s="51">
        <f>RANK(CE13,$CE$7:CE42)</f>
        <v>1</v>
      </c>
      <c r="CG13" s="40"/>
      <c r="CH13" s="52"/>
      <c r="CI13" s="52"/>
      <c r="CJ13" s="52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</row>
    <row r="14" ht="20" customHeight="1" spans="1:199" s="39" customFormat="1" x14ac:dyDescent="0.25">
      <c r="A14" s="40">
        <v>8</v>
      </c>
      <c r="B14" s="40" t="s">
        <v>274</v>
      </c>
      <c r="C14" s="40" t="s">
        <v>51</v>
      </c>
      <c r="D14" s="40" t="s">
        <v>275</v>
      </c>
      <c r="E14" s="40" t="s">
        <v>276</v>
      </c>
      <c r="F14" s="40" t="s">
        <v>277</v>
      </c>
      <c r="G14" s="40" t="s">
        <v>90</v>
      </c>
      <c r="H14" s="111"/>
      <c r="I14" s="112"/>
      <c r="J14" s="40">
        <v>1</v>
      </c>
      <c r="K14" s="42">
        <v>86</v>
      </c>
      <c r="L14" s="40">
        <f>IF(K14&gt;=91, 4.00, IF(K14&gt;=81, 3.50, IF(K14&gt;=70, 3.00, IF(K14&gt;=65, 2.50, IF(K14&gt;=60, 2.00, IF(K14&gt;=55, 1.50, IF(K14&gt;=50, 1.00, 0.00)))))))</f>
      </c>
      <c r="M14" s="40">
        <f>IF(K14&gt;=91,"A",IF(K14&gt;=81,"B+",IF(K14&gt;=70,"B",IF(K14&gt;=65,"C+",IF(K14&gt;=60,"C",IF(K14&gt;=55,"D+",IF(K14&gt;=50,"D","F")))))))</f>
      </c>
      <c r="N14" s="42">
        <v>89</v>
      </c>
      <c r="O14" s="40">
        <f>IF(N14&gt;=91, 4.00, IF(N14&gt;=81, 3.50, IF(N14&gt;=70, 3.00, IF(N14&gt;=65, 2.50, IF(N14&gt;=60, 2.00, IF(N14&gt;=55, 1.50, IF(N14&gt;=50, 1.00, 0.00)))))))</f>
      </c>
      <c r="P14" s="40">
        <f>IF(N14&gt;=91,"A",IF(N14&gt;=81,"B+",IF(N14&gt;=70,"B",IF(N14&gt;=65,"C+",IF(N14&gt;=60,"C",IF(N14&gt;=55,"D+",IF(N14&gt;=50,"D","F")))))))</f>
      </c>
      <c r="Q14" s="42">
        <v>92</v>
      </c>
      <c r="R14" s="40">
        <f>IF(Q14&gt;=91, 4.00, IF(Q14&gt;=81, 3.50, IF(Q14&gt;=70, 3.00, IF(Q14&gt;=65, 2.50, IF(Q14&gt;=60, 2.00, IF(Q14&gt;=55, 1.50, IF(Q14&gt;=50, 1.00, 0.00)))))))</f>
      </c>
      <c r="S14" s="40">
        <f>IF(Q14&gt;=91,"A",IF(Q14&gt;=81,"B+",IF(Q14&gt;=70,"B",IF(Q14&gt;=65,"C+",IF(Q14&gt;=60,"C",IF(Q14&gt;=55,"D+",IF(Q14&gt;=50,"D","F")))))))</f>
      </c>
      <c r="T14" s="42">
        <v>95</v>
      </c>
      <c r="U14" s="40">
        <f>IF(T14&gt;=91, 4.00, IF(T14&gt;=81, 3.50, IF(T14&gt;=70, 3.00, IF(T14&gt;=65, 2.50, IF(T14&gt;=60, 2.00, IF(T14&gt;=55, 1.50, IF(T14&gt;=50, 1.00, 0.00)))))))</f>
      </c>
      <c r="V14" s="40">
        <f>IF(T14&gt;=91,"A",IF(T14&gt;=81,"B+",IF(T14&gt;=70,"B",IF(T14&gt;=65,"C+",IF(T14&gt;=60,"C",IF(T14&gt;=55,"D+",IF(T14&gt;=50,"D","F")))))))</f>
      </c>
      <c r="W14" s="42">
        <v>77</v>
      </c>
      <c r="X14" s="40">
        <f>IF(W14&gt;=91, 4.00, IF(W14&gt;=81, 3.50, IF(W14&gt;=70, 3.00, IF(W14&gt;=65, 2.50, IF(W14&gt;=60, 2.00, IF(W14&gt;=55, 1.50, IF(W14&gt;=50, 1.00, 0.00)))))))</f>
      </c>
      <c r="Y14" s="40">
        <f>IF(W14&gt;=91,"A",IF(W14&gt;=81,"B+",IF(W14&gt;=70,"B",IF(W14&gt;=65,"C+",IF(W14&gt;=60,"C",IF(W14&gt;=55,"D+",IF(W14&gt;=50,"D","F")))))))</f>
      </c>
      <c r="Z14" s="46">
        <v>80</v>
      </c>
      <c r="AA14" s="40">
        <f>IF(Z14&gt;=91, 4.00, IF(Z14&gt;=81, 3.50, IF(Z14&gt;=70, 3.00, IF(Z14&gt;=65, 2.50, IF(Z14&gt;=60, 2.00, IF(Z14&gt;=55, 1.50, IF(Z14&gt;=50, 1.00, 0.00)))))))</f>
      </c>
      <c r="AB14" s="40">
        <f>IF(Z14&gt;=91,"A",IF(Z14&gt;=81,"B+",IF(Z14&gt;=70,"B",IF(Z14&gt;=65,"C+",IF(Z14&gt;=60,"C",IF(Z14&gt;=55,"D+",IF(Z14&gt;=50,"D","F")))))))</f>
      </c>
      <c r="AC14" s="42">
        <v>83</v>
      </c>
      <c r="AD14" s="40">
        <f>IF(AC14&gt;=91, 4.00, IF(AC14&gt;=81, 3.50, IF(AC14&gt;=70, 3.00, IF(AC14&gt;=65, 2.50, IF(AC14&gt;=60, 2.00, IF(AC14&gt;=55, 1.50, IF(AC14&gt;=50, 1.00, 0.00)))))))</f>
      </c>
      <c r="AE14" s="40">
        <f>IF(AC14&gt;=91,"A",IF(AC14&gt;=81,"B+",IF(AC14&gt;=70,"B",IF(AC14&gt;=65,"C+",IF(AC14&gt;=60,"C",IF(AC14&gt;=55,"D+",IF(AC14&gt;=50,"D","F")))))))</f>
      </c>
      <c r="AF14" s="40">
        <v>86</v>
      </c>
      <c r="AG14" s="40">
        <f>IF(AF14&gt;=91, 4.00, IF(AF14&gt;=81, 3.50, IF(AF14&gt;=70, 3.00, IF(AF14&gt;=65, 2.50, IF(AF14&gt;=60, 2.00, IF(AF14&gt;=55, 1.50, IF(AF14&gt;=50, 1.00, 0.00)))))))</f>
      </c>
      <c r="AH14" s="40">
        <f>IF(AF14&gt;=91,"A",IF(AF14&gt;=81,"B+",IF(AF14&gt;=70,"B",IF(AF14&gt;=65,"C+",IF(AF14&gt;=60,"C",IF(AF14&gt;=55,"D+",IF(AF14&gt;=50,"D","F")))))))</f>
      </c>
      <c r="AI14" s="46">
        <v>89</v>
      </c>
      <c r="AJ14" s="40">
        <f>IF(AI14&gt;=91, 4.00, IF(AI14&gt;=81, 3.50, IF(AI14&gt;=70, 3.00, IF(AI14&gt;=65, 2.50, IF(AI14&gt;=60, 2.00, IF(AI14&gt;=55, 1.50, IF(AI14&gt;=50, 1.00, 0.00)))))))</f>
      </c>
      <c r="AK14" s="40">
        <f>IF(AI14&gt;=91,"A",IF(AI14&gt;=81,"B+",IF(AI14&gt;=70,"B",IF(AI14&gt;=65,"C+",IF(AI14&gt;=60,"C",IF(AI14&gt;=55,"D+",IF(AI14&gt;=50,"D","F")))))))</f>
      </c>
      <c r="AL14" s="42">
        <f>ROUND((L14*3+O14*2+R14*1+U14*1+X14*1+AA14*2+AD14*2+AG14*1+AJ14*2)/15, 2)</f>
      </c>
      <c r="AM14" s="40" t="str">
        <f>IF(AL14&gt;90,"4.00",IF(AL14&gt;80,"3.50",IF(AL14&gt;69,"3.00",IF(AL14&gt;64,"2.50",IF(AL14&gt;59,"2.00",IF(AL14&gt;54,"1.50",IF(AL14&gt;49,"1.00","0.00")))))))</f>
        <v>0.00</v>
      </c>
      <c r="AN14" s="40">
        <f>IF(AM14&gt;=91, 4.00, IF(AM14&gt;=81, 3.50, IF(AM14&gt;=70, 3.00, IF(AM14&gt;=65, 2.50, IF(AM14&gt;=60, 2.00, IF(AM14&gt;=55, 1.50, IF(AM14&gt;=50, 1.00, 0.00)))))))</f>
      </c>
      <c r="AO14" s="40">
        <f>IF(AM14&gt;=91,"A",IF(AM14&gt;=81,"B+",IF(AM14&gt;=70,"B",IF(AM14&gt;=65,"C+",IF(AM14&gt;=60,"C",IF(AM14&gt;=55,"D+",IF(AM14&gt;=50,"D","F")))))))</f>
      </c>
      <c r="AP14" s="40" t="str">
        <f>IF(AO14&gt;90,"4.00",IF(AO14&gt;80,"3.50",IF(AO14&gt;69,"3.00",IF(AO14&gt;64,"2.50",IF(AO14&gt;59,"2.00",IF(AO14&gt;54,"1.50",IF(AO14&gt;49,"1.00","0.00")))))))</f>
        <v>0.00</v>
      </c>
      <c r="AQ14" s="40">
        <f>IF(AP14&gt;=91, 4.00, IF(AP14&gt;=81, 3.50, IF(AP14&gt;=70, 3.00, IF(AP14&gt;=65, 2.50, IF(AP14&gt;=60, 2.00, IF(AP14&gt;=55, 1.50, IF(AP14&gt;=50, 1.00, 0.00)))))))</f>
      </c>
      <c r="AR14" s="40">
        <f>IF(AP14&gt;=91,"A",IF(AP14&gt;=81,"B+",IF(AP14&gt;=70,"B",IF(AP14&gt;=65,"C+",IF(AP14&gt;=60,"C",IF(AP14&gt;=55,"D+",IF(AP14&gt;=50,"D","F")))))))</f>
      </c>
      <c r="AS14" s="47">
        <v>78</v>
      </c>
      <c r="AT14" s="40">
        <f>IF(AS14&gt;=91, 4.00, IF(AS14&gt;=81, 3.50, IF(AS14&gt;=70, 3.00, IF(AS14&gt;=65, 2.50, IF(AS14&gt;=60, 2.00, IF(AS14&gt;=55, 1.50, IF(AS14&gt;=50, 1.00, 0.00)))))))</f>
      </c>
      <c r="AU14" s="40">
        <f>IF(AS14&gt;=91,"A",IF(AS14&gt;=81,"B+",IF(AS14&gt;=70,"B",IF(AS14&gt;=65,"C+",IF(AS14&gt;=60,"C",IF(AS14&gt;=55,"D+",IF(AS14&gt;=50,"D","F")))))))</f>
      </c>
      <c r="AV14" s="40" t="s">
        <v>51</v>
      </c>
      <c r="AW14" s="40">
        <f>IF(AV14&gt;=91, 4.00, IF(AV14&gt;=81, 3.50, IF(AV14&gt;=70, 3.00, IF(AV14&gt;=65, 2.50, IF(AV14&gt;=60, 2.00, IF(AV14&gt;=55, 1.50, IF(AV14&gt;=50, 1.00, 0.00)))))))</f>
      </c>
      <c r="AX14" s="40">
        <f>IF(AV14&gt;=91,"A",IF(AV14&gt;=81,"B+",IF(AV14&gt;=70,"B",IF(AV14&gt;=65,"C+",IF(AV14&gt;=60,"C",IF(AV14&gt;=55,"D+",IF(AV14&gt;=50,"D","F")))))))</f>
      </c>
      <c r="AY14" s="40" t="s">
        <v>277</v>
      </c>
      <c r="AZ14" s="40">
        <f>IF(AY14&gt;=91, 4.00, IF(AY14&gt;=81, 3.50, IF(AY14&gt;=70, 3.00, IF(AY14&gt;=65, 2.50, IF(AY14&gt;=60, 2.00, IF(AY14&gt;=55, 1.50, IF(AY14&gt;=50, 1.00, 0.00)))))))</f>
      </c>
      <c r="BA14" s="111">
        <f>IF(AY14&gt;=91,"A",IF(AY14&gt;=81,"B+",IF(AY14&gt;=70,"B",IF(AY14&gt;=65,"C+",IF(AY14&gt;=60,"C",IF(AY14&gt;=55,"D+",IF(AY14&gt;=50,"D","F")))))))</f>
      </c>
      <c r="BB14" s="112">
        <v>87</v>
      </c>
      <c r="BC14" s="40">
        <f>IF(BB14&gt;=91, 4.00, IF(BB14&gt;=81, 3.50, IF(BB14&gt;=70, 3.00, IF(BB14&gt;=65, 2.50, IF(BB14&gt;=60, 2.00, IF(BB14&gt;=55, 1.50, IF(BB14&gt;=50, 1.00, 0.00)))))))</f>
      </c>
      <c r="BD14" s="49">
        <f>IF(BB14&gt;=91,"A",IF(BB14&gt;=81,"B+",IF(BB14&gt;=70,"B",IF(BB14&gt;=65,"C+",IF(BB14&gt;=60,"C",IF(BB14&gt;=55,"D+",IF(BB14&gt;=50,"D","F")))))))</f>
      </c>
      <c r="BE14" s="40" t="str">
        <f>IF(BC14&gt;90,"A",IF(BC14&gt;80,"B+",IF(BC14&gt;69,"B",IF(BC14&gt;64,"C+",IF(BC14&gt;59,"C",IF(BC14&gt;54,"D+",IF(BC14&gt;49,"D",IF(BC14&gt;=0,"F"))))))))</f>
        <v>F</v>
      </c>
      <c r="BF14" s="48">
        <f>IF(BE14&gt;=91, 4.00, IF(BE14&gt;=81, 3.50, IF(BE14&gt;=70, 3.00, IF(BE14&gt;=65, 2.50, IF(BE14&gt;=60, 2.00, IF(BE14&gt;=55, 1.50, IF(BE14&gt;=50, 1.00, 0.00)))))))</f>
      </c>
      <c r="BG14" s="49">
        <f>IF(BE14&gt;=91,"A",IF(BE14&gt;=81,"B+",IF(BE14&gt;=70,"B",IF(BE14&gt;=65,"C+",IF(BE14&gt;=60,"C",IF(BE14&gt;=55,"D+",IF(BE14&gt;=50,"D","F")))))))</f>
      </c>
      <c r="BH14" s="40" t="str">
        <f>IF(BF14&gt;90,"A",IF(BF14&gt;80,"B+",IF(BF14&gt;69,"B",IF(BF14&gt;64,"C+",IF(BF14&gt;59,"C",IF(BF14&gt;54,"D+",IF(BF14&gt;49,"D",IF(BF14&gt;=0,"F"))))))))</f>
        <v>F</v>
      </c>
      <c r="BI14" s="43">
        <f>IF(BH14&gt;=91, 4.00, IF(BH14&gt;=81, 3.50, IF(BH14&gt;=70, 3.00, IF(BH14&gt;=65, 2.50, IF(BH14&gt;=60, 2.00, IF(BH14&gt;=55, 1.50, IF(BH14&gt;=50, 1.00, 0.00)))))))</f>
      </c>
      <c r="BJ14" s="49">
        <f>IF(BH14&gt;=91,"A",IF(BH14&gt;=81,"B+",IF(BH14&gt;=70,"B",IF(BH14&gt;=65,"C+",IF(BH14&gt;=60,"C",IF(BH14&gt;=55,"D+",IF(BH14&gt;=50,"D","F")))))))</f>
      </c>
      <c r="BK14" s="40" t="str">
        <f>IF(BI14&gt;90,"A",IF(BI14&gt;80,"B+",IF(BI14&gt;69,"B",IF(BI14&gt;64,"C+",IF(BI14&gt;59,"C",IF(BI14&gt;54,"D+",IF(BI14&gt;49,"D",IF(BI14&gt;=0,"F"))))))))</f>
        <v>F</v>
      </c>
      <c r="BL14" s="48">
        <f>IF(BK14&gt;=91, 4.00, IF(BK14&gt;=81, 3.50, IF(BK14&gt;=70, 3.00, IF(BK14&gt;=65, 2.50, IF(BK14&gt;=60, 2.00, IF(BK14&gt;=55, 1.50, IF(BK14&gt;=50, 1.00, 0.00)))))))</f>
      </c>
      <c r="BM14" s="49">
        <f>IF(BK14&gt;=91,"A",IF(BK14&gt;=81,"B+",IF(BK14&gt;=70,"B",IF(BK14&gt;=65,"C+",IF(BK14&gt;=60,"C",IF(BK14&gt;=55,"D+",IF(BK14&gt;=50,"D","F")))))))</f>
      </c>
      <c r="BN14" s="40">
        <f>ROUND((AN14*3+AQ14*2+AT14*1+AW14*1+AZ14*1+BC14*2+BF14*2+BI14*1+BL14*2)/15, 2)</f>
      </c>
      <c r="BO14" s="43"/>
      <c r="BP14" s="49" t="str">
        <f>IF(BO14&gt;90,"4.00",IF(BO14&gt;80,"3.50",IF(BO14&gt;69,"3.00",IF(BO14&gt;64,"2.50",IF(BO14&gt;59,"2.00",IF(BO14&gt;54,"1.50",IF(BO14&gt;49,"1.00","0.00")))))))</f>
        <v>0.00</v>
      </c>
      <c r="BQ14" s="40" t="str">
        <f>IF(BO14&gt;90,"A",IF(BO14&gt;80,"B+",IF(BO14&gt;69,"B",IF(BO14&gt;64,"C+",IF(BO14&gt;59,"C",IF(BO14&gt;54,"D+",IF(BO14&gt;49,"D",IF(BO14&gt;=0,"F"))))))))</f>
        <v>F</v>
      </c>
      <c r="BR14" s="43"/>
      <c r="BS14" s="49" t="str">
        <f>IF(BR14&gt;90,"4.00",IF(BR14&gt;80,"3.50",IF(BR14&gt;69,"3.00",IF(BR14&gt;64,"2.50",IF(BR14&gt;59,"2.00",IF(BR14&gt;54,"1.50",IF(BR14&gt;49,"1.00","0.00")))))))</f>
        <v>0.00</v>
      </c>
      <c r="BT14" s="40" t="str">
        <f>IF(BR14&gt;90,"A",IF(BR14&gt;80,"B+",IF(BR14&gt;69,"B",IF(BR14&gt;64,"C+",IF(BR14&gt;59,"C",IF(BR14&gt;54,"D+",IF(BR14&gt;49,"D",IF(BR14&gt;=0,"F"))))))))</f>
        <v>F</v>
      </c>
      <c r="BU14" s="49"/>
      <c r="BV14" s="49" t="str">
        <f>IF(BU14&gt;90,"4.00",IF(BU14&gt;80,"3.50",IF(BU14&gt;69,"3.00",IF(BU14&gt;64,"2.50",IF(BU14&gt;59,"2.00",IF(BU14&gt;54,"1.50",IF(BU14&gt;49,"1.00","0.00")))))))</f>
        <v>0.00</v>
      </c>
      <c r="BW14" s="40" t="str">
        <f>IF(BU14&gt;90,"A",IF(BU14&gt;80,"B+",IF(BU14&gt;69,"B",IF(BU14&gt;64,"C+",IF(BU14&gt;59,"C",IF(BU14&gt;54,"D+",IF(BU14&gt;49,"D",IF(BU14&gt;=0,"F"))))))))</f>
        <v>F</v>
      </c>
      <c r="BX14" s="49"/>
      <c r="BY14" s="49" t="str">
        <f>IF(BX14&gt;90,"4.00",IF(BX14&gt;80,"3.50",IF(BX14&gt;69,"3.00",IF(BX14&gt;64,"2.50",IF(BX14&gt;59,"2.00",IF(BX14&gt;54,"1.50",IF(BX14&gt;49,"1.00","0.00")))))))</f>
        <v>0.00</v>
      </c>
      <c r="BZ14" s="40" t="str">
        <f>IF(BX14&gt;90,"A",IF(BX14&gt;80,"B+",IF(BX14&gt;69,"B",IF(BX14&gt;64,"C+",IF(BX14&gt;59,"C",IF(BX14&gt;54,"D+",IF(BX14&gt;49,"D",IF(BX14&gt;=0,"F"))))))))</f>
        <v>F</v>
      </c>
      <c r="CA14" s="49"/>
      <c r="CB14" s="49" t="str">
        <f>IF(CA14&gt;90,"4.00",IF(CA14&gt;80,"3.50",IF(CA14&gt;69,"3.00",IF(CA14&gt;64,"2.50",IF(CA14&gt;59,"2.00",IF(CA14&gt;54,"1.50",IF(CA14&gt;49,"1.00","0.00")))))))</f>
        <v>0.00</v>
      </c>
      <c r="CC14" s="40" t="str">
        <f>IF(CA14&gt;90,"A",IF(CA14&gt;80,"B+",IF(CA14&gt;69,"B",IF(CA14&gt;64,"C+",IF(CA14&gt;59,"C",IF(CA14&gt;54,"D+",IF(CA14&gt;49,"D",IF(CA14&gt;=0,"F"))))))))</f>
        <v>F</v>
      </c>
      <c r="CD14" s="50">
        <f>(BD14*3+BG14*2+BJ14*1+BM14*2+BP14*1+BS14*1+BV14*2+BY14*2+CB14*2)/(3+2+1+2+1+1+2+2+2)</f>
        <v>0</v>
      </c>
      <c r="CE14" s="50">
        <f>(AR14+CD14)/2</f>
        <v>0</v>
      </c>
      <c r="CF14" s="51">
        <f>RANK(CE14,$CE$7:CE43)</f>
        <v>1</v>
      </c>
      <c r="CG14" s="40"/>
      <c r="CH14" s="52"/>
      <c r="CI14" s="52"/>
      <c r="CJ14" s="52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</row>
    <row r="15" ht="20" customHeight="1" spans="1:199" s="39" customFormat="1" x14ac:dyDescent="0.25">
      <c r="A15" s="40">
        <v>9</v>
      </c>
      <c r="B15" s="40" t="s">
        <v>278</v>
      </c>
      <c r="C15" s="40" t="s">
        <v>43</v>
      </c>
      <c r="D15" s="40" t="s">
        <v>93</v>
      </c>
      <c r="E15" s="40" t="s">
        <v>94</v>
      </c>
      <c r="F15" s="40" t="s">
        <v>279</v>
      </c>
      <c r="G15" s="40" t="s">
        <v>96</v>
      </c>
      <c r="H15" s="44"/>
      <c r="I15" s="112"/>
      <c r="J15" s="40">
        <v>1</v>
      </c>
      <c r="K15" s="42">
        <v>89</v>
      </c>
      <c r="L15" s="40">
        <f>IF(K15&gt;=91, 4.00, IF(K15&gt;=81, 3.50, IF(K15&gt;=70, 3.00, IF(K15&gt;=65, 2.50, IF(K15&gt;=60, 2.00, IF(K15&gt;=55, 1.50, IF(K15&gt;=50, 1.00, 0.00)))))))</f>
      </c>
      <c r="M15" s="40">
        <f>IF(K15&gt;=91,"A",IF(K15&gt;=81,"B+",IF(K15&gt;=70,"B",IF(K15&gt;=65,"C+",IF(K15&gt;=60,"C",IF(K15&gt;=55,"D+",IF(K15&gt;=50,"D","F")))))))</f>
      </c>
      <c r="N15" s="42">
        <v>92</v>
      </c>
      <c r="O15" s="40">
        <f>IF(N15&gt;=91, 4.00, IF(N15&gt;=81, 3.50, IF(N15&gt;=70, 3.00, IF(N15&gt;=65, 2.50, IF(N15&gt;=60, 2.00, IF(N15&gt;=55, 1.50, IF(N15&gt;=50, 1.00, 0.00)))))))</f>
      </c>
      <c r="P15" s="40">
        <f>IF(N15&gt;=91,"A",IF(N15&gt;=81,"B+",IF(N15&gt;=70,"B",IF(N15&gt;=65,"C+",IF(N15&gt;=60,"C",IF(N15&gt;=55,"D+",IF(N15&gt;=50,"D","F")))))))</f>
      </c>
      <c r="Q15" s="42">
        <v>95</v>
      </c>
      <c r="R15" s="40">
        <f>IF(Q15&gt;=91, 4.00, IF(Q15&gt;=81, 3.50, IF(Q15&gt;=70, 3.00, IF(Q15&gt;=65, 2.50, IF(Q15&gt;=60, 2.00, IF(Q15&gt;=55, 1.50, IF(Q15&gt;=50, 1.00, 0.00)))))))</f>
      </c>
      <c r="S15" s="40">
        <f>IF(Q15&gt;=91,"A",IF(Q15&gt;=81,"B+",IF(Q15&gt;=70,"B",IF(Q15&gt;=65,"C+",IF(Q15&gt;=60,"C",IF(Q15&gt;=55,"D+",IF(Q15&gt;=50,"D","F")))))))</f>
      </c>
      <c r="T15" s="42">
        <v>77</v>
      </c>
      <c r="U15" s="40">
        <f>IF(T15&gt;=91, 4.00, IF(T15&gt;=81, 3.50, IF(T15&gt;=70, 3.00, IF(T15&gt;=65, 2.50, IF(T15&gt;=60, 2.00, IF(T15&gt;=55, 1.50, IF(T15&gt;=50, 1.00, 0.00)))))))</f>
      </c>
      <c r="V15" s="40">
        <f>IF(T15&gt;=91,"A",IF(T15&gt;=81,"B+",IF(T15&gt;=70,"B",IF(T15&gt;=65,"C+",IF(T15&gt;=60,"C",IF(T15&gt;=55,"D+",IF(T15&gt;=50,"D","F")))))))</f>
      </c>
      <c r="W15" s="42">
        <v>80</v>
      </c>
      <c r="X15" s="40">
        <f>IF(W15&gt;=91, 4.00, IF(W15&gt;=81, 3.50, IF(W15&gt;=70, 3.00, IF(W15&gt;=65, 2.50, IF(W15&gt;=60, 2.00, IF(W15&gt;=55, 1.50, IF(W15&gt;=50, 1.00, 0.00)))))))</f>
      </c>
      <c r="Y15" s="40">
        <f>IF(W15&gt;=91,"A",IF(W15&gt;=81,"B+",IF(W15&gt;=70,"B",IF(W15&gt;=65,"C+",IF(W15&gt;=60,"C",IF(W15&gt;=55,"D+",IF(W15&gt;=50,"D","F")))))))</f>
      </c>
      <c r="Z15" s="46">
        <v>83</v>
      </c>
      <c r="AA15" s="40">
        <f>IF(Z15&gt;=91, 4.00, IF(Z15&gt;=81, 3.50, IF(Z15&gt;=70, 3.00, IF(Z15&gt;=65, 2.50, IF(Z15&gt;=60, 2.00, IF(Z15&gt;=55, 1.50, IF(Z15&gt;=50, 1.00, 0.00)))))))</f>
      </c>
      <c r="AB15" s="40">
        <f>IF(Z15&gt;=91,"A",IF(Z15&gt;=81,"B+",IF(Z15&gt;=70,"B",IF(Z15&gt;=65,"C+",IF(Z15&gt;=60,"C",IF(Z15&gt;=55,"D+",IF(Z15&gt;=50,"D","F")))))))</f>
      </c>
      <c r="AC15" s="42">
        <v>86</v>
      </c>
      <c r="AD15" s="40">
        <f>IF(AC15&gt;=91, 4.00, IF(AC15&gt;=81, 3.50, IF(AC15&gt;=70, 3.00, IF(AC15&gt;=65, 2.50, IF(AC15&gt;=60, 2.00, IF(AC15&gt;=55, 1.50, IF(AC15&gt;=50, 1.00, 0.00)))))))</f>
      </c>
      <c r="AE15" s="40">
        <f>IF(AC15&gt;=91,"A",IF(AC15&gt;=81,"B+",IF(AC15&gt;=70,"B",IF(AC15&gt;=65,"C+",IF(AC15&gt;=60,"C",IF(AC15&gt;=55,"D+",IF(AC15&gt;=50,"D","F")))))))</f>
      </c>
      <c r="AF15" s="40">
        <v>89</v>
      </c>
      <c r="AG15" s="40">
        <f>IF(AF15&gt;=91, 4.00, IF(AF15&gt;=81, 3.50, IF(AF15&gt;=70, 3.00, IF(AF15&gt;=65, 2.50, IF(AF15&gt;=60, 2.00, IF(AF15&gt;=55, 1.50, IF(AF15&gt;=50, 1.00, 0.00)))))))</f>
      </c>
      <c r="AH15" s="40">
        <f>IF(AF15&gt;=91,"A",IF(AF15&gt;=81,"B+",IF(AF15&gt;=70,"B",IF(AF15&gt;=65,"C+",IF(AF15&gt;=60,"C",IF(AF15&gt;=55,"D+",IF(AF15&gt;=50,"D","F")))))))</f>
      </c>
      <c r="AI15" s="46">
        <v>92</v>
      </c>
      <c r="AJ15" s="40">
        <f>IF(AI15&gt;=91, 4.00, IF(AI15&gt;=81, 3.50, IF(AI15&gt;=70, 3.00, IF(AI15&gt;=65, 2.50, IF(AI15&gt;=60, 2.00, IF(AI15&gt;=55, 1.50, IF(AI15&gt;=50, 1.00, 0.00)))))))</f>
      </c>
      <c r="AK15" s="40">
        <f>IF(AI15&gt;=91,"A",IF(AI15&gt;=81,"B+",IF(AI15&gt;=70,"B",IF(AI15&gt;=65,"C+",IF(AI15&gt;=60,"C",IF(AI15&gt;=55,"D+",IF(AI15&gt;=50,"D","F")))))))</f>
      </c>
      <c r="AL15" s="42">
        <f>ROUND((L15*3+O15*2+R15*1+U15*1+X15*1+AA15*2+AD15*2+AG15*1+AJ15*2)/15, 2)</f>
      </c>
      <c r="AM15" s="40" t="str">
        <f>IF(AL15&gt;90,"4.00",IF(AL15&gt;80,"3.50",IF(AL15&gt;69,"3.00",IF(AL15&gt;64,"2.50",IF(AL15&gt;59,"2.00",IF(AL15&gt;54,"1.50",IF(AL15&gt;49,"1.00","0.00")))))))</f>
        <v>0.00</v>
      </c>
      <c r="AN15" s="40">
        <f>IF(AM15&gt;=91, 4.00, IF(AM15&gt;=81, 3.50, IF(AM15&gt;=70, 3.00, IF(AM15&gt;=65, 2.50, IF(AM15&gt;=60, 2.00, IF(AM15&gt;=55, 1.50, IF(AM15&gt;=50, 1.00, 0.00)))))))</f>
      </c>
      <c r="AO15" s="40">
        <f>IF(AM15&gt;=91,"A",IF(AM15&gt;=81,"B+",IF(AM15&gt;=70,"B",IF(AM15&gt;=65,"C+",IF(AM15&gt;=60,"C",IF(AM15&gt;=55,"D+",IF(AM15&gt;=50,"D","F")))))))</f>
      </c>
      <c r="AP15" s="40" t="str">
        <f>IF(AO15&gt;90,"4.00",IF(AO15&gt;80,"3.50",IF(AO15&gt;69,"3.00",IF(AO15&gt;64,"2.50",IF(AO15&gt;59,"2.00",IF(AO15&gt;54,"1.50",IF(AO15&gt;49,"1.00","0.00")))))))</f>
        <v>0.00</v>
      </c>
      <c r="AQ15" s="40">
        <f>IF(AP15&gt;=91, 4.00, IF(AP15&gt;=81, 3.50, IF(AP15&gt;=70, 3.00, IF(AP15&gt;=65, 2.50, IF(AP15&gt;=60, 2.00, IF(AP15&gt;=55, 1.50, IF(AP15&gt;=50, 1.00, 0.00)))))))</f>
      </c>
      <c r="AR15" s="40">
        <f>IF(AP15&gt;=91,"A",IF(AP15&gt;=81,"B+",IF(AP15&gt;=70,"B",IF(AP15&gt;=65,"C+",IF(AP15&gt;=60,"C",IF(AP15&gt;=55,"D+",IF(AP15&gt;=50,"D","F")))))))</f>
      </c>
      <c r="AS15" s="47">
        <v>81</v>
      </c>
      <c r="AT15" s="40">
        <f>IF(AS15&gt;=91, 4.00, IF(AS15&gt;=81, 3.50, IF(AS15&gt;=70, 3.00, IF(AS15&gt;=65, 2.50, IF(AS15&gt;=60, 2.00, IF(AS15&gt;=55, 1.50, IF(AS15&gt;=50, 1.00, 0.00)))))))</f>
      </c>
      <c r="AU15" s="40">
        <f>IF(AS15&gt;=91,"A",IF(AS15&gt;=81,"B+",IF(AS15&gt;=70,"B",IF(AS15&gt;=65,"C+",IF(AS15&gt;=60,"C",IF(AS15&gt;=55,"D+",IF(AS15&gt;=50,"D","F")))))))</f>
      </c>
      <c r="AV15" s="40" t="s">
        <v>43</v>
      </c>
      <c r="AW15" s="40">
        <f>IF(AV15&gt;=91, 4.00, IF(AV15&gt;=81, 3.50, IF(AV15&gt;=70, 3.00, IF(AV15&gt;=65, 2.50, IF(AV15&gt;=60, 2.00, IF(AV15&gt;=55, 1.50, IF(AV15&gt;=50, 1.00, 0.00)))))))</f>
      </c>
      <c r="AX15" s="40">
        <f>IF(AV15&gt;=91,"A",IF(AV15&gt;=81,"B+",IF(AV15&gt;=70,"B",IF(AV15&gt;=65,"C+",IF(AV15&gt;=60,"C",IF(AV15&gt;=55,"D+",IF(AV15&gt;=50,"D","F")))))))</f>
      </c>
      <c r="AY15" s="40" t="s">
        <v>279</v>
      </c>
      <c r="AZ15" s="40">
        <f>IF(AY15&gt;=91, 4.00, IF(AY15&gt;=81, 3.50, IF(AY15&gt;=70, 3.00, IF(AY15&gt;=65, 2.50, IF(AY15&gt;=60, 2.00, IF(AY15&gt;=55, 1.50, IF(AY15&gt;=50, 1.00, 0.00)))))))</f>
      </c>
      <c r="BA15" s="44">
        <f>IF(AY15&gt;=91,"A",IF(AY15&gt;=81,"B+",IF(AY15&gt;=70,"B",IF(AY15&gt;=65,"C+",IF(AY15&gt;=60,"C",IF(AY15&gt;=55,"D+",IF(AY15&gt;=50,"D","F")))))))</f>
      </c>
      <c r="BB15" s="112">
        <v>90</v>
      </c>
      <c r="BC15" s="40">
        <f>IF(BB15&gt;=91, 4.00, IF(BB15&gt;=81, 3.50, IF(BB15&gt;=70, 3.00, IF(BB15&gt;=65, 2.50, IF(BB15&gt;=60, 2.00, IF(BB15&gt;=55, 1.50, IF(BB15&gt;=50, 1.00, 0.00)))))))</f>
      </c>
      <c r="BD15" s="49">
        <f>IF(BB15&gt;=91,"A",IF(BB15&gt;=81,"B+",IF(BB15&gt;=70,"B",IF(BB15&gt;=65,"C+",IF(BB15&gt;=60,"C",IF(BB15&gt;=55,"D+",IF(BB15&gt;=50,"D","F")))))))</f>
      </c>
      <c r="BE15" s="40" t="str">
        <f>IF(BC15&gt;90,"A",IF(BC15&gt;80,"B+",IF(BC15&gt;69,"B",IF(BC15&gt;64,"C+",IF(BC15&gt;59,"C",IF(BC15&gt;54,"D+",IF(BC15&gt;49,"D",IF(BC15&gt;=0,"F"))))))))</f>
        <v>F</v>
      </c>
      <c r="BF15" s="48">
        <f>IF(BE15&gt;=91, 4.00, IF(BE15&gt;=81, 3.50, IF(BE15&gt;=70, 3.00, IF(BE15&gt;=65, 2.50, IF(BE15&gt;=60, 2.00, IF(BE15&gt;=55, 1.50, IF(BE15&gt;=50, 1.00, 0.00)))))))</f>
      </c>
      <c r="BG15" s="49">
        <f>IF(BE15&gt;=91,"A",IF(BE15&gt;=81,"B+",IF(BE15&gt;=70,"B",IF(BE15&gt;=65,"C+",IF(BE15&gt;=60,"C",IF(BE15&gt;=55,"D+",IF(BE15&gt;=50,"D","F")))))))</f>
      </c>
      <c r="BH15" s="40" t="str">
        <f>IF(BF15&gt;90,"A",IF(BF15&gt;80,"B+",IF(BF15&gt;69,"B",IF(BF15&gt;64,"C+",IF(BF15&gt;59,"C",IF(BF15&gt;54,"D+",IF(BF15&gt;49,"D",IF(BF15&gt;=0,"F"))))))))</f>
        <v>F</v>
      </c>
      <c r="BI15" s="43">
        <f>IF(BH15&gt;=91, 4.00, IF(BH15&gt;=81, 3.50, IF(BH15&gt;=70, 3.00, IF(BH15&gt;=65, 2.50, IF(BH15&gt;=60, 2.00, IF(BH15&gt;=55, 1.50, IF(BH15&gt;=50, 1.00, 0.00)))))))</f>
      </c>
      <c r="BJ15" s="49">
        <f>IF(BH15&gt;=91,"A",IF(BH15&gt;=81,"B+",IF(BH15&gt;=70,"B",IF(BH15&gt;=65,"C+",IF(BH15&gt;=60,"C",IF(BH15&gt;=55,"D+",IF(BH15&gt;=50,"D","F")))))))</f>
      </c>
      <c r="BK15" s="40" t="str">
        <f>IF(BI15&gt;90,"A",IF(BI15&gt;80,"B+",IF(BI15&gt;69,"B",IF(BI15&gt;64,"C+",IF(BI15&gt;59,"C",IF(BI15&gt;54,"D+",IF(BI15&gt;49,"D",IF(BI15&gt;=0,"F"))))))))</f>
        <v>F</v>
      </c>
      <c r="BL15" s="48">
        <f>IF(BK15&gt;=91, 4.00, IF(BK15&gt;=81, 3.50, IF(BK15&gt;=70, 3.00, IF(BK15&gt;=65, 2.50, IF(BK15&gt;=60, 2.00, IF(BK15&gt;=55, 1.50, IF(BK15&gt;=50, 1.00, 0.00)))))))</f>
      </c>
      <c r="BM15" s="49">
        <f>IF(BK15&gt;=91,"A",IF(BK15&gt;=81,"B+",IF(BK15&gt;=70,"B",IF(BK15&gt;=65,"C+",IF(BK15&gt;=60,"C",IF(BK15&gt;=55,"D+",IF(BK15&gt;=50,"D","F")))))))</f>
      </c>
      <c r="BN15" s="40">
        <f>ROUND((AN15*3+AQ15*2+AT15*1+AW15*1+AZ15*1+BC15*2+BF15*2+BI15*1+BL15*2)/15, 2)</f>
      </c>
      <c r="BO15" s="43"/>
      <c r="BP15" s="49" t="str">
        <f>IF(BO15&gt;90,"4.00",IF(BO15&gt;80,"3.50",IF(BO15&gt;69,"3.00",IF(BO15&gt;64,"2.50",IF(BO15&gt;59,"2.00",IF(BO15&gt;54,"1.50",IF(BO15&gt;49,"1.00","0.00")))))))</f>
        <v>0.00</v>
      </c>
      <c r="BQ15" s="40" t="str">
        <f>IF(BO15&gt;90,"A",IF(BO15&gt;80,"B+",IF(BO15&gt;69,"B",IF(BO15&gt;64,"C+",IF(BO15&gt;59,"C",IF(BO15&gt;54,"D+",IF(BO15&gt;49,"D",IF(BO15&gt;=0,"F"))))))))</f>
        <v>F</v>
      </c>
      <c r="BR15" s="43"/>
      <c r="BS15" s="49" t="str">
        <f>IF(BR15&gt;90,"4.00",IF(BR15&gt;80,"3.50",IF(BR15&gt;69,"3.00",IF(BR15&gt;64,"2.50",IF(BR15&gt;59,"2.00",IF(BR15&gt;54,"1.50",IF(BR15&gt;49,"1.00","0.00")))))))</f>
        <v>0.00</v>
      </c>
      <c r="BT15" s="40" t="str">
        <f>IF(BR15&gt;90,"A",IF(BR15&gt;80,"B+",IF(BR15&gt;69,"B",IF(BR15&gt;64,"C+",IF(BR15&gt;59,"C",IF(BR15&gt;54,"D+",IF(BR15&gt;49,"D",IF(BR15&gt;=0,"F"))))))))</f>
        <v>F</v>
      </c>
      <c r="BU15" s="49"/>
      <c r="BV15" s="49" t="str">
        <f>IF(BU15&gt;90,"4.00",IF(BU15&gt;80,"3.50",IF(BU15&gt;69,"3.00",IF(BU15&gt;64,"2.50",IF(BU15&gt;59,"2.00",IF(BU15&gt;54,"1.50",IF(BU15&gt;49,"1.00","0.00")))))))</f>
        <v>0.00</v>
      </c>
      <c r="BW15" s="40" t="str">
        <f>IF(BU15&gt;90,"A",IF(BU15&gt;80,"B+",IF(BU15&gt;69,"B",IF(BU15&gt;64,"C+",IF(BU15&gt;59,"C",IF(BU15&gt;54,"D+",IF(BU15&gt;49,"D",IF(BU15&gt;=0,"F"))))))))</f>
        <v>F</v>
      </c>
      <c r="BX15" s="49"/>
      <c r="BY15" s="49" t="str">
        <f>IF(BX15&gt;90,"4.00",IF(BX15&gt;80,"3.50",IF(BX15&gt;69,"3.00",IF(BX15&gt;64,"2.50",IF(BX15&gt;59,"2.00",IF(BX15&gt;54,"1.50",IF(BX15&gt;49,"1.00","0.00")))))))</f>
        <v>0.00</v>
      </c>
      <c r="BZ15" s="40" t="str">
        <f>IF(BX15&gt;90,"A",IF(BX15&gt;80,"B+",IF(BX15&gt;69,"B",IF(BX15&gt;64,"C+",IF(BX15&gt;59,"C",IF(BX15&gt;54,"D+",IF(BX15&gt;49,"D",IF(BX15&gt;=0,"F"))))))))</f>
        <v>F</v>
      </c>
      <c r="CA15" s="49"/>
      <c r="CB15" s="49" t="str">
        <f>IF(CA15&gt;90,"4.00",IF(CA15&gt;80,"3.50",IF(CA15&gt;69,"3.00",IF(CA15&gt;64,"2.50",IF(CA15&gt;59,"2.00",IF(CA15&gt;54,"1.50",IF(CA15&gt;49,"1.00","0.00")))))))</f>
        <v>0.00</v>
      </c>
      <c r="CC15" s="40" t="str">
        <f>IF(CA15&gt;90,"A",IF(CA15&gt;80,"B+",IF(CA15&gt;69,"B",IF(CA15&gt;64,"C+",IF(CA15&gt;59,"C",IF(CA15&gt;54,"D+",IF(CA15&gt;49,"D",IF(CA15&gt;=0,"F"))))))))</f>
        <v>F</v>
      </c>
      <c r="CD15" s="50">
        <f>(BD15*3+BG15*2+BJ15*1+BM15*2+BP15*1+BS15*1+BV15*2+BY15*2+CB15*2)/(3+2+1+2+1+1+2+2+2)</f>
        <v>0</v>
      </c>
      <c r="CE15" s="50">
        <f>(AR15+CD15)/2</f>
        <v>0</v>
      </c>
      <c r="CF15" s="51">
        <f>RANK(CE15,$CE$7:CE44)</f>
        <v>1</v>
      </c>
      <c r="CG15" s="58"/>
      <c r="CH15" s="52"/>
      <c r="CI15" s="52"/>
      <c r="CJ15" s="52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</row>
    <row r="16" ht="20" customHeight="1" spans="1:199" s="39" customFormat="1" x14ac:dyDescent="0.25">
      <c r="A16" s="40">
        <v>10</v>
      </c>
      <c r="B16" s="40" t="s">
        <v>280</v>
      </c>
      <c r="C16" s="40" t="s">
        <v>43</v>
      </c>
      <c r="D16" s="40" t="s">
        <v>99</v>
      </c>
      <c r="E16" s="40" t="s">
        <v>100</v>
      </c>
      <c r="F16" s="40" t="s">
        <v>281</v>
      </c>
      <c r="G16" s="40" t="s">
        <v>102</v>
      </c>
      <c r="H16" s="44"/>
      <c r="I16" s="112"/>
      <c r="J16" s="40">
        <v>1</v>
      </c>
      <c r="K16" s="42">
        <v>92</v>
      </c>
      <c r="L16" s="40">
        <f>IF(K16&gt;=91, 4.00, IF(K16&gt;=81, 3.50, IF(K16&gt;=70, 3.00, IF(K16&gt;=65, 2.50, IF(K16&gt;=60, 2.00, IF(K16&gt;=55, 1.50, IF(K16&gt;=50, 1.00, 0.00)))))))</f>
      </c>
      <c r="M16" s="40">
        <f>IF(K16&gt;=91,"A",IF(K16&gt;=81,"B+",IF(K16&gt;=70,"B",IF(K16&gt;=65,"C+",IF(K16&gt;=60,"C",IF(K16&gt;=55,"D+",IF(K16&gt;=50,"D","F")))))))</f>
      </c>
      <c r="N16" s="42">
        <v>95</v>
      </c>
      <c r="O16" s="40">
        <f>IF(N16&gt;=91, 4.00, IF(N16&gt;=81, 3.50, IF(N16&gt;=70, 3.00, IF(N16&gt;=65, 2.50, IF(N16&gt;=60, 2.00, IF(N16&gt;=55, 1.50, IF(N16&gt;=50, 1.00, 0.00)))))))</f>
      </c>
      <c r="P16" s="40">
        <f>IF(N16&gt;=91,"A",IF(N16&gt;=81,"B+",IF(N16&gt;=70,"B",IF(N16&gt;=65,"C+",IF(N16&gt;=60,"C",IF(N16&gt;=55,"D+",IF(N16&gt;=50,"D","F")))))))</f>
      </c>
      <c r="Q16" s="42">
        <v>77</v>
      </c>
      <c r="R16" s="40">
        <f>IF(Q16&gt;=91, 4.00, IF(Q16&gt;=81, 3.50, IF(Q16&gt;=70, 3.00, IF(Q16&gt;=65, 2.50, IF(Q16&gt;=60, 2.00, IF(Q16&gt;=55, 1.50, IF(Q16&gt;=50, 1.00, 0.00)))))))</f>
      </c>
      <c r="S16" s="40">
        <f>IF(Q16&gt;=91,"A",IF(Q16&gt;=81,"B+",IF(Q16&gt;=70,"B",IF(Q16&gt;=65,"C+",IF(Q16&gt;=60,"C",IF(Q16&gt;=55,"D+",IF(Q16&gt;=50,"D","F")))))))</f>
      </c>
      <c r="T16" s="42">
        <v>80</v>
      </c>
      <c r="U16" s="40">
        <f>IF(T16&gt;=91, 4.00, IF(T16&gt;=81, 3.50, IF(T16&gt;=70, 3.00, IF(T16&gt;=65, 2.50, IF(T16&gt;=60, 2.00, IF(T16&gt;=55, 1.50, IF(T16&gt;=50, 1.00, 0.00)))))))</f>
      </c>
      <c r="V16" s="40">
        <f>IF(T16&gt;=91,"A",IF(T16&gt;=81,"B+",IF(T16&gt;=70,"B",IF(T16&gt;=65,"C+",IF(T16&gt;=60,"C",IF(T16&gt;=55,"D+",IF(T16&gt;=50,"D","F")))))))</f>
      </c>
      <c r="W16" s="42">
        <v>83</v>
      </c>
      <c r="X16" s="40">
        <f>IF(W16&gt;=91, 4.00, IF(W16&gt;=81, 3.50, IF(W16&gt;=70, 3.00, IF(W16&gt;=65, 2.50, IF(W16&gt;=60, 2.00, IF(W16&gt;=55, 1.50, IF(W16&gt;=50, 1.00, 0.00)))))))</f>
      </c>
      <c r="Y16" s="40">
        <f>IF(W16&gt;=91,"A",IF(W16&gt;=81,"B+",IF(W16&gt;=70,"B",IF(W16&gt;=65,"C+",IF(W16&gt;=60,"C",IF(W16&gt;=55,"D+",IF(W16&gt;=50,"D","F")))))))</f>
      </c>
      <c r="Z16" s="46">
        <v>86</v>
      </c>
      <c r="AA16" s="40">
        <f>IF(Z16&gt;=91, 4.00, IF(Z16&gt;=81, 3.50, IF(Z16&gt;=70, 3.00, IF(Z16&gt;=65, 2.50, IF(Z16&gt;=60, 2.00, IF(Z16&gt;=55, 1.50, IF(Z16&gt;=50, 1.00, 0.00)))))))</f>
      </c>
      <c r="AB16" s="40">
        <f>IF(Z16&gt;=91,"A",IF(Z16&gt;=81,"B+",IF(Z16&gt;=70,"B",IF(Z16&gt;=65,"C+",IF(Z16&gt;=60,"C",IF(Z16&gt;=55,"D+",IF(Z16&gt;=50,"D","F")))))))</f>
      </c>
      <c r="AC16" s="42">
        <v>89</v>
      </c>
      <c r="AD16" s="40">
        <f>IF(AC16&gt;=91, 4.00, IF(AC16&gt;=81, 3.50, IF(AC16&gt;=70, 3.00, IF(AC16&gt;=65, 2.50, IF(AC16&gt;=60, 2.00, IF(AC16&gt;=55, 1.50, IF(AC16&gt;=50, 1.00, 0.00)))))))</f>
      </c>
      <c r="AE16" s="40">
        <f>IF(AC16&gt;=91,"A",IF(AC16&gt;=81,"B+",IF(AC16&gt;=70,"B",IF(AC16&gt;=65,"C+",IF(AC16&gt;=60,"C",IF(AC16&gt;=55,"D+",IF(AC16&gt;=50,"D","F")))))))</f>
      </c>
      <c r="AF16" s="40">
        <v>92</v>
      </c>
      <c r="AG16" s="40">
        <f>IF(AF16&gt;=91, 4.00, IF(AF16&gt;=81, 3.50, IF(AF16&gt;=70, 3.00, IF(AF16&gt;=65, 2.50, IF(AF16&gt;=60, 2.00, IF(AF16&gt;=55, 1.50, IF(AF16&gt;=50, 1.00, 0.00)))))))</f>
      </c>
      <c r="AH16" s="40">
        <f>IF(AF16&gt;=91,"A",IF(AF16&gt;=81,"B+",IF(AF16&gt;=70,"B",IF(AF16&gt;=65,"C+",IF(AF16&gt;=60,"C",IF(AF16&gt;=55,"D+",IF(AF16&gt;=50,"D","F")))))))</f>
      </c>
      <c r="AI16" s="46">
        <v>95</v>
      </c>
      <c r="AJ16" s="40">
        <f>IF(AI16&gt;=91, 4.00, IF(AI16&gt;=81, 3.50, IF(AI16&gt;=70, 3.00, IF(AI16&gt;=65, 2.50, IF(AI16&gt;=60, 2.00, IF(AI16&gt;=55, 1.50, IF(AI16&gt;=50, 1.00, 0.00)))))))</f>
      </c>
      <c r="AK16" s="40">
        <f>IF(AI16&gt;=91,"A",IF(AI16&gt;=81,"B+",IF(AI16&gt;=70,"B",IF(AI16&gt;=65,"C+",IF(AI16&gt;=60,"C",IF(AI16&gt;=55,"D+",IF(AI16&gt;=50,"D","F")))))))</f>
      </c>
      <c r="AL16" s="42">
        <f>ROUND((L16*3+O16*2+R16*1+U16*1+X16*1+AA16*2+AD16*2+AG16*1+AJ16*2)/15, 2)</f>
      </c>
      <c r="AM16" s="40" t="str">
        <f>IF(AL16&gt;90,"4.00",IF(AL16&gt;80,"3.50",IF(AL16&gt;69,"3.00",IF(AL16&gt;64,"2.50",IF(AL16&gt;59,"2.00",IF(AL16&gt;54,"1.50",IF(AL16&gt;49,"1.00","0.00")))))))</f>
        <v>0.00</v>
      </c>
      <c r="AN16" s="40">
        <f>IF(AM16&gt;=91, 4.00, IF(AM16&gt;=81, 3.50, IF(AM16&gt;=70, 3.00, IF(AM16&gt;=65, 2.50, IF(AM16&gt;=60, 2.00, IF(AM16&gt;=55, 1.50, IF(AM16&gt;=50, 1.00, 0.00)))))))</f>
      </c>
      <c r="AO16" s="40">
        <f>IF(AM16&gt;=91,"A",IF(AM16&gt;=81,"B+",IF(AM16&gt;=70,"B",IF(AM16&gt;=65,"C+",IF(AM16&gt;=60,"C",IF(AM16&gt;=55,"D+",IF(AM16&gt;=50,"D","F")))))))</f>
      </c>
      <c r="AP16" s="40" t="str">
        <f>IF(AO16&gt;90,"4.00",IF(AO16&gt;80,"3.50",IF(AO16&gt;69,"3.00",IF(AO16&gt;64,"2.50",IF(AO16&gt;59,"2.00",IF(AO16&gt;54,"1.50",IF(AO16&gt;49,"1.00","0.00")))))))</f>
        <v>0.00</v>
      </c>
      <c r="AQ16" s="40">
        <f>IF(AP16&gt;=91, 4.00, IF(AP16&gt;=81, 3.50, IF(AP16&gt;=70, 3.00, IF(AP16&gt;=65, 2.50, IF(AP16&gt;=60, 2.00, IF(AP16&gt;=55, 1.50, IF(AP16&gt;=50, 1.00, 0.00)))))))</f>
      </c>
      <c r="AR16" s="40">
        <f>IF(AP16&gt;=91,"A",IF(AP16&gt;=81,"B+",IF(AP16&gt;=70,"B",IF(AP16&gt;=65,"C+",IF(AP16&gt;=60,"C",IF(AP16&gt;=55,"D+",IF(AP16&gt;=50,"D","F")))))))</f>
      </c>
      <c r="AS16" s="47">
        <v>84</v>
      </c>
      <c r="AT16" s="40">
        <f>IF(AS16&gt;=91, 4.00, IF(AS16&gt;=81, 3.50, IF(AS16&gt;=70, 3.00, IF(AS16&gt;=65, 2.50, IF(AS16&gt;=60, 2.00, IF(AS16&gt;=55, 1.50, IF(AS16&gt;=50, 1.00, 0.00)))))))</f>
      </c>
      <c r="AU16" s="40">
        <f>IF(AS16&gt;=91,"A",IF(AS16&gt;=81,"B+",IF(AS16&gt;=70,"B",IF(AS16&gt;=65,"C+",IF(AS16&gt;=60,"C",IF(AS16&gt;=55,"D+",IF(AS16&gt;=50,"D","F")))))))</f>
      </c>
      <c r="AV16" s="40" t="s">
        <v>43</v>
      </c>
      <c r="AW16" s="40">
        <f>IF(AV16&gt;=91, 4.00, IF(AV16&gt;=81, 3.50, IF(AV16&gt;=70, 3.00, IF(AV16&gt;=65, 2.50, IF(AV16&gt;=60, 2.00, IF(AV16&gt;=55, 1.50, IF(AV16&gt;=50, 1.00, 0.00)))))))</f>
      </c>
      <c r="AX16" s="40">
        <f>IF(AV16&gt;=91,"A",IF(AV16&gt;=81,"B+",IF(AV16&gt;=70,"B",IF(AV16&gt;=65,"C+",IF(AV16&gt;=60,"C",IF(AV16&gt;=55,"D+",IF(AV16&gt;=50,"D","F")))))))</f>
      </c>
      <c r="AY16" s="40" t="s">
        <v>281</v>
      </c>
      <c r="AZ16" s="40">
        <f>IF(AY16&gt;=91, 4.00, IF(AY16&gt;=81, 3.50, IF(AY16&gt;=70, 3.00, IF(AY16&gt;=65, 2.50, IF(AY16&gt;=60, 2.00, IF(AY16&gt;=55, 1.50, IF(AY16&gt;=50, 1.00, 0.00)))))))</f>
      </c>
      <c r="BA16" s="44">
        <f>IF(AY16&gt;=91,"A",IF(AY16&gt;=81,"B+",IF(AY16&gt;=70,"B",IF(AY16&gt;=65,"C+",IF(AY16&gt;=60,"C",IF(AY16&gt;=55,"D+",IF(AY16&gt;=50,"D","F")))))))</f>
      </c>
      <c r="BB16" s="112">
        <v>93</v>
      </c>
      <c r="BC16" s="48">
        <f>IF(BB16&gt;=91, 4.00, IF(BB16&gt;=81, 3.50, IF(BB16&gt;=70, 3.00, IF(BB16&gt;=65, 2.50, IF(BB16&gt;=60, 2.00, IF(BB16&gt;=55, 1.50, IF(BB16&gt;=50, 1.00, 0.00)))))))</f>
      </c>
      <c r="BD16" s="49">
        <f>IF(BB16&gt;=91,"A",IF(BB16&gt;=81,"B+",IF(BB16&gt;=70,"B",IF(BB16&gt;=65,"C+",IF(BB16&gt;=60,"C",IF(BB16&gt;=55,"D+",IF(BB16&gt;=50,"D","F")))))))</f>
      </c>
      <c r="BE16" s="40" t="str">
        <f>IF(BC16&gt;90,"A",IF(BC16&gt;80,"B+",IF(BC16&gt;69,"B",IF(BC16&gt;64,"C+",IF(BC16&gt;59,"C",IF(BC16&gt;54,"D+",IF(BC16&gt;49,"D",IF(BC16&gt;=0,"F"))))))))</f>
        <v>F</v>
      </c>
      <c r="BF16" s="48">
        <f>IF(BE16&gt;=91, 4.00, IF(BE16&gt;=81, 3.50, IF(BE16&gt;=70, 3.00, IF(BE16&gt;=65, 2.50, IF(BE16&gt;=60, 2.00, IF(BE16&gt;=55, 1.50, IF(BE16&gt;=50, 1.00, 0.00)))))))</f>
      </c>
      <c r="BG16" s="49">
        <f>IF(BE16&gt;=91,"A",IF(BE16&gt;=81,"B+",IF(BE16&gt;=70,"B",IF(BE16&gt;=65,"C+",IF(BE16&gt;=60,"C",IF(BE16&gt;=55,"D+",IF(BE16&gt;=50,"D","F")))))))</f>
      </c>
      <c r="BH16" s="40" t="str">
        <f>IF(BF16&gt;90,"A",IF(BF16&gt;80,"B+",IF(BF16&gt;69,"B",IF(BF16&gt;64,"C+",IF(BF16&gt;59,"C",IF(BF16&gt;54,"D+",IF(BF16&gt;49,"D",IF(BF16&gt;=0,"F"))))))))</f>
        <v>F</v>
      </c>
      <c r="BI16" s="43">
        <f>IF(BH16&gt;=91, 4.00, IF(BH16&gt;=81, 3.50, IF(BH16&gt;=70, 3.00, IF(BH16&gt;=65, 2.50, IF(BH16&gt;=60, 2.00, IF(BH16&gt;=55, 1.50, IF(BH16&gt;=50, 1.00, 0.00)))))))</f>
      </c>
      <c r="BJ16" s="49">
        <f>IF(BH16&gt;=91,"A",IF(BH16&gt;=81,"B+",IF(BH16&gt;=70,"B",IF(BH16&gt;=65,"C+",IF(BH16&gt;=60,"C",IF(BH16&gt;=55,"D+",IF(BH16&gt;=50,"D","F")))))))</f>
      </c>
      <c r="BK16" s="40" t="str">
        <f>IF(BI16&gt;90,"A",IF(BI16&gt;80,"B+",IF(BI16&gt;69,"B",IF(BI16&gt;64,"C+",IF(BI16&gt;59,"C",IF(BI16&gt;54,"D+",IF(BI16&gt;49,"D",IF(BI16&gt;=0,"F"))))))))</f>
        <v>F</v>
      </c>
      <c r="BL16" s="48">
        <f>IF(BK16&gt;=91, 4.00, IF(BK16&gt;=81, 3.50, IF(BK16&gt;=70, 3.00, IF(BK16&gt;=65, 2.50, IF(BK16&gt;=60, 2.00, IF(BK16&gt;=55, 1.50, IF(BK16&gt;=50, 1.00, 0.00)))))))</f>
      </c>
      <c r="BM16" s="49">
        <f>IF(BK16&gt;=91,"A",IF(BK16&gt;=81,"B+",IF(BK16&gt;=70,"B",IF(BK16&gt;=65,"C+",IF(BK16&gt;=60,"C",IF(BK16&gt;=55,"D+",IF(BK16&gt;=50,"D","F")))))))</f>
      </c>
      <c r="BN16" s="40">
        <f>ROUND((AN16*3+AQ16*2+AT16*1+AW16*1+AZ16*1+BC16*2+BF16*2+BI16*1+BL16*2)/15, 2)</f>
      </c>
      <c r="BO16" s="43"/>
      <c r="BP16" s="49" t="str">
        <f>IF(BO16&gt;90,"4.00",IF(BO16&gt;80,"3.50",IF(BO16&gt;69,"3.00",IF(BO16&gt;64,"2.50",IF(BO16&gt;59,"2.00",IF(BO16&gt;54,"1.50",IF(BO16&gt;49,"1.00","0.00")))))))</f>
        <v>0.00</v>
      </c>
      <c r="BQ16" s="40" t="str">
        <f>IF(BO16&gt;90,"A",IF(BO16&gt;80,"B+",IF(BO16&gt;69,"B",IF(BO16&gt;64,"C+",IF(BO16&gt;59,"C",IF(BO16&gt;54,"D+",IF(BO16&gt;49,"D",IF(BO16&gt;=0,"F"))))))))</f>
        <v>F</v>
      </c>
      <c r="BR16" s="43"/>
      <c r="BS16" s="49" t="str">
        <f>IF(BR16&gt;90,"4.00",IF(BR16&gt;80,"3.50",IF(BR16&gt;69,"3.00",IF(BR16&gt;64,"2.50",IF(BR16&gt;59,"2.00",IF(BR16&gt;54,"1.50",IF(BR16&gt;49,"1.00","0.00")))))))</f>
        <v>0.00</v>
      </c>
      <c r="BT16" s="40" t="str">
        <f>IF(BR16&gt;90,"A",IF(BR16&gt;80,"B+",IF(BR16&gt;69,"B",IF(BR16&gt;64,"C+",IF(BR16&gt;59,"C",IF(BR16&gt;54,"D+",IF(BR16&gt;49,"D",IF(BR16&gt;=0,"F"))))))))</f>
        <v>F</v>
      </c>
      <c r="BU16" s="49"/>
      <c r="BV16" s="49" t="str">
        <f>IF(BU16&gt;90,"4.00",IF(BU16&gt;80,"3.50",IF(BU16&gt;69,"3.00",IF(BU16&gt;64,"2.50",IF(BU16&gt;59,"2.00",IF(BU16&gt;54,"1.50",IF(BU16&gt;49,"1.00","0.00")))))))</f>
        <v>0.00</v>
      </c>
      <c r="BW16" s="40" t="str">
        <f>IF(BU16&gt;90,"A",IF(BU16&gt;80,"B+",IF(BU16&gt;69,"B",IF(BU16&gt;64,"C+",IF(BU16&gt;59,"C",IF(BU16&gt;54,"D+",IF(BU16&gt;49,"D",IF(BU16&gt;=0,"F"))))))))</f>
        <v>F</v>
      </c>
      <c r="BX16" s="49"/>
      <c r="BY16" s="49" t="str">
        <f>IF(BX16&gt;90,"4.00",IF(BX16&gt;80,"3.50",IF(BX16&gt;69,"3.00",IF(BX16&gt;64,"2.50",IF(BX16&gt;59,"2.00",IF(BX16&gt;54,"1.50",IF(BX16&gt;49,"1.00","0.00")))))))</f>
        <v>0.00</v>
      </c>
      <c r="BZ16" s="40" t="str">
        <f>IF(BX16&gt;90,"A",IF(BX16&gt;80,"B+",IF(BX16&gt;69,"B",IF(BX16&gt;64,"C+",IF(BX16&gt;59,"C",IF(BX16&gt;54,"D+",IF(BX16&gt;49,"D",IF(BX16&gt;=0,"F"))))))))</f>
        <v>F</v>
      </c>
      <c r="CA16" s="49"/>
      <c r="CB16" s="49" t="str">
        <f>IF(CA16&gt;90,"4.00",IF(CA16&gt;80,"3.50",IF(CA16&gt;69,"3.00",IF(CA16&gt;64,"2.50",IF(CA16&gt;59,"2.00",IF(CA16&gt;54,"1.50",IF(CA16&gt;49,"1.00","0.00")))))))</f>
        <v>0.00</v>
      </c>
      <c r="CC16" s="40" t="str">
        <f>IF(CA16&gt;90,"A",IF(CA16&gt;80,"B+",IF(CA16&gt;69,"B",IF(CA16&gt;64,"C+",IF(CA16&gt;59,"C",IF(CA16&gt;54,"D+",IF(CA16&gt;49,"D",IF(CA16&gt;=0,"F"))))))))</f>
        <v>F</v>
      </c>
      <c r="CD16" s="50">
        <f>(BD16*3+BG16*2+BJ16*1+BM16*2+BP16*1+BS16*1+BV16*2+BY16*2+CB16*2)/(3+2+1+2+1+1+2+2+2)</f>
        <v>0</v>
      </c>
      <c r="CE16" s="50">
        <f>(AR16+CD16)/2</f>
        <v>0</v>
      </c>
      <c r="CF16" s="51">
        <f>RANK(CE16,$CE$7:CE45)</f>
        <v>1</v>
      </c>
      <c r="CG16" s="40"/>
      <c r="CH16" s="52"/>
      <c r="CI16" s="52"/>
      <c r="CJ16" s="52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</row>
    <row r="17" ht="20" customHeight="1" spans="1:199" s="39" customFormat="1" x14ac:dyDescent="0.25">
      <c r="A17" s="40">
        <v>11</v>
      </c>
      <c r="B17" s="40" t="s">
        <v>282</v>
      </c>
      <c r="C17" s="40" t="s">
        <v>51</v>
      </c>
      <c r="D17" s="40" t="s">
        <v>105</v>
      </c>
      <c r="E17" s="40" t="s">
        <v>106</v>
      </c>
      <c r="F17" s="40" t="s">
        <v>283</v>
      </c>
      <c r="G17" s="40" t="s">
        <v>284</v>
      </c>
      <c r="H17" s="111"/>
      <c r="I17" s="112"/>
      <c r="J17" s="40">
        <v>1</v>
      </c>
      <c r="K17" s="42">
        <v>95</v>
      </c>
      <c r="L17" s="40">
        <f>IF(K17&gt;=91, 4.00, IF(K17&gt;=81, 3.50, IF(K17&gt;=70, 3.00, IF(K17&gt;=65, 2.50, IF(K17&gt;=60, 2.00, IF(K17&gt;=55, 1.50, IF(K17&gt;=50, 1.00, 0.00)))))))</f>
      </c>
      <c r="M17" s="40">
        <f>IF(K17&gt;=91,"A",IF(K17&gt;=81,"B+",IF(K17&gt;=70,"B",IF(K17&gt;=65,"C+",IF(K17&gt;=60,"C",IF(K17&gt;=55,"D+",IF(K17&gt;=50,"D","F")))))))</f>
      </c>
      <c r="N17" s="42">
        <v>77</v>
      </c>
      <c r="O17" s="40">
        <f>IF(N17&gt;=91, 4.00, IF(N17&gt;=81, 3.50, IF(N17&gt;=70, 3.00, IF(N17&gt;=65, 2.50, IF(N17&gt;=60, 2.00, IF(N17&gt;=55, 1.50, IF(N17&gt;=50, 1.00, 0.00)))))))</f>
      </c>
      <c r="P17" s="40">
        <f>IF(N17&gt;=91,"A",IF(N17&gt;=81,"B+",IF(N17&gt;=70,"B",IF(N17&gt;=65,"C+",IF(N17&gt;=60,"C",IF(N17&gt;=55,"D+",IF(N17&gt;=50,"D","F")))))))</f>
      </c>
      <c r="Q17" s="42">
        <v>80</v>
      </c>
      <c r="R17" s="40">
        <f>IF(Q17&gt;=91, 4.00, IF(Q17&gt;=81, 3.50, IF(Q17&gt;=70, 3.00, IF(Q17&gt;=65, 2.50, IF(Q17&gt;=60, 2.00, IF(Q17&gt;=55, 1.50, IF(Q17&gt;=50, 1.00, 0.00)))))))</f>
      </c>
      <c r="S17" s="40">
        <f>IF(Q17&gt;=91,"A",IF(Q17&gt;=81,"B+",IF(Q17&gt;=70,"B",IF(Q17&gt;=65,"C+",IF(Q17&gt;=60,"C",IF(Q17&gt;=55,"D+",IF(Q17&gt;=50,"D","F")))))))</f>
      </c>
      <c r="T17" s="42">
        <v>83</v>
      </c>
      <c r="U17" s="40">
        <f>IF(T17&gt;=91, 4.00, IF(T17&gt;=81, 3.50, IF(T17&gt;=70, 3.00, IF(T17&gt;=65, 2.50, IF(T17&gt;=60, 2.00, IF(T17&gt;=55, 1.50, IF(T17&gt;=50, 1.00, 0.00)))))))</f>
      </c>
      <c r="V17" s="40">
        <f>IF(T17&gt;=91,"A",IF(T17&gt;=81,"B+",IF(T17&gt;=70,"B",IF(T17&gt;=65,"C+",IF(T17&gt;=60,"C",IF(T17&gt;=55,"D+",IF(T17&gt;=50,"D","F")))))))</f>
      </c>
      <c r="W17" s="42">
        <v>86</v>
      </c>
      <c r="X17" s="40">
        <f>IF(W17&gt;=91, 4.00, IF(W17&gt;=81, 3.50, IF(W17&gt;=70, 3.00, IF(W17&gt;=65, 2.50, IF(W17&gt;=60, 2.00, IF(W17&gt;=55, 1.50, IF(W17&gt;=50, 1.00, 0.00)))))))</f>
      </c>
      <c r="Y17" s="40">
        <f>IF(W17&gt;=91,"A",IF(W17&gt;=81,"B+",IF(W17&gt;=70,"B",IF(W17&gt;=65,"C+",IF(W17&gt;=60,"C",IF(W17&gt;=55,"D+",IF(W17&gt;=50,"D","F")))))))</f>
      </c>
      <c r="Z17" s="46">
        <v>89</v>
      </c>
      <c r="AA17" s="40">
        <f>IF(Z17&gt;=91, 4.00, IF(Z17&gt;=81, 3.50, IF(Z17&gt;=70, 3.00, IF(Z17&gt;=65, 2.50, IF(Z17&gt;=60, 2.00, IF(Z17&gt;=55, 1.50, IF(Z17&gt;=50, 1.00, 0.00)))))))</f>
      </c>
      <c r="AB17" s="40">
        <f>IF(Z17&gt;=91,"A",IF(Z17&gt;=81,"B+",IF(Z17&gt;=70,"B",IF(Z17&gt;=65,"C+",IF(Z17&gt;=60,"C",IF(Z17&gt;=55,"D+",IF(Z17&gt;=50,"D","F")))))))</f>
      </c>
      <c r="AC17" s="42">
        <v>92</v>
      </c>
      <c r="AD17" s="40">
        <f>IF(AC17&gt;=91, 4.00, IF(AC17&gt;=81, 3.50, IF(AC17&gt;=70, 3.00, IF(AC17&gt;=65, 2.50, IF(AC17&gt;=60, 2.00, IF(AC17&gt;=55, 1.50, IF(AC17&gt;=50, 1.00, 0.00)))))))</f>
      </c>
      <c r="AE17" s="40">
        <f>IF(AC17&gt;=91,"A",IF(AC17&gt;=81,"B+",IF(AC17&gt;=70,"B",IF(AC17&gt;=65,"C+",IF(AC17&gt;=60,"C",IF(AC17&gt;=55,"D+",IF(AC17&gt;=50,"D","F")))))))</f>
      </c>
      <c r="AF17" s="40">
        <v>95</v>
      </c>
      <c r="AG17" s="40">
        <f>IF(AF17&gt;=91, 4.00, IF(AF17&gt;=81, 3.50, IF(AF17&gt;=70, 3.00, IF(AF17&gt;=65, 2.50, IF(AF17&gt;=60, 2.00, IF(AF17&gt;=55, 1.50, IF(AF17&gt;=50, 1.00, 0.00)))))))</f>
      </c>
      <c r="AH17" s="40">
        <f>IF(AF17&gt;=91,"A",IF(AF17&gt;=81,"B+",IF(AF17&gt;=70,"B",IF(AF17&gt;=65,"C+",IF(AF17&gt;=60,"C",IF(AF17&gt;=55,"D+",IF(AF17&gt;=50,"D","F")))))))</f>
      </c>
      <c r="AI17" s="46">
        <v>77</v>
      </c>
      <c r="AJ17" s="40">
        <f>IF(AI17&gt;=91, 4.00, IF(AI17&gt;=81, 3.50, IF(AI17&gt;=70, 3.00, IF(AI17&gt;=65, 2.50, IF(AI17&gt;=60, 2.00, IF(AI17&gt;=55, 1.50, IF(AI17&gt;=50, 1.00, 0.00)))))))</f>
      </c>
      <c r="AK17" s="40">
        <f>IF(AI17&gt;=91,"A",IF(AI17&gt;=81,"B+",IF(AI17&gt;=70,"B",IF(AI17&gt;=65,"C+",IF(AI17&gt;=60,"C",IF(AI17&gt;=55,"D+",IF(AI17&gt;=50,"D","F")))))))</f>
      </c>
      <c r="AL17" s="42">
        <f>ROUND((L17*3+O17*2+R17*1+U17*1+X17*1+AA17*2+AD17*2+AG17*1+AJ17*2)/15, 2)</f>
      </c>
      <c r="AM17" s="40" t="str">
        <f>IF(AL17&gt;90,"4.00",IF(AL17&gt;80,"3.50",IF(AL17&gt;69,"3.00",IF(AL17&gt;64,"2.50",IF(AL17&gt;59,"2.00",IF(AL17&gt;54,"1.50",IF(AL17&gt;49,"1.00","0.00")))))))</f>
        <v>0.00</v>
      </c>
      <c r="AN17" s="40">
        <f>IF(AM17&gt;=91, 4.00, IF(AM17&gt;=81, 3.50, IF(AM17&gt;=70, 3.00, IF(AM17&gt;=65, 2.50, IF(AM17&gt;=60, 2.00, IF(AM17&gt;=55, 1.50, IF(AM17&gt;=50, 1.00, 0.00)))))))</f>
      </c>
      <c r="AO17" s="40">
        <f>IF(AM17&gt;=91,"A",IF(AM17&gt;=81,"B+",IF(AM17&gt;=70,"B",IF(AM17&gt;=65,"C+",IF(AM17&gt;=60,"C",IF(AM17&gt;=55,"D+",IF(AM17&gt;=50,"D","F")))))))</f>
      </c>
      <c r="AP17" s="40" t="str">
        <f>IF(AO17&gt;90,"4.00",IF(AO17&gt;80,"3.50",IF(AO17&gt;69,"3.00",IF(AO17&gt;64,"2.50",IF(AO17&gt;59,"2.00",IF(AO17&gt;54,"1.50",IF(AO17&gt;49,"1.00","0.00")))))))</f>
        <v>0.00</v>
      </c>
      <c r="AQ17" s="40">
        <f>IF(AP17&gt;=91, 4.00, IF(AP17&gt;=81, 3.50, IF(AP17&gt;=70, 3.00, IF(AP17&gt;=65, 2.50, IF(AP17&gt;=60, 2.00, IF(AP17&gt;=55, 1.50, IF(AP17&gt;=50, 1.00, 0.00)))))))</f>
      </c>
      <c r="AR17" s="40">
        <f>IF(AP17&gt;=91,"A",IF(AP17&gt;=81,"B+",IF(AP17&gt;=70,"B",IF(AP17&gt;=65,"C+",IF(AP17&gt;=60,"C",IF(AP17&gt;=55,"D+",IF(AP17&gt;=50,"D","F")))))))</f>
      </c>
      <c r="AS17" s="47">
        <v>87</v>
      </c>
      <c r="AT17" s="40">
        <f>IF(AS17&gt;=91, 4.00, IF(AS17&gt;=81, 3.50, IF(AS17&gt;=70, 3.00, IF(AS17&gt;=65, 2.50, IF(AS17&gt;=60, 2.00, IF(AS17&gt;=55, 1.50, IF(AS17&gt;=50, 1.00, 0.00)))))))</f>
      </c>
      <c r="AU17" s="40">
        <f>IF(AS17&gt;=91,"A",IF(AS17&gt;=81,"B+",IF(AS17&gt;=70,"B",IF(AS17&gt;=65,"C+",IF(AS17&gt;=60,"C",IF(AS17&gt;=55,"D+",IF(AS17&gt;=50,"D","F")))))))</f>
      </c>
      <c r="AV17" s="40" t="s">
        <v>51</v>
      </c>
      <c r="AW17" s="40">
        <f>IF(AV17&gt;=91, 4.00, IF(AV17&gt;=81, 3.50, IF(AV17&gt;=70, 3.00, IF(AV17&gt;=65, 2.50, IF(AV17&gt;=60, 2.00, IF(AV17&gt;=55, 1.50, IF(AV17&gt;=50, 1.00, 0.00)))))))</f>
      </c>
      <c r="AX17" s="40">
        <f>IF(AV17&gt;=91,"A",IF(AV17&gt;=81,"B+",IF(AV17&gt;=70,"B",IF(AV17&gt;=65,"C+",IF(AV17&gt;=60,"C",IF(AV17&gt;=55,"D+",IF(AV17&gt;=50,"D","F")))))))</f>
      </c>
      <c r="AY17" s="40" t="s">
        <v>283</v>
      </c>
      <c r="AZ17" s="40">
        <f>IF(AY17&gt;=91, 4.00, IF(AY17&gt;=81, 3.50, IF(AY17&gt;=70, 3.00, IF(AY17&gt;=65, 2.50, IF(AY17&gt;=60, 2.00, IF(AY17&gt;=55, 1.50, IF(AY17&gt;=50, 1.00, 0.00)))))))</f>
      </c>
      <c r="BA17" s="111">
        <f>IF(AY17&gt;=91,"A",IF(AY17&gt;=81,"B+",IF(AY17&gt;=70,"B",IF(AY17&gt;=65,"C+",IF(AY17&gt;=60,"C",IF(AY17&gt;=55,"D+",IF(AY17&gt;=50,"D","F")))))))</f>
      </c>
      <c r="BB17" s="112">
        <v>75</v>
      </c>
      <c r="BC17" s="48">
        <f>IF(BB17&gt;=91, 4.00, IF(BB17&gt;=81, 3.50, IF(BB17&gt;=70, 3.00, IF(BB17&gt;=65, 2.50, IF(BB17&gt;=60, 2.00, IF(BB17&gt;=55, 1.50, IF(BB17&gt;=50, 1.00, 0.00)))))))</f>
      </c>
      <c r="BD17" s="49">
        <f>IF(BB17&gt;=91,"A",IF(BB17&gt;=81,"B+",IF(BB17&gt;=70,"B",IF(BB17&gt;=65,"C+",IF(BB17&gt;=60,"C",IF(BB17&gt;=55,"D+",IF(BB17&gt;=50,"D","F")))))))</f>
      </c>
      <c r="BE17" s="40" t="str">
        <f>IF(BC17&gt;90,"A",IF(BC17&gt;80,"B+",IF(BC17&gt;69,"B",IF(BC17&gt;64,"C+",IF(BC17&gt;59,"C",IF(BC17&gt;54,"D+",IF(BC17&gt;49,"D",IF(BC17&gt;=0,"F"))))))))</f>
        <v>F</v>
      </c>
      <c r="BF17" s="48">
        <f>IF(BE17&gt;=91, 4.00, IF(BE17&gt;=81, 3.50, IF(BE17&gt;=70, 3.00, IF(BE17&gt;=65, 2.50, IF(BE17&gt;=60, 2.00, IF(BE17&gt;=55, 1.50, IF(BE17&gt;=50, 1.00, 0.00)))))))</f>
      </c>
      <c r="BG17" s="49">
        <f>IF(BE17&gt;=91,"A",IF(BE17&gt;=81,"B+",IF(BE17&gt;=70,"B",IF(BE17&gt;=65,"C+",IF(BE17&gt;=60,"C",IF(BE17&gt;=55,"D+",IF(BE17&gt;=50,"D","F")))))))</f>
      </c>
      <c r="BH17" s="40" t="str">
        <f>IF(BF17&gt;90,"A",IF(BF17&gt;80,"B+",IF(BF17&gt;69,"B",IF(BF17&gt;64,"C+",IF(BF17&gt;59,"C",IF(BF17&gt;54,"D+",IF(BF17&gt;49,"D",IF(BF17&gt;=0,"F"))))))))</f>
        <v>F</v>
      </c>
      <c r="BI17" s="43">
        <f>IF(BH17&gt;=91, 4.00, IF(BH17&gt;=81, 3.50, IF(BH17&gt;=70, 3.00, IF(BH17&gt;=65, 2.50, IF(BH17&gt;=60, 2.00, IF(BH17&gt;=55, 1.50, IF(BH17&gt;=50, 1.00, 0.00)))))))</f>
      </c>
      <c r="BJ17" s="49">
        <f>IF(BH17&gt;=91,"A",IF(BH17&gt;=81,"B+",IF(BH17&gt;=70,"B",IF(BH17&gt;=65,"C+",IF(BH17&gt;=60,"C",IF(BH17&gt;=55,"D+",IF(BH17&gt;=50,"D","F")))))))</f>
      </c>
      <c r="BK17" s="40" t="str">
        <f>IF(BI17&gt;90,"A",IF(BI17&gt;80,"B+",IF(BI17&gt;69,"B",IF(BI17&gt;64,"C+",IF(BI17&gt;59,"C",IF(BI17&gt;54,"D+",IF(BI17&gt;49,"D",IF(BI17&gt;=0,"F"))))))))</f>
        <v>F</v>
      </c>
      <c r="BL17" s="48">
        <f>IF(BK17&gt;=91, 4.00, IF(BK17&gt;=81, 3.50, IF(BK17&gt;=70, 3.00, IF(BK17&gt;=65, 2.50, IF(BK17&gt;=60, 2.00, IF(BK17&gt;=55, 1.50, IF(BK17&gt;=50, 1.00, 0.00)))))))</f>
      </c>
      <c r="BM17" s="49">
        <f>IF(BK17&gt;=91,"A",IF(BK17&gt;=81,"B+",IF(BK17&gt;=70,"B",IF(BK17&gt;=65,"C+",IF(BK17&gt;=60,"C",IF(BK17&gt;=55,"D+",IF(BK17&gt;=50,"D","F")))))))</f>
      </c>
      <c r="BN17" s="40">
        <f>ROUND((AN17*3+AQ17*2+AT17*1+AW17*1+AZ17*1+BC17*2+BF17*2+BI17*1+BL17*2)/15, 2)</f>
      </c>
      <c r="BO17" s="43"/>
      <c r="BP17" s="49" t="str">
        <f>IF(BO17&gt;90,"4.00",IF(BO17&gt;80,"3.50",IF(BO17&gt;69,"3.00",IF(BO17&gt;64,"2.50",IF(BO17&gt;59,"2.00",IF(BO17&gt;54,"1.50",IF(BO17&gt;49,"1.00","0.00")))))))</f>
        <v>0.00</v>
      </c>
      <c r="BQ17" s="40" t="str">
        <f>IF(BO17&gt;90,"A",IF(BO17&gt;80,"B+",IF(BO17&gt;69,"B",IF(BO17&gt;64,"C+",IF(BO17&gt;59,"C",IF(BO17&gt;54,"D+",IF(BO17&gt;49,"D",IF(BO17&gt;=0,"F"))))))))</f>
        <v>F</v>
      </c>
      <c r="BR17" s="43"/>
      <c r="BS17" s="49" t="str">
        <f>IF(BR17&gt;90,"4.00",IF(BR17&gt;80,"3.50",IF(BR17&gt;69,"3.00",IF(BR17&gt;64,"2.50",IF(BR17&gt;59,"2.00",IF(BR17&gt;54,"1.50",IF(BR17&gt;49,"1.00","0.00")))))))</f>
        <v>0.00</v>
      </c>
      <c r="BT17" s="40" t="str">
        <f>IF(BR17&gt;90,"A",IF(BR17&gt;80,"B+",IF(BR17&gt;69,"B",IF(BR17&gt;64,"C+",IF(BR17&gt;59,"C",IF(BR17&gt;54,"D+",IF(BR17&gt;49,"D",IF(BR17&gt;=0,"F"))))))))</f>
        <v>F</v>
      </c>
      <c r="BU17" s="49"/>
      <c r="BV17" s="49" t="str">
        <f>IF(BU17&gt;90,"4.00",IF(BU17&gt;80,"3.50",IF(BU17&gt;69,"3.00",IF(BU17&gt;64,"2.50",IF(BU17&gt;59,"2.00",IF(BU17&gt;54,"1.50",IF(BU17&gt;49,"1.00","0.00")))))))</f>
        <v>0.00</v>
      </c>
      <c r="BW17" s="40" t="str">
        <f>IF(BU17&gt;90,"A",IF(BU17&gt;80,"B+",IF(BU17&gt;69,"B",IF(BU17&gt;64,"C+",IF(BU17&gt;59,"C",IF(BU17&gt;54,"D+",IF(BU17&gt;49,"D",IF(BU17&gt;=0,"F"))))))))</f>
        <v>F</v>
      </c>
      <c r="BX17" s="49"/>
      <c r="BY17" s="49" t="str">
        <f>IF(BX17&gt;90,"4.00",IF(BX17&gt;80,"3.50",IF(BX17&gt;69,"3.00",IF(BX17&gt;64,"2.50",IF(BX17&gt;59,"2.00",IF(BX17&gt;54,"1.50",IF(BX17&gt;49,"1.00","0.00")))))))</f>
        <v>0.00</v>
      </c>
      <c r="BZ17" s="40" t="str">
        <f>IF(BX17&gt;90,"A",IF(BX17&gt;80,"B+",IF(BX17&gt;69,"B",IF(BX17&gt;64,"C+",IF(BX17&gt;59,"C",IF(BX17&gt;54,"D+",IF(BX17&gt;49,"D",IF(BX17&gt;=0,"F"))))))))</f>
        <v>F</v>
      </c>
      <c r="CA17" s="49"/>
      <c r="CB17" s="49" t="str">
        <f>IF(CA17&gt;90,"4.00",IF(CA17&gt;80,"3.50",IF(CA17&gt;69,"3.00",IF(CA17&gt;64,"2.50",IF(CA17&gt;59,"2.00",IF(CA17&gt;54,"1.50",IF(CA17&gt;49,"1.00","0.00")))))))</f>
        <v>0.00</v>
      </c>
      <c r="CC17" s="40" t="str">
        <f>IF(CA17&gt;90,"A",IF(CA17&gt;80,"B+",IF(CA17&gt;69,"B",IF(CA17&gt;64,"C+",IF(CA17&gt;59,"C",IF(CA17&gt;54,"D+",IF(CA17&gt;49,"D",IF(CA17&gt;=0,"F"))))))))</f>
        <v>F</v>
      </c>
      <c r="CD17" s="50">
        <f>(BD17*3+BG17*2+BJ17*1+BM17*2+BP17*1+BS17*1+BV17*2+BY17*2+CB17*2)/(3+2+1+2+1+1+2+2+2)</f>
        <v>0</v>
      </c>
      <c r="CE17" s="50">
        <f>(AR17+CD17)/2</f>
        <v>0</v>
      </c>
      <c r="CF17" s="51">
        <f>RANK(CE17,$CE$7:CE46)</f>
        <v>1</v>
      </c>
      <c r="CG17" s="58"/>
      <c r="CH17" s="52"/>
      <c r="CI17" s="52"/>
      <c r="CJ17" s="52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</row>
    <row r="18" ht="20" customHeight="1" spans="1:199" s="39" customFormat="1" x14ac:dyDescent="0.25">
      <c r="A18" s="40">
        <v>12</v>
      </c>
      <c r="B18" s="40" t="s">
        <v>285</v>
      </c>
      <c r="C18" s="40" t="s">
        <v>43</v>
      </c>
      <c r="D18" s="40" t="s">
        <v>111</v>
      </c>
      <c r="E18" s="40" t="s">
        <v>112</v>
      </c>
      <c r="F18" s="40" t="s">
        <v>286</v>
      </c>
      <c r="G18" s="40" t="s">
        <v>114</v>
      </c>
      <c r="H18" s="111"/>
      <c r="I18" s="112"/>
      <c r="J18" s="40">
        <v>1</v>
      </c>
      <c r="K18" s="42">
        <v>77</v>
      </c>
      <c r="L18" s="40">
        <f>IF(K18&gt;=91, 4.00, IF(K18&gt;=81, 3.50, IF(K18&gt;=70, 3.00, IF(K18&gt;=65, 2.50, IF(K18&gt;=60, 2.00, IF(K18&gt;=55, 1.50, IF(K18&gt;=50, 1.00, 0.00)))))))</f>
      </c>
      <c r="M18" s="40">
        <f>IF(K18&gt;=91,"A",IF(K18&gt;=81,"B+",IF(K18&gt;=70,"B",IF(K18&gt;=65,"C+",IF(K18&gt;=60,"C",IF(K18&gt;=55,"D+",IF(K18&gt;=50,"D","F")))))))</f>
      </c>
      <c r="N18" s="42">
        <v>80</v>
      </c>
      <c r="O18" s="40">
        <f>IF(N18&gt;=91, 4.00, IF(N18&gt;=81, 3.50, IF(N18&gt;=70, 3.00, IF(N18&gt;=65, 2.50, IF(N18&gt;=60, 2.00, IF(N18&gt;=55, 1.50, IF(N18&gt;=50, 1.00, 0.00)))))))</f>
      </c>
      <c r="P18" s="40">
        <f>IF(N18&gt;=91,"A",IF(N18&gt;=81,"B+",IF(N18&gt;=70,"B",IF(N18&gt;=65,"C+",IF(N18&gt;=60,"C",IF(N18&gt;=55,"D+",IF(N18&gt;=50,"D","F")))))))</f>
      </c>
      <c r="Q18" s="42">
        <v>83</v>
      </c>
      <c r="R18" s="40">
        <f>IF(Q18&gt;=91, 4.00, IF(Q18&gt;=81, 3.50, IF(Q18&gt;=70, 3.00, IF(Q18&gt;=65, 2.50, IF(Q18&gt;=60, 2.00, IF(Q18&gt;=55, 1.50, IF(Q18&gt;=50, 1.00, 0.00)))))))</f>
      </c>
      <c r="S18" s="40">
        <f>IF(Q18&gt;=91,"A",IF(Q18&gt;=81,"B+",IF(Q18&gt;=70,"B",IF(Q18&gt;=65,"C+",IF(Q18&gt;=60,"C",IF(Q18&gt;=55,"D+",IF(Q18&gt;=50,"D","F")))))))</f>
      </c>
      <c r="T18" s="42">
        <v>86</v>
      </c>
      <c r="U18" s="40">
        <f>IF(T18&gt;=91, 4.00, IF(T18&gt;=81, 3.50, IF(T18&gt;=70, 3.00, IF(T18&gt;=65, 2.50, IF(T18&gt;=60, 2.00, IF(T18&gt;=55, 1.50, IF(T18&gt;=50, 1.00, 0.00)))))))</f>
      </c>
      <c r="V18" s="40">
        <f>IF(T18&gt;=91,"A",IF(T18&gt;=81,"B+",IF(T18&gt;=70,"B",IF(T18&gt;=65,"C+",IF(T18&gt;=60,"C",IF(T18&gt;=55,"D+",IF(T18&gt;=50,"D","F")))))))</f>
      </c>
      <c r="W18" s="42">
        <v>89</v>
      </c>
      <c r="X18" s="40">
        <f>IF(W18&gt;=91, 4.00, IF(W18&gt;=81, 3.50, IF(W18&gt;=70, 3.00, IF(W18&gt;=65, 2.50, IF(W18&gt;=60, 2.00, IF(W18&gt;=55, 1.50, IF(W18&gt;=50, 1.00, 0.00)))))))</f>
      </c>
      <c r="Y18" s="40">
        <f>IF(W18&gt;=91,"A",IF(W18&gt;=81,"B+",IF(W18&gt;=70,"B",IF(W18&gt;=65,"C+",IF(W18&gt;=60,"C",IF(W18&gt;=55,"D+",IF(W18&gt;=50,"D","F")))))))</f>
      </c>
      <c r="Z18" s="46">
        <v>92</v>
      </c>
      <c r="AA18" s="40">
        <f>IF(Z18&gt;=91, 4.00, IF(Z18&gt;=81, 3.50, IF(Z18&gt;=70, 3.00, IF(Z18&gt;=65, 2.50, IF(Z18&gt;=60, 2.00, IF(Z18&gt;=55, 1.50, IF(Z18&gt;=50, 1.00, 0.00)))))))</f>
      </c>
      <c r="AB18" s="40">
        <f>IF(Z18&gt;=91,"A",IF(Z18&gt;=81,"B+",IF(Z18&gt;=70,"B",IF(Z18&gt;=65,"C+",IF(Z18&gt;=60,"C",IF(Z18&gt;=55,"D+",IF(Z18&gt;=50,"D","F")))))))</f>
      </c>
      <c r="AC18" s="42">
        <v>95</v>
      </c>
      <c r="AD18" s="40">
        <f>IF(AC18&gt;=91, 4.00, IF(AC18&gt;=81, 3.50, IF(AC18&gt;=70, 3.00, IF(AC18&gt;=65, 2.50, IF(AC18&gt;=60, 2.00, IF(AC18&gt;=55, 1.50, IF(AC18&gt;=50, 1.00, 0.00)))))))</f>
      </c>
      <c r="AE18" s="40">
        <f>IF(AC18&gt;=91,"A",IF(AC18&gt;=81,"B+",IF(AC18&gt;=70,"B",IF(AC18&gt;=65,"C+",IF(AC18&gt;=60,"C",IF(AC18&gt;=55,"D+",IF(AC18&gt;=50,"D","F")))))))</f>
      </c>
      <c r="AF18" s="40">
        <v>77</v>
      </c>
      <c r="AG18" s="40">
        <f>IF(AF18&gt;=91, 4.00, IF(AF18&gt;=81, 3.50, IF(AF18&gt;=70, 3.00, IF(AF18&gt;=65, 2.50, IF(AF18&gt;=60, 2.00, IF(AF18&gt;=55, 1.50, IF(AF18&gt;=50, 1.00, 0.00)))))))</f>
      </c>
      <c r="AH18" s="40">
        <f>IF(AF18&gt;=91,"A",IF(AF18&gt;=81,"B+",IF(AF18&gt;=70,"B",IF(AF18&gt;=65,"C+",IF(AF18&gt;=60,"C",IF(AF18&gt;=55,"D+",IF(AF18&gt;=50,"D","F")))))))</f>
      </c>
      <c r="AI18" s="46">
        <v>80</v>
      </c>
      <c r="AJ18" s="40">
        <f>IF(AI18&gt;=91, 4.00, IF(AI18&gt;=81, 3.50, IF(AI18&gt;=70, 3.00, IF(AI18&gt;=65, 2.50, IF(AI18&gt;=60, 2.00, IF(AI18&gt;=55, 1.50, IF(AI18&gt;=50, 1.00, 0.00)))))))</f>
      </c>
      <c r="AK18" s="40">
        <f>IF(AI18&gt;=91,"A",IF(AI18&gt;=81,"B+",IF(AI18&gt;=70,"B",IF(AI18&gt;=65,"C+",IF(AI18&gt;=60,"C",IF(AI18&gt;=55,"D+",IF(AI18&gt;=50,"D","F")))))))</f>
      </c>
      <c r="AL18" s="42">
        <f>ROUND((L18*3+O18*2+R18*1+U18*1+X18*1+AA18*2+AD18*2+AG18*1+AJ18*2)/15, 2)</f>
      </c>
      <c r="AM18" s="40" t="str">
        <f>IF(AL18&gt;90,"4.00",IF(AL18&gt;80,"3.50",IF(AL18&gt;69,"3.00",IF(AL18&gt;64,"2.50",IF(AL18&gt;59,"2.00",IF(AL18&gt;54,"1.50",IF(AL18&gt;49,"1.00","0.00")))))))</f>
        <v>0.00</v>
      </c>
      <c r="AN18" s="40">
        <f>IF(AM18&gt;=91, 4.00, IF(AM18&gt;=81, 3.50, IF(AM18&gt;=70, 3.00, IF(AM18&gt;=65, 2.50, IF(AM18&gt;=60, 2.00, IF(AM18&gt;=55, 1.50, IF(AM18&gt;=50, 1.00, 0.00)))))))</f>
      </c>
      <c r="AO18" s="40">
        <f>IF(AM18&gt;=91,"A",IF(AM18&gt;=81,"B+",IF(AM18&gt;=70,"B",IF(AM18&gt;=65,"C+",IF(AM18&gt;=60,"C",IF(AM18&gt;=55,"D+",IF(AM18&gt;=50,"D","F")))))))</f>
      </c>
      <c r="AP18" s="40" t="str">
        <f>IF(AO18&gt;90,"4.00",IF(AO18&gt;80,"3.50",IF(AO18&gt;69,"3.00",IF(AO18&gt;64,"2.50",IF(AO18&gt;59,"2.00",IF(AO18&gt;54,"1.50",IF(AO18&gt;49,"1.00","0.00")))))))</f>
        <v>0.00</v>
      </c>
      <c r="AQ18" s="40">
        <f>IF(AP18&gt;=91, 4.00, IF(AP18&gt;=81, 3.50, IF(AP18&gt;=70, 3.00, IF(AP18&gt;=65, 2.50, IF(AP18&gt;=60, 2.00, IF(AP18&gt;=55, 1.50, IF(AP18&gt;=50, 1.00, 0.00)))))))</f>
      </c>
      <c r="AR18" s="40">
        <f>IF(AP18&gt;=91,"A",IF(AP18&gt;=81,"B+",IF(AP18&gt;=70,"B",IF(AP18&gt;=65,"C+",IF(AP18&gt;=60,"C",IF(AP18&gt;=55,"D+",IF(AP18&gt;=50,"D","F")))))))</f>
      </c>
      <c r="AS18" s="47">
        <v>90</v>
      </c>
      <c r="AT18" s="40">
        <f>IF(AS18&gt;=91, 4.00, IF(AS18&gt;=81, 3.50, IF(AS18&gt;=70, 3.00, IF(AS18&gt;=65, 2.50, IF(AS18&gt;=60, 2.00, IF(AS18&gt;=55, 1.50, IF(AS18&gt;=50, 1.00, 0.00)))))))</f>
      </c>
      <c r="AU18" s="40">
        <f>IF(AS18&gt;=91,"A",IF(AS18&gt;=81,"B+",IF(AS18&gt;=70,"B",IF(AS18&gt;=65,"C+",IF(AS18&gt;=60,"C",IF(AS18&gt;=55,"D+",IF(AS18&gt;=50,"D","F")))))))</f>
      </c>
      <c r="AV18" s="40" t="s">
        <v>43</v>
      </c>
      <c r="AW18" s="40">
        <f>IF(AV18&gt;=91, 4.00, IF(AV18&gt;=81, 3.50, IF(AV18&gt;=70, 3.00, IF(AV18&gt;=65, 2.50, IF(AV18&gt;=60, 2.00, IF(AV18&gt;=55, 1.50, IF(AV18&gt;=50, 1.00, 0.00)))))))</f>
      </c>
      <c r="AX18" s="40">
        <f>IF(AV18&gt;=91,"A",IF(AV18&gt;=81,"B+",IF(AV18&gt;=70,"B",IF(AV18&gt;=65,"C+",IF(AV18&gt;=60,"C",IF(AV18&gt;=55,"D+",IF(AV18&gt;=50,"D","F")))))))</f>
      </c>
      <c r="AY18" s="40" t="s">
        <v>286</v>
      </c>
      <c r="AZ18" s="40">
        <f>IF(AY18&gt;=91, 4.00, IF(AY18&gt;=81, 3.50, IF(AY18&gt;=70, 3.00, IF(AY18&gt;=65, 2.50, IF(AY18&gt;=60, 2.00, IF(AY18&gt;=55, 1.50, IF(AY18&gt;=50, 1.00, 0.00)))))))</f>
      </c>
      <c r="BA18" s="111">
        <f>IF(AY18&gt;=91,"A",IF(AY18&gt;=81,"B+",IF(AY18&gt;=70,"B",IF(AY18&gt;=65,"C+",IF(AY18&gt;=60,"C",IF(AY18&gt;=55,"D+",IF(AY18&gt;=50,"D","F")))))))</f>
      </c>
      <c r="BB18" s="112">
        <v>78</v>
      </c>
      <c r="BC18" s="48">
        <f>IF(BB18&gt;=91, 4.00, IF(BB18&gt;=81, 3.50, IF(BB18&gt;=70, 3.00, IF(BB18&gt;=65, 2.50, IF(BB18&gt;=60, 2.00, IF(BB18&gt;=55, 1.50, IF(BB18&gt;=50, 1.00, 0.00)))))))</f>
      </c>
      <c r="BD18" s="49">
        <f>IF(BB18&gt;=91,"A",IF(BB18&gt;=81,"B+",IF(BB18&gt;=70,"B",IF(BB18&gt;=65,"C+",IF(BB18&gt;=60,"C",IF(BB18&gt;=55,"D+",IF(BB18&gt;=50,"D","F")))))))</f>
      </c>
      <c r="BE18" s="40" t="str">
        <f>IF(BC18&gt;90,"A",IF(BC18&gt;80,"B+",IF(BC18&gt;69,"B",IF(BC18&gt;64,"C+",IF(BC18&gt;59,"C",IF(BC18&gt;54,"D+",IF(BC18&gt;49,"D",IF(BC18&gt;=0,"F"))))))))</f>
        <v>F</v>
      </c>
      <c r="BF18" s="48">
        <f>IF(BE18&gt;=91, 4.00, IF(BE18&gt;=81, 3.50, IF(BE18&gt;=70, 3.00, IF(BE18&gt;=65, 2.50, IF(BE18&gt;=60, 2.00, IF(BE18&gt;=55, 1.50, IF(BE18&gt;=50, 1.00, 0.00)))))))</f>
      </c>
      <c r="BG18" s="49">
        <f>IF(BE18&gt;=91,"A",IF(BE18&gt;=81,"B+",IF(BE18&gt;=70,"B",IF(BE18&gt;=65,"C+",IF(BE18&gt;=60,"C",IF(BE18&gt;=55,"D+",IF(BE18&gt;=50,"D","F")))))))</f>
      </c>
      <c r="BH18" s="40" t="str">
        <f>IF(BF18&gt;90,"A",IF(BF18&gt;80,"B+",IF(BF18&gt;69,"B",IF(BF18&gt;64,"C+",IF(BF18&gt;59,"C",IF(BF18&gt;54,"D+",IF(BF18&gt;49,"D",IF(BF18&gt;=0,"F"))))))))</f>
        <v>F</v>
      </c>
      <c r="BI18" s="43">
        <f>IF(BH18&gt;=91, 4.00, IF(BH18&gt;=81, 3.50, IF(BH18&gt;=70, 3.00, IF(BH18&gt;=65, 2.50, IF(BH18&gt;=60, 2.00, IF(BH18&gt;=55, 1.50, IF(BH18&gt;=50, 1.00, 0.00)))))))</f>
      </c>
      <c r="BJ18" s="49">
        <f>IF(BH18&gt;=91,"A",IF(BH18&gt;=81,"B+",IF(BH18&gt;=70,"B",IF(BH18&gt;=65,"C+",IF(BH18&gt;=60,"C",IF(BH18&gt;=55,"D+",IF(BH18&gt;=50,"D","F")))))))</f>
      </c>
      <c r="BK18" s="40" t="str">
        <f>IF(BI18&gt;90,"A",IF(BI18&gt;80,"B+",IF(BI18&gt;69,"B",IF(BI18&gt;64,"C+",IF(BI18&gt;59,"C",IF(BI18&gt;54,"D+",IF(BI18&gt;49,"D",IF(BI18&gt;=0,"F"))))))))</f>
        <v>F</v>
      </c>
      <c r="BL18" s="48">
        <f>IF(BK18&gt;=91, 4.00, IF(BK18&gt;=81, 3.50, IF(BK18&gt;=70, 3.00, IF(BK18&gt;=65, 2.50, IF(BK18&gt;=60, 2.00, IF(BK18&gt;=55, 1.50, IF(BK18&gt;=50, 1.00, 0.00)))))))</f>
      </c>
      <c r="BM18" s="49">
        <f>IF(BK18&gt;=91,"A",IF(BK18&gt;=81,"B+",IF(BK18&gt;=70,"B",IF(BK18&gt;=65,"C+",IF(BK18&gt;=60,"C",IF(BK18&gt;=55,"D+",IF(BK18&gt;=50,"D","F")))))))</f>
      </c>
      <c r="BN18" s="40">
        <f>ROUND((AN18*3+AQ18*2+AT18*1+AW18*1+AZ18*1+BC18*2+BF18*2+BI18*1+BL18*2)/15, 2)</f>
      </c>
      <c r="BO18" s="43"/>
      <c r="BP18" s="49" t="str">
        <f>IF(BO18&gt;90,"4.00",IF(BO18&gt;80,"3.50",IF(BO18&gt;69,"3.00",IF(BO18&gt;64,"2.50",IF(BO18&gt;59,"2.00",IF(BO18&gt;54,"1.50",IF(BO18&gt;49,"1.00","0.00")))))))</f>
        <v>0.00</v>
      </c>
      <c r="BQ18" s="40" t="str">
        <f>IF(BO18&gt;90,"A",IF(BO18&gt;80,"B+",IF(BO18&gt;69,"B",IF(BO18&gt;64,"C+",IF(BO18&gt;59,"C",IF(BO18&gt;54,"D+",IF(BO18&gt;49,"D",IF(BO18&gt;=0,"F"))))))))</f>
        <v>F</v>
      </c>
      <c r="BR18" s="43"/>
      <c r="BS18" s="49" t="str">
        <f>IF(BR18&gt;90,"4.00",IF(BR18&gt;80,"3.50",IF(BR18&gt;69,"3.00",IF(BR18&gt;64,"2.50",IF(BR18&gt;59,"2.00",IF(BR18&gt;54,"1.50",IF(BR18&gt;49,"1.00","0.00")))))))</f>
        <v>0.00</v>
      </c>
      <c r="BT18" s="40" t="str">
        <f>IF(BR18&gt;90,"A",IF(BR18&gt;80,"B+",IF(BR18&gt;69,"B",IF(BR18&gt;64,"C+",IF(BR18&gt;59,"C",IF(BR18&gt;54,"D+",IF(BR18&gt;49,"D",IF(BR18&gt;=0,"F"))))))))</f>
        <v>F</v>
      </c>
      <c r="BU18" s="49"/>
      <c r="BV18" s="49" t="str">
        <f>IF(BU18&gt;90,"4.00",IF(BU18&gt;80,"3.50",IF(BU18&gt;69,"3.00",IF(BU18&gt;64,"2.50",IF(BU18&gt;59,"2.00",IF(BU18&gt;54,"1.50",IF(BU18&gt;49,"1.00","0.00")))))))</f>
        <v>0.00</v>
      </c>
      <c r="BW18" s="40" t="str">
        <f>IF(BU18&gt;90,"A",IF(BU18&gt;80,"B+",IF(BU18&gt;69,"B",IF(BU18&gt;64,"C+",IF(BU18&gt;59,"C",IF(BU18&gt;54,"D+",IF(BU18&gt;49,"D",IF(BU18&gt;=0,"F"))))))))</f>
        <v>F</v>
      </c>
      <c r="BX18" s="49"/>
      <c r="BY18" s="49" t="str">
        <f>IF(BX18&gt;90,"4.00",IF(BX18&gt;80,"3.50",IF(BX18&gt;69,"3.00",IF(BX18&gt;64,"2.50",IF(BX18&gt;59,"2.00",IF(BX18&gt;54,"1.50",IF(BX18&gt;49,"1.00","0.00")))))))</f>
        <v>0.00</v>
      </c>
      <c r="BZ18" s="40" t="str">
        <f>IF(BX18&gt;90,"A",IF(BX18&gt;80,"B+",IF(BX18&gt;69,"B",IF(BX18&gt;64,"C+",IF(BX18&gt;59,"C",IF(BX18&gt;54,"D+",IF(BX18&gt;49,"D",IF(BX18&gt;=0,"F"))))))))</f>
        <v>F</v>
      </c>
      <c r="CA18" s="49"/>
      <c r="CB18" s="49" t="str">
        <f>IF(CA18&gt;90,"4.00",IF(CA18&gt;80,"3.50",IF(CA18&gt;69,"3.00",IF(CA18&gt;64,"2.50",IF(CA18&gt;59,"2.00",IF(CA18&gt;54,"1.50",IF(CA18&gt;49,"1.00","0.00")))))))</f>
        <v>0.00</v>
      </c>
      <c r="CC18" s="40" t="str">
        <f>IF(CA18&gt;90,"A",IF(CA18&gt;80,"B+",IF(CA18&gt;69,"B",IF(CA18&gt;64,"C+",IF(CA18&gt;59,"C",IF(CA18&gt;54,"D+",IF(CA18&gt;49,"D",IF(CA18&gt;=0,"F"))))))))</f>
        <v>F</v>
      </c>
      <c r="CD18" s="50">
        <f>(BD18*3+BG18*2+BJ18*1+BM18*2+BP18*1+BS18*1+BV18*2+BY18*2+CB18*2)/(3+2+1+2+1+1+2+2+2)</f>
        <v>0</v>
      </c>
      <c r="CE18" s="50">
        <f>(AR18+CD18)/2</f>
        <v>0</v>
      </c>
      <c r="CF18" s="51">
        <f>RANK(CE18,$CE$7:CE47)</f>
        <v>1</v>
      </c>
      <c r="CG18" s="40"/>
      <c r="CH18" s="52"/>
      <c r="CI18" s="52"/>
      <c r="CJ18" s="52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</row>
    <row r="19" ht="20" customHeight="1" spans="1:199" s="39" customFormat="1" x14ac:dyDescent="0.25">
      <c r="A19" s="40">
        <v>13</v>
      </c>
      <c r="B19" s="40" t="s">
        <v>287</v>
      </c>
      <c r="C19" s="40" t="s">
        <v>43</v>
      </c>
      <c r="D19" s="40" t="s">
        <v>118</v>
      </c>
      <c r="E19" s="40" t="s">
        <v>119</v>
      </c>
      <c r="F19" s="40" t="s">
        <v>288</v>
      </c>
      <c r="G19" s="40" t="s">
        <v>121</v>
      </c>
      <c r="H19" s="111"/>
      <c r="I19" s="112"/>
      <c r="J19" s="40">
        <v>1</v>
      </c>
      <c r="K19" s="42">
        <v>80</v>
      </c>
      <c r="L19" s="40">
        <f>IF(K19&gt;=91, 4.00, IF(K19&gt;=81, 3.50, IF(K19&gt;=70, 3.00, IF(K19&gt;=65, 2.50, IF(K19&gt;=60, 2.00, IF(K19&gt;=55, 1.50, IF(K19&gt;=50, 1.00, 0.00)))))))</f>
      </c>
      <c r="M19" s="40">
        <f>IF(K19&gt;=91,"A",IF(K19&gt;=81,"B+",IF(K19&gt;=70,"B",IF(K19&gt;=65,"C+",IF(K19&gt;=60,"C",IF(K19&gt;=55,"D+",IF(K19&gt;=50,"D","F")))))))</f>
      </c>
      <c r="N19" s="42">
        <v>83</v>
      </c>
      <c r="O19" s="40">
        <f>IF(N19&gt;=91, 4.00, IF(N19&gt;=81, 3.50, IF(N19&gt;=70, 3.00, IF(N19&gt;=65, 2.50, IF(N19&gt;=60, 2.00, IF(N19&gt;=55, 1.50, IF(N19&gt;=50, 1.00, 0.00)))))))</f>
      </c>
      <c r="P19" s="40">
        <f>IF(N19&gt;=91,"A",IF(N19&gt;=81,"B+",IF(N19&gt;=70,"B",IF(N19&gt;=65,"C+",IF(N19&gt;=60,"C",IF(N19&gt;=55,"D+",IF(N19&gt;=50,"D","F")))))))</f>
      </c>
      <c r="Q19" s="42">
        <v>86</v>
      </c>
      <c r="R19" s="40">
        <f>IF(Q19&gt;=91, 4.00, IF(Q19&gt;=81, 3.50, IF(Q19&gt;=70, 3.00, IF(Q19&gt;=65, 2.50, IF(Q19&gt;=60, 2.00, IF(Q19&gt;=55, 1.50, IF(Q19&gt;=50, 1.00, 0.00)))))))</f>
      </c>
      <c r="S19" s="40">
        <f>IF(Q19&gt;=91,"A",IF(Q19&gt;=81,"B+",IF(Q19&gt;=70,"B",IF(Q19&gt;=65,"C+",IF(Q19&gt;=60,"C",IF(Q19&gt;=55,"D+",IF(Q19&gt;=50,"D","F")))))))</f>
      </c>
      <c r="T19" s="42">
        <v>89</v>
      </c>
      <c r="U19" s="40">
        <f>IF(T19&gt;=91, 4.00, IF(T19&gt;=81, 3.50, IF(T19&gt;=70, 3.00, IF(T19&gt;=65, 2.50, IF(T19&gt;=60, 2.00, IF(T19&gt;=55, 1.50, IF(T19&gt;=50, 1.00, 0.00)))))))</f>
      </c>
      <c r="V19" s="40">
        <f>IF(T19&gt;=91,"A",IF(T19&gt;=81,"B+",IF(T19&gt;=70,"B",IF(T19&gt;=65,"C+",IF(T19&gt;=60,"C",IF(T19&gt;=55,"D+",IF(T19&gt;=50,"D","F")))))))</f>
      </c>
      <c r="W19" s="42">
        <v>92</v>
      </c>
      <c r="X19" s="40">
        <f>IF(W19&gt;=91, 4.00, IF(W19&gt;=81, 3.50, IF(W19&gt;=70, 3.00, IF(W19&gt;=65, 2.50, IF(W19&gt;=60, 2.00, IF(W19&gt;=55, 1.50, IF(W19&gt;=50, 1.00, 0.00)))))))</f>
      </c>
      <c r="Y19" s="40">
        <f>IF(W19&gt;=91,"A",IF(W19&gt;=81,"B+",IF(W19&gt;=70,"B",IF(W19&gt;=65,"C+",IF(W19&gt;=60,"C",IF(W19&gt;=55,"D+",IF(W19&gt;=50,"D","F")))))))</f>
      </c>
      <c r="Z19" s="46">
        <v>95</v>
      </c>
      <c r="AA19" s="40">
        <f>IF(Z19&gt;=91, 4.00, IF(Z19&gt;=81, 3.50, IF(Z19&gt;=70, 3.00, IF(Z19&gt;=65, 2.50, IF(Z19&gt;=60, 2.00, IF(Z19&gt;=55, 1.50, IF(Z19&gt;=50, 1.00, 0.00)))))))</f>
      </c>
      <c r="AB19" s="40">
        <f>IF(Z19&gt;=91,"A",IF(Z19&gt;=81,"B+",IF(Z19&gt;=70,"B",IF(Z19&gt;=65,"C+",IF(Z19&gt;=60,"C",IF(Z19&gt;=55,"D+",IF(Z19&gt;=50,"D","F")))))))</f>
      </c>
      <c r="AC19" s="42">
        <v>77</v>
      </c>
      <c r="AD19" s="40">
        <f>IF(AC19&gt;=91, 4.00, IF(AC19&gt;=81, 3.50, IF(AC19&gt;=70, 3.00, IF(AC19&gt;=65, 2.50, IF(AC19&gt;=60, 2.00, IF(AC19&gt;=55, 1.50, IF(AC19&gt;=50, 1.00, 0.00)))))))</f>
      </c>
      <c r="AE19" s="40">
        <f>IF(AC19&gt;=91,"A",IF(AC19&gt;=81,"B+",IF(AC19&gt;=70,"B",IF(AC19&gt;=65,"C+",IF(AC19&gt;=60,"C",IF(AC19&gt;=55,"D+",IF(AC19&gt;=50,"D","F")))))))</f>
      </c>
      <c r="AF19" s="40">
        <v>80</v>
      </c>
      <c r="AG19" s="40">
        <f>IF(AF19&gt;=91, 4.00, IF(AF19&gt;=81, 3.50, IF(AF19&gt;=70, 3.00, IF(AF19&gt;=65, 2.50, IF(AF19&gt;=60, 2.00, IF(AF19&gt;=55, 1.50, IF(AF19&gt;=50, 1.00, 0.00)))))))</f>
      </c>
      <c r="AH19" s="40">
        <f>IF(AF19&gt;=91,"A",IF(AF19&gt;=81,"B+",IF(AF19&gt;=70,"B",IF(AF19&gt;=65,"C+",IF(AF19&gt;=60,"C",IF(AF19&gt;=55,"D+",IF(AF19&gt;=50,"D","F")))))))</f>
      </c>
      <c r="AI19" s="46">
        <v>83</v>
      </c>
      <c r="AJ19" s="40">
        <f>IF(AI19&gt;=91, 4.00, IF(AI19&gt;=81, 3.50, IF(AI19&gt;=70, 3.00, IF(AI19&gt;=65, 2.50, IF(AI19&gt;=60, 2.00, IF(AI19&gt;=55, 1.50, IF(AI19&gt;=50, 1.00, 0.00)))))))</f>
      </c>
      <c r="AK19" s="40">
        <f>IF(AI19&gt;=91,"A",IF(AI19&gt;=81,"B+",IF(AI19&gt;=70,"B",IF(AI19&gt;=65,"C+",IF(AI19&gt;=60,"C",IF(AI19&gt;=55,"D+",IF(AI19&gt;=50,"D","F")))))))</f>
      </c>
      <c r="AL19" s="42">
        <f>ROUND((L19*3+O19*2+R19*1+U19*1+X19*1+AA19*2+AD19*2+AG19*1+AJ19*2)/15, 2)</f>
      </c>
      <c r="AM19" s="40" t="str">
        <f>IF(AL19&gt;90,"4.00",IF(AL19&gt;80,"3.50",IF(AL19&gt;69,"3.00",IF(AL19&gt;64,"2.50",IF(AL19&gt;59,"2.00",IF(AL19&gt;54,"1.50",IF(AL19&gt;49,"1.00","0.00")))))))</f>
        <v>0.00</v>
      </c>
      <c r="AN19" s="40">
        <f>IF(AM19&gt;=91, 4.00, IF(AM19&gt;=81, 3.50, IF(AM19&gt;=70, 3.00, IF(AM19&gt;=65, 2.50, IF(AM19&gt;=60, 2.00, IF(AM19&gt;=55, 1.50, IF(AM19&gt;=50, 1.00, 0.00)))))))</f>
      </c>
      <c r="AO19" s="40">
        <f>IF(AM19&gt;=91,"A",IF(AM19&gt;=81,"B+",IF(AM19&gt;=70,"B",IF(AM19&gt;=65,"C+",IF(AM19&gt;=60,"C",IF(AM19&gt;=55,"D+",IF(AM19&gt;=50,"D","F")))))))</f>
      </c>
      <c r="AP19" s="40" t="str">
        <f>IF(AO19&gt;90,"4.00",IF(AO19&gt;80,"3.50",IF(AO19&gt;69,"3.00",IF(AO19&gt;64,"2.50",IF(AO19&gt;59,"2.00",IF(AO19&gt;54,"1.50",IF(AO19&gt;49,"1.00","0.00")))))))</f>
        <v>0.00</v>
      </c>
      <c r="AQ19" s="40">
        <f>IF(AP19&gt;=91, 4.00, IF(AP19&gt;=81, 3.50, IF(AP19&gt;=70, 3.00, IF(AP19&gt;=65, 2.50, IF(AP19&gt;=60, 2.00, IF(AP19&gt;=55, 1.50, IF(AP19&gt;=50, 1.00, 0.00)))))))</f>
      </c>
      <c r="AR19" s="40">
        <f>IF(AP19&gt;=91,"A",IF(AP19&gt;=81,"B+",IF(AP19&gt;=70,"B",IF(AP19&gt;=65,"C+",IF(AP19&gt;=60,"C",IF(AP19&gt;=55,"D+",IF(AP19&gt;=50,"D","F")))))))</f>
      </c>
      <c r="AS19" s="47">
        <v>93</v>
      </c>
      <c r="AT19" s="40">
        <f>IF(AS19&gt;=91, 4.00, IF(AS19&gt;=81, 3.50, IF(AS19&gt;=70, 3.00, IF(AS19&gt;=65, 2.50, IF(AS19&gt;=60, 2.00, IF(AS19&gt;=55, 1.50, IF(AS19&gt;=50, 1.00, 0.00)))))))</f>
      </c>
      <c r="AU19" s="40">
        <f>IF(AS19&gt;=91,"A",IF(AS19&gt;=81,"B+",IF(AS19&gt;=70,"B",IF(AS19&gt;=65,"C+",IF(AS19&gt;=60,"C",IF(AS19&gt;=55,"D+",IF(AS19&gt;=50,"D","F")))))))</f>
      </c>
      <c r="AV19" s="40" t="s">
        <v>43</v>
      </c>
      <c r="AW19" s="40">
        <f>IF(AV19&gt;=91, 4.00, IF(AV19&gt;=81, 3.50, IF(AV19&gt;=70, 3.00, IF(AV19&gt;=65, 2.50, IF(AV19&gt;=60, 2.00, IF(AV19&gt;=55, 1.50, IF(AV19&gt;=50, 1.00, 0.00)))))))</f>
      </c>
      <c r="AX19" s="40">
        <f>IF(AV19&gt;=91,"A",IF(AV19&gt;=81,"B+",IF(AV19&gt;=70,"B",IF(AV19&gt;=65,"C+",IF(AV19&gt;=60,"C",IF(AV19&gt;=55,"D+",IF(AV19&gt;=50,"D","F")))))))</f>
      </c>
      <c r="AY19" s="40" t="s">
        <v>288</v>
      </c>
      <c r="AZ19" s="40">
        <f>IF(AY19&gt;=91, 4.00, IF(AY19&gt;=81, 3.50, IF(AY19&gt;=70, 3.00, IF(AY19&gt;=65, 2.50, IF(AY19&gt;=60, 2.00, IF(AY19&gt;=55, 1.50, IF(AY19&gt;=50, 1.00, 0.00)))))))</f>
      </c>
      <c r="BA19" s="111">
        <f>IF(AY19&gt;=91,"A",IF(AY19&gt;=81,"B+",IF(AY19&gt;=70,"B",IF(AY19&gt;=65,"C+",IF(AY19&gt;=60,"C",IF(AY19&gt;=55,"D+",IF(AY19&gt;=50,"D","F")))))))</f>
      </c>
      <c r="BB19" s="112">
        <v>81</v>
      </c>
      <c r="BC19" s="48">
        <f>IF(BB19&gt;=91, 4.00, IF(BB19&gt;=81, 3.50, IF(BB19&gt;=70, 3.00, IF(BB19&gt;=65, 2.50, IF(BB19&gt;=60, 2.00, IF(BB19&gt;=55, 1.50, IF(BB19&gt;=50, 1.00, 0.00)))))))</f>
      </c>
      <c r="BD19" s="49">
        <f>IF(BB19&gt;=91,"A",IF(BB19&gt;=81,"B+",IF(BB19&gt;=70,"B",IF(BB19&gt;=65,"C+",IF(BB19&gt;=60,"C",IF(BB19&gt;=55,"D+",IF(BB19&gt;=50,"D","F")))))))</f>
      </c>
      <c r="BE19" s="40" t="str">
        <f>IF(BC19&gt;90,"A",IF(BC19&gt;80,"B+",IF(BC19&gt;69,"B",IF(BC19&gt;64,"C+",IF(BC19&gt;59,"C",IF(BC19&gt;54,"D+",IF(BC19&gt;49,"D",IF(BC19&gt;=0,"F"))))))))</f>
        <v>F</v>
      </c>
      <c r="BF19" s="48">
        <f>IF(BE19&gt;=91, 4.00, IF(BE19&gt;=81, 3.50, IF(BE19&gt;=70, 3.00, IF(BE19&gt;=65, 2.50, IF(BE19&gt;=60, 2.00, IF(BE19&gt;=55, 1.50, IF(BE19&gt;=50, 1.00, 0.00)))))))</f>
      </c>
      <c r="BG19" s="49">
        <f>IF(BE19&gt;=91,"A",IF(BE19&gt;=81,"B+",IF(BE19&gt;=70,"B",IF(BE19&gt;=65,"C+",IF(BE19&gt;=60,"C",IF(BE19&gt;=55,"D+",IF(BE19&gt;=50,"D","F")))))))</f>
      </c>
      <c r="BH19" s="40" t="str">
        <f>IF(BF19&gt;90,"A",IF(BF19&gt;80,"B+",IF(BF19&gt;69,"B",IF(BF19&gt;64,"C+",IF(BF19&gt;59,"C",IF(BF19&gt;54,"D+",IF(BF19&gt;49,"D",IF(BF19&gt;=0,"F"))))))))</f>
        <v>F</v>
      </c>
      <c r="BI19" s="43">
        <f>IF(BH19&gt;=91, 4.00, IF(BH19&gt;=81, 3.50, IF(BH19&gt;=70, 3.00, IF(BH19&gt;=65, 2.50, IF(BH19&gt;=60, 2.00, IF(BH19&gt;=55, 1.50, IF(BH19&gt;=50, 1.00, 0.00)))))))</f>
      </c>
      <c r="BJ19" s="49">
        <f>IF(BH19&gt;=91,"A",IF(BH19&gt;=81,"B+",IF(BH19&gt;=70,"B",IF(BH19&gt;=65,"C+",IF(BH19&gt;=60,"C",IF(BH19&gt;=55,"D+",IF(BH19&gt;=50,"D","F")))))))</f>
      </c>
      <c r="BK19" s="40" t="str">
        <f>IF(BI19&gt;90,"A",IF(BI19&gt;80,"B+",IF(BI19&gt;69,"B",IF(BI19&gt;64,"C+",IF(BI19&gt;59,"C",IF(BI19&gt;54,"D+",IF(BI19&gt;49,"D",IF(BI19&gt;=0,"F"))))))))</f>
        <v>F</v>
      </c>
      <c r="BL19" s="48">
        <f>IF(BK19&gt;=91, 4.00, IF(BK19&gt;=81, 3.50, IF(BK19&gt;=70, 3.00, IF(BK19&gt;=65, 2.50, IF(BK19&gt;=60, 2.00, IF(BK19&gt;=55, 1.50, IF(BK19&gt;=50, 1.00, 0.00)))))))</f>
      </c>
      <c r="BM19" s="49">
        <f>IF(BK19&gt;=91,"A",IF(BK19&gt;=81,"B+",IF(BK19&gt;=70,"B",IF(BK19&gt;=65,"C+",IF(BK19&gt;=60,"C",IF(BK19&gt;=55,"D+",IF(BK19&gt;=50,"D","F")))))))</f>
      </c>
      <c r="BN19" s="40">
        <f>ROUND((AN19*3+AQ19*2+AT19*1+AW19*1+AZ19*1+BC19*2+BF19*2+BI19*1+BL19*2)/15, 2)</f>
      </c>
      <c r="BO19" s="43"/>
      <c r="BP19" s="49" t="str">
        <f>IF(BO19&gt;90,"4.00",IF(BO19&gt;80,"3.50",IF(BO19&gt;69,"3.00",IF(BO19&gt;64,"2.50",IF(BO19&gt;59,"2.00",IF(BO19&gt;54,"1.50",IF(BO19&gt;49,"1.00","0.00")))))))</f>
        <v>0.00</v>
      </c>
      <c r="BQ19" s="40" t="str">
        <f>IF(BO19&gt;90,"A",IF(BO19&gt;80,"B+",IF(BO19&gt;69,"B",IF(BO19&gt;64,"C+",IF(BO19&gt;59,"C",IF(BO19&gt;54,"D+",IF(BO19&gt;49,"D",IF(BO19&gt;=0,"F"))))))))</f>
        <v>F</v>
      </c>
      <c r="BR19" s="43"/>
      <c r="BS19" s="49" t="str">
        <f>IF(BR19&gt;90,"4.00",IF(BR19&gt;80,"3.50",IF(BR19&gt;69,"3.00",IF(BR19&gt;64,"2.50",IF(BR19&gt;59,"2.00",IF(BR19&gt;54,"1.50",IF(BR19&gt;49,"1.00","0.00")))))))</f>
        <v>0.00</v>
      </c>
      <c r="BT19" s="40" t="str">
        <f>IF(BR19&gt;90,"A",IF(BR19&gt;80,"B+",IF(BR19&gt;69,"B",IF(BR19&gt;64,"C+",IF(BR19&gt;59,"C",IF(BR19&gt;54,"D+",IF(BR19&gt;49,"D",IF(BR19&gt;=0,"F"))))))))</f>
        <v>F</v>
      </c>
      <c r="BU19" s="49"/>
      <c r="BV19" s="49" t="str">
        <f>IF(BU19&gt;90,"4.00",IF(BU19&gt;80,"3.50",IF(BU19&gt;69,"3.00",IF(BU19&gt;64,"2.50",IF(BU19&gt;59,"2.00",IF(BU19&gt;54,"1.50",IF(BU19&gt;49,"1.00","0.00")))))))</f>
        <v>0.00</v>
      </c>
      <c r="BW19" s="40" t="str">
        <f>IF(BU19&gt;90,"A",IF(BU19&gt;80,"B+",IF(BU19&gt;69,"B",IF(BU19&gt;64,"C+",IF(BU19&gt;59,"C",IF(BU19&gt;54,"D+",IF(BU19&gt;49,"D",IF(BU19&gt;=0,"F"))))))))</f>
        <v>F</v>
      </c>
      <c r="BX19" s="49"/>
      <c r="BY19" s="49" t="str">
        <f>IF(BX19&gt;90,"4.00",IF(BX19&gt;80,"3.50",IF(BX19&gt;69,"3.00",IF(BX19&gt;64,"2.50",IF(BX19&gt;59,"2.00",IF(BX19&gt;54,"1.50",IF(BX19&gt;49,"1.00","0.00")))))))</f>
        <v>0.00</v>
      </c>
      <c r="BZ19" s="40" t="str">
        <f>IF(BX19&gt;90,"A",IF(BX19&gt;80,"B+",IF(BX19&gt;69,"B",IF(BX19&gt;64,"C+",IF(BX19&gt;59,"C",IF(BX19&gt;54,"D+",IF(BX19&gt;49,"D",IF(BX19&gt;=0,"F"))))))))</f>
        <v>F</v>
      </c>
      <c r="CA19" s="49"/>
      <c r="CB19" s="49" t="str">
        <f>IF(CA19&gt;90,"4.00",IF(CA19&gt;80,"3.50",IF(CA19&gt;69,"3.00",IF(CA19&gt;64,"2.50",IF(CA19&gt;59,"2.00",IF(CA19&gt;54,"1.50",IF(CA19&gt;49,"1.00","0.00")))))))</f>
        <v>0.00</v>
      </c>
      <c r="CC19" s="40" t="str">
        <f>IF(CA19&gt;90,"A",IF(CA19&gt;80,"B+",IF(CA19&gt;69,"B",IF(CA19&gt;64,"C+",IF(CA19&gt;59,"C",IF(CA19&gt;54,"D+",IF(CA19&gt;49,"D",IF(CA19&gt;=0,"F"))))))))</f>
        <v>F</v>
      </c>
      <c r="CD19" s="50">
        <f>(BD19*3+BG19*2+BJ19*1+BM19*2+BP19*1+BS19*1+BV19*2+BY19*2+CB19*2)/(3+2+1+2+1+1+2+2+2)</f>
        <v>0</v>
      </c>
      <c r="CE19" s="50">
        <f>(AR19+CD19)/2</f>
        <v>0</v>
      </c>
      <c r="CF19" s="51">
        <f>RANK(CE19,$CE$7:CE48)</f>
        <v>1</v>
      </c>
      <c r="CG19" s="40"/>
      <c r="CH19" s="52"/>
      <c r="CI19" s="52"/>
      <c r="CJ19" s="52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</row>
    <row r="20" ht="20" customHeight="1" spans="1:199" s="39" customFormat="1" x14ac:dyDescent="0.25">
      <c r="A20" s="40">
        <v>14</v>
      </c>
      <c r="B20" s="40" t="s">
        <v>289</v>
      </c>
      <c r="C20" s="40" t="s">
        <v>43</v>
      </c>
      <c r="D20" s="40" t="s">
        <v>124</v>
      </c>
      <c r="E20" s="40" t="s">
        <v>125</v>
      </c>
      <c r="F20" s="40" t="s">
        <v>290</v>
      </c>
      <c r="G20" s="40" t="s">
        <v>127</v>
      </c>
      <c r="H20" s="111"/>
      <c r="I20" s="112"/>
      <c r="J20" s="40">
        <v>1</v>
      </c>
      <c r="K20" s="42">
        <v>83</v>
      </c>
      <c r="L20" s="40">
        <f>IF(K20&gt;=91, 4.00, IF(K20&gt;=81, 3.50, IF(K20&gt;=70, 3.00, IF(K20&gt;=65, 2.50, IF(K20&gt;=60, 2.00, IF(K20&gt;=55, 1.50, IF(K20&gt;=50, 1.00, 0.00)))))))</f>
      </c>
      <c r="M20" s="40">
        <f>IF(K20&gt;=91,"A",IF(K20&gt;=81,"B+",IF(K20&gt;=70,"B",IF(K20&gt;=65,"C+",IF(K20&gt;=60,"C",IF(K20&gt;=55,"D+",IF(K20&gt;=50,"D","F")))))))</f>
      </c>
      <c r="N20" s="42">
        <v>86</v>
      </c>
      <c r="O20" s="40">
        <f>IF(N20&gt;=91, 4.00, IF(N20&gt;=81, 3.50, IF(N20&gt;=70, 3.00, IF(N20&gt;=65, 2.50, IF(N20&gt;=60, 2.00, IF(N20&gt;=55, 1.50, IF(N20&gt;=50, 1.00, 0.00)))))))</f>
      </c>
      <c r="P20" s="40">
        <f>IF(N20&gt;=91,"A",IF(N20&gt;=81,"B+",IF(N20&gt;=70,"B",IF(N20&gt;=65,"C+",IF(N20&gt;=60,"C",IF(N20&gt;=55,"D+",IF(N20&gt;=50,"D","F")))))))</f>
      </c>
      <c r="Q20" s="42">
        <v>89</v>
      </c>
      <c r="R20" s="40">
        <f>IF(Q20&gt;=91, 4.00, IF(Q20&gt;=81, 3.50, IF(Q20&gt;=70, 3.00, IF(Q20&gt;=65, 2.50, IF(Q20&gt;=60, 2.00, IF(Q20&gt;=55, 1.50, IF(Q20&gt;=50, 1.00, 0.00)))))))</f>
      </c>
      <c r="S20" s="40">
        <f>IF(Q20&gt;=91,"A",IF(Q20&gt;=81,"B+",IF(Q20&gt;=70,"B",IF(Q20&gt;=65,"C+",IF(Q20&gt;=60,"C",IF(Q20&gt;=55,"D+",IF(Q20&gt;=50,"D","F")))))))</f>
      </c>
      <c r="T20" s="42">
        <v>92</v>
      </c>
      <c r="U20" s="40">
        <f>IF(T20&gt;=91, 4.00, IF(T20&gt;=81, 3.50, IF(T20&gt;=70, 3.00, IF(T20&gt;=65, 2.50, IF(T20&gt;=60, 2.00, IF(T20&gt;=55, 1.50, IF(T20&gt;=50, 1.00, 0.00)))))))</f>
      </c>
      <c r="V20" s="40">
        <f>IF(T20&gt;=91,"A",IF(T20&gt;=81,"B+",IF(T20&gt;=70,"B",IF(T20&gt;=65,"C+",IF(T20&gt;=60,"C",IF(T20&gt;=55,"D+",IF(T20&gt;=50,"D","F")))))))</f>
      </c>
      <c r="W20" s="42">
        <v>95</v>
      </c>
      <c r="X20" s="40">
        <f>IF(W20&gt;=91, 4.00, IF(W20&gt;=81, 3.50, IF(W20&gt;=70, 3.00, IF(W20&gt;=65, 2.50, IF(W20&gt;=60, 2.00, IF(W20&gt;=55, 1.50, IF(W20&gt;=50, 1.00, 0.00)))))))</f>
      </c>
      <c r="Y20" s="40">
        <f>IF(W20&gt;=91,"A",IF(W20&gt;=81,"B+",IF(W20&gt;=70,"B",IF(W20&gt;=65,"C+",IF(W20&gt;=60,"C",IF(W20&gt;=55,"D+",IF(W20&gt;=50,"D","F")))))))</f>
      </c>
      <c r="Z20" s="46">
        <v>77</v>
      </c>
      <c r="AA20" s="40">
        <f>IF(Z20&gt;=91, 4.00, IF(Z20&gt;=81, 3.50, IF(Z20&gt;=70, 3.00, IF(Z20&gt;=65, 2.50, IF(Z20&gt;=60, 2.00, IF(Z20&gt;=55, 1.50, IF(Z20&gt;=50, 1.00, 0.00)))))))</f>
      </c>
      <c r="AB20" s="40">
        <f>IF(Z20&gt;=91,"A",IF(Z20&gt;=81,"B+",IF(Z20&gt;=70,"B",IF(Z20&gt;=65,"C+",IF(Z20&gt;=60,"C",IF(Z20&gt;=55,"D+",IF(Z20&gt;=50,"D","F")))))))</f>
      </c>
      <c r="AC20" s="42">
        <v>80</v>
      </c>
      <c r="AD20" s="40">
        <f>IF(AC20&gt;=91, 4.00, IF(AC20&gt;=81, 3.50, IF(AC20&gt;=70, 3.00, IF(AC20&gt;=65, 2.50, IF(AC20&gt;=60, 2.00, IF(AC20&gt;=55, 1.50, IF(AC20&gt;=50, 1.00, 0.00)))))))</f>
      </c>
      <c r="AE20" s="40">
        <f>IF(AC20&gt;=91,"A",IF(AC20&gt;=81,"B+",IF(AC20&gt;=70,"B",IF(AC20&gt;=65,"C+",IF(AC20&gt;=60,"C",IF(AC20&gt;=55,"D+",IF(AC20&gt;=50,"D","F")))))))</f>
      </c>
      <c r="AF20" s="40">
        <v>83</v>
      </c>
      <c r="AG20" s="40">
        <f>IF(AF20&gt;=91, 4.00, IF(AF20&gt;=81, 3.50, IF(AF20&gt;=70, 3.00, IF(AF20&gt;=65, 2.50, IF(AF20&gt;=60, 2.00, IF(AF20&gt;=55, 1.50, IF(AF20&gt;=50, 1.00, 0.00)))))))</f>
      </c>
      <c r="AH20" s="40">
        <f>IF(AF20&gt;=91,"A",IF(AF20&gt;=81,"B+",IF(AF20&gt;=70,"B",IF(AF20&gt;=65,"C+",IF(AF20&gt;=60,"C",IF(AF20&gt;=55,"D+",IF(AF20&gt;=50,"D","F")))))))</f>
      </c>
      <c r="AI20" s="46">
        <v>86</v>
      </c>
      <c r="AJ20" s="40">
        <f>IF(AI20&gt;=91, 4.00, IF(AI20&gt;=81, 3.50, IF(AI20&gt;=70, 3.00, IF(AI20&gt;=65, 2.50, IF(AI20&gt;=60, 2.00, IF(AI20&gt;=55, 1.50, IF(AI20&gt;=50, 1.00, 0.00)))))))</f>
      </c>
      <c r="AK20" s="40">
        <f>IF(AI20&gt;=91,"A",IF(AI20&gt;=81,"B+",IF(AI20&gt;=70,"B",IF(AI20&gt;=65,"C+",IF(AI20&gt;=60,"C",IF(AI20&gt;=55,"D+",IF(AI20&gt;=50,"D","F")))))))</f>
      </c>
      <c r="AL20" s="42">
        <f>ROUND((L20*3+O20*2+R20*1+U20*1+X20*1+AA20*2+AD20*2+AG20*1+AJ20*2)/15, 2)</f>
      </c>
      <c r="AM20" s="40" t="str">
        <f>IF(AL20&gt;90,"4.00",IF(AL20&gt;80,"3.50",IF(AL20&gt;69,"3.00",IF(AL20&gt;64,"2.50",IF(AL20&gt;59,"2.00",IF(AL20&gt;54,"1.50",IF(AL20&gt;49,"1.00","0.00")))))))</f>
        <v>0.00</v>
      </c>
      <c r="AN20" s="40">
        <f>IF(AM20&gt;=91, 4.00, IF(AM20&gt;=81, 3.50, IF(AM20&gt;=70, 3.00, IF(AM20&gt;=65, 2.50, IF(AM20&gt;=60, 2.00, IF(AM20&gt;=55, 1.50, IF(AM20&gt;=50, 1.00, 0.00)))))))</f>
      </c>
      <c r="AO20" s="40">
        <f>IF(AM20&gt;=91,"A",IF(AM20&gt;=81,"B+",IF(AM20&gt;=70,"B",IF(AM20&gt;=65,"C+",IF(AM20&gt;=60,"C",IF(AM20&gt;=55,"D+",IF(AM20&gt;=50,"D","F")))))))</f>
      </c>
      <c r="AP20" s="40" t="str">
        <f>IF(AO20&gt;90,"4.00",IF(AO20&gt;80,"3.50",IF(AO20&gt;69,"3.00",IF(AO20&gt;64,"2.50",IF(AO20&gt;59,"2.00",IF(AO20&gt;54,"1.50",IF(AO20&gt;49,"1.00","0.00")))))))</f>
        <v>0.00</v>
      </c>
      <c r="AQ20" s="40">
        <f>IF(AP20&gt;=91, 4.00, IF(AP20&gt;=81, 3.50, IF(AP20&gt;=70, 3.00, IF(AP20&gt;=65, 2.50, IF(AP20&gt;=60, 2.00, IF(AP20&gt;=55, 1.50, IF(AP20&gt;=50, 1.00, 0.00)))))))</f>
      </c>
      <c r="AR20" s="40">
        <f>IF(AP20&gt;=91,"A",IF(AP20&gt;=81,"B+",IF(AP20&gt;=70,"B",IF(AP20&gt;=65,"C+",IF(AP20&gt;=60,"C",IF(AP20&gt;=55,"D+",IF(AP20&gt;=50,"D","F")))))))</f>
      </c>
      <c r="AS20" s="47">
        <v>75</v>
      </c>
      <c r="AT20" s="40">
        <f>IF(AS20&gt;=91, 4.00, IF(AS20&gt;=81, 3.50, IF(AS20&gt;=70, 3.00, IF(AS20&gt;=65, 2.50, IF(AS20&gt;=60, 2.00, IF(AS20&gt;=55, 1.50, IF(AS20&gt;=50, 1.00, 0.00)))))))</f>
      </c>
      <c r="AU20" s="40">
        <f>IF(AS20&gt;=91,"A",IF(AS20&gt;=81,"B+",IF(AS20&gt;=70,"B",IF(AS20&gt;=65,"C+",IF(AS20&gt;=60,"C",IF(AS20&gt;=55,"D+",IF(AS20&gt;=50,"D","F")))))))</f>
      </c>
      <c r="AV20" s="40" t="s">
        <v>43</v>
      </c>
      <c r="AW20" s="40">
        <f>IF(AV20&gt;=91, 4.00, IF(AV20&gt;=81, 3.50, IF(AV20&gt;=70, 3.00, IF(AV20&gt;=65, 2.50, IF(AV20&gt;=60, 2.00, IF(AV20&gt;=55, 1.50, IF(AV20&gt;=50, 1.00, 0.00)))))))</f>
      </c>
      <c r="AX20" s="40">
        <f>IF(AV20&gt;=91,"A",IF(AV20&gt;=81,"B+",IF(AV20&gt;=70,"B",IF(AV20&gt;=65,"C+",IF(AV20&gt;=60,"C",IF(AV20&gt;=55,"D+",IF(AV20&gt;=50,"D","F")))))))</f>
      </c>
      <c r="AY20" s="40" t="s">
        <v>290</v>
      </c>
      <c r="AZ20" s="40">
        <f>IF(AY20&gt;=91, 4.00, IF(AY20&gt;=81, 3.50, IF(AY20&gt;=70, 3.00, IF(AY20&gt;=65, 2.50, IF(AY20&gt;=60, 2.00, IF(AY20&gt;=55, 1.50, IF(AY20&gt;=50, 1.00, 0.00)))))))</f>
      </c>
      <c r="BA20" s="111">
        <f>IF(AY20&gt;=91,"A",IF(AY20&gt;=81,"B+",IF(AY20&gt;=70,"B",IF(AY20&gt;=65,"C+",IF(AY20&gt;=60,"C",IF(AY20&gt;=55,"D+",IF(AY20&gt;=50,"D","F")))))))</f>
      </c>
      <c r="BB20" s="112">
        <v>84</v>
      </c>
      <c r="BC20" s="48">
        <f>IF(BB20&gt;=91, 4.00, IF(BB20&gt;=81, 3.50, IF(BB20&gt;=70, 3.00, IF(BB20&gt;=65, 2.50, IF(BB20&gt;=60, 2.00, IF(BB20&gt;=55, 1.50, IF(BB20&gt;=50, 1.00, 0.00)))))))</f>
      </c>
      <c r="BD20" s="49">
        <f>IF(BB20&gt;=91,"A",IF(BB20&gt;=81,"B+",IF(BB20&gt;=70,"B",IF(BB20&gt;=65,"C+",IF(BB20&gt;=60,"C",IF(BB20&gt;=55,"D+",IF(BB20&gt;=50,"D","F")))))))</f>
      </c>
      <c r="BE20" s="40" t="str">
        <f>IF(BC20&gt;90,"A",IF(BC20&gt;80,"B+",IF(BC20&gt;69,"B",IF(BC20&gt;64,"C+",IF(BC20&gt;59,"C",IF(BC20&gt;54,"D+",IF(BC20&gt;49,"D",IF(BC20&gt;=0,"F"))))))))</f>
        <v>F</v>
      </c>
      <c r="BF20" s="48">
        <f>IF(BE20&gt;=91, 4.00, IF(BE20&gt;=81, 3.50, IF(BE20&gt;=70, 3.00, IF(BE20&gt;=65, 2.50, IF(BE20&gt;=60, 2.00, IF(BE20&gt;=55, 1.50, IF(BE20&gt;=50, 1.00, 0.00)))))))</f>
      </c>
      <c r="BG20" s="49">
        <f>IF(BE20&gt;=91,"A",IF(BE20&gt;=81,"B+",IF(BE20&gt;=70,"B",IF(BE20&gt;=65,"C+",IF(BE20&gt;=60,"C",IF(BE20&gt;=55,"D+",IF(BE20&gt;=50,"D","F")))))))</f>
      </c>
      <c r="BH20" s="40" t="str">
        <f>IF(BF20&gt;90,"A",IF(BF20&gt;80,"B+",IF(BF20&gt;69,"B",IF(BF20&gt;64,"C+",IF(BF20&gt;59,"C",IF(BF20&gt;54,"D+",IF(BF20&gt;49,"D",IF(BF20&gt;=0,"F"))))))))</f>
        <v>F</v>
      </c>
      <c r="BI20" s="43">
        <f>IF(BH20&gt;=91, 4.00, IF(BH20&gt;=81, 3.50, IF(BH20&gt;=70, 3.00, IF(BH20&gt;=65, 2.50, IF(BH20&gt;=60, 2.00, IF(BH20&gt;=55, 1.50, IF(BH20&gt;=50, 1.00, 0.00)))))))</f>
      </c>
      <c r="BJ20" s="49">
        <f>IF(BH20&gt;=91,"A",IF(BH20&gt;=81,"B+",IF(BH20&gt;=70,"B",IF(BH20&gt;=65,"C+",IF(BH20&gt;=60,"C",IF(BH20&gt;=55,"D+",IF(BH20&gt;=50,"D","F")))))))</f>
      </c>
      <c r="BK20" s="40" t="str">
        <f>IF(BI20&gt;90,"A",IF(BI20&gt;80,"B+",IF(BI20&gt;69,"B",IF(BI20&gt;64,"C+",IF(BI20&gt;59,"C",IF(BI20&gt;54,"D+",IF(BI20&gt;49,"D",IF(BI20&gt;=0,"F"))))))))</f>
        <v>F</v>
      </c>
      <c r="BL20" s="48">
        <f>IF(BK20&gt;=91, 4.00, IF(BK20&gt;=81, 3.50, IF(BK20&gt;=70, 3.00, IF(BK20&gt;=65, 2.50, IF(BK20&gt;=60, 2.00, IF(BK20&gt;=55, 1.50, IF(BK20&gt;=50, 1.00, 0.00)))))))</f>
      </c>
      <c r="BM20" s="49">
        <f>IF(BK20&gt;=91,"A",IF(BK20&gt;=81,"B+",IF(BK20&gt;=70,"B",IF(BK20&gt;=65,"C+",IF(BK20&gt;=60,"C",IF(BK20&gt;=55,"D+",IF(BK20&gt;=50,"D","F")))))))</f>
      </c>
      <c r="BN20" s="40">
        <f>ROUND((AN20*3+AQ20*2+AT20*1+AW20*1+AZ20*1+BC20*2+BF20*2+BI20*1+BL20*2)/15, 2)</f>
      </c>
      <c r="BO20" s="43"/>
      <c r="BP20" s="49" t="str">
        <f>IF(BO20&gt;90,"4.00",IF(BO20&gt;80,"3.50",IF(BO20&gt;69,"3.00",IF(BO20&gt;64,"2.50",IF(BO20&gt;59,"2.00",IF(BO20&gt;54,"1.50",IF(BO20&gt;49,"1.00","0.00")))))))</f>
        <v>0.00</v>
      </c>
      <c r="BQ20" s="40" t="str">
        <f>IF(BO20&gt;90,"A",IF(BO20&gt;80,"B+",IF(BO20&gt;69,"B",IF(BO20&gt;64,"C+",IF(BO20&gt;59,"C",IF(BO20&gt;54,"D+",IF(BO20&gt;49,"D",IF(BO20&gt;=0,"F"))))))))</f>
        <v>F</v>
      </c>
      <c r="BR20" s="43"/>
      <c r="BS20" s="49" t="str">
        <f>IF(BR20&gt;90,"4.00",IF(BR20&gt;80,"3.50",IF(BR20&gt;69,"3.00",IF(BR20&gt;64,"2.50",IF(BR20&gt;59,"2.00",IF(BR20&gt;54,"1.50",IF(BR20&gt;49,"1.00","0.00")))))))</f>
        <v>0.00</v>
      </c>
      <c r="BT20" s="40" t="str">
        <f>IF(BR20&gt;90,"A",IF(BR20&gt;80,"B+",IF(BR20&gt;69,"B",IF(BR20&gt;64,"C+",IF(BR20&gt;59,"C",IF(BR20&gt;54,"D+",IF(BR20&gt;49,"D",IF(BR20&gt;=0,"F"))))))))</f>
        <v>F</v>
      </c>
      <c r="BU20" s="49"/>
      <c r="BV20" s="49" t="str">
        <f>IF(BU20&gt;90,"4.00",IF(BU20&gt;80,"3.50",IF(BU20&gt;69,"3.00",IF(BU20&gt;64,"2.50",IF(BU20&gt;59,"2.00",IF(BU20&gt;54,"1.50",IF(BU20&gt;49,"1.00","0.00")))))))</f>
        <v>0.00</v>
      </c>
      <c r="BW20" s="40" t="str">
        <f>IF(BU20&gt;90,"A",IF(BU20&gt;80,"B+",IF(BU20&gt;69,"B",IF(BU20&gt;64,"C+",IF(BU20&gt;59,"C",IF(BU20&gt;54,"D+",IF(BU20&gt;49,"D",IF(BU20&gt;=0,"F"))))))))</f>
        <v>F</v>
      </c>
      <c r="BX20" s="49"/>
      <c r="BY20" s="49" t="str">
        <f>IF(BX20&gt;90,"4.00",IF(BX20&gt;80,"3.50",IF(BX20&gt;69,"3.00",IF(BX20&gt;64,"2.50",IF(BX20&gt;59,"2.00",IF(BX20&gt;54,"1.50",IF(BX20&gt;49,"1.00","0.00")))))))</f>
        <v>0.00</v>
      </c>
      <c r="BZ20" s="40" t="str">
        <f>IF(BX20&gt;90,"A",IF(BX20&gt;80,"B+",IF(BX20&gt;69,"B",IF(BX20&gt;64,"C+",IF(BX20&gt;59,"C",IF(BX20&gt;54,"D+",IF(BX20&gt;49,"D",IF(BX20&gt;=0,"F"))))))))</f>
        <v>F</v>
      </c>
      <c r="CA20" s="49"/>
      <c r="CB20" s="49" t="str">
        <f>IF(CA20&gt;90,"4.00",IF(CA20&gt;80,"3.50",IF(CA20&gt;69,"3.00",IF(CA20&gt;64,"2.50",IF(CA20&gt;59,"2.00",IF(CA20&gt;54,"1.50",IF(CA20&gt;49,"1.00","0.00")))))))</f>
        <v>0.00</v>
      </c>
      <c r="CC20" s="40" t="str">
        <f>IF(CA20&gt;90,"A",IF(CA20&gt;80,"B+",IF(CA20&gt;69,"B",IF(CA20&gt;64,"C+",IF(CA20&gt;59,"C",IF(CA20&gt;54,"D+",IF(CA20&gt;49,"D",IF(CA20&gt;=0,"F"))))))))</f>
        <v>F</v>
      </c>
      <c r="CD20" s="50">
        <f>(BD20*3+BG20*2+BJ20*1+BM20*2+BP20*1+BS20*1+BV20*2+BY20*2+CB20*2)/(3+2+1+2+1+1+2+2+2)</f>
        <v>0</v>
      </c>
      <c r="CE20" s="50">
        <f>(AR20+CD20)/2</f>
        <v>0</v>
      </c>
      <c r="CF20" s="51">
        <f>RANK(CE20,$CE$7:CE49)</f>
        <v>1</v>
      </c>
      <c r="CG20" s="58"/>
      <c r="CH20" s="52"/>
      <c r="CI20" s="52"/>
      <c r="CJ20" s="52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</row>
    <row r="21" ht="20" customHeight="1" spans="1:199" s="39" customFormat="1" x14ac:dyDescent="0.25">
      <c r="A21" s="40">
        <v>15</v>
      </c>
      <c r="B21" s="40" t="s">
        <v>74</v>
      </c>
      <c r="C21" s="40" t="s">
        <v>43</v>
      </c>
      <c r="D21" s="40" t="s">
        <v>130</v>
      </c>
      <c r="E21" s="40" t="s">
        <v>131</v>
      </c>
      <c r="F21" s="40" t="s">
        <v>291</v>
      </c>
      <c r="G21" s="40" t="s">
        <v>133</v>
      </c>
      <c r="H21" s="44"/>
      <c r="I21" s="112"/>
      <c r="J21" s="40">
        <v>1</v>
      </c>
      <c r="K21" s="42">
        <v>86</v>
      </c>
      <c r="L21" s="40">
        <f>IF(K21&gt;=91, 4.00, IF(K21&gt;=81, 3.50, IF(K21&gt;=70, 3.00, IF(K21&gt;=65, 2.50, IF(K21&gt;=60, 2.00, IF(K21&gt;=55, 1.50, IF(K21&gt;=50, 1.00, 0.00)))))))</f>
      </c>
      <c r="M21" s="40">
        <f>IF(K21&gt;=91,"A",IF(K21&gt;=81,"B+",IF(K21&gt;=70,"B",IF(K21&gt;=65,"C+",IF(K21&gt;=60,"C",IF(K21&gt;=55,"D+",IF(K21&gt;=50,"D","F")))))))</f>
      </c>
      <c r="N21" s="42">
        <v>89</v>
      </c>
      <c r="O21" s="40">
        <f>IF(N21&gt;=91, 4.00, IF(N21&gt;=81, 3.50, IF(N21&gt;=70, 3.00, IF(N21&gt;=65, 2.50, IF(N21&gt;=60, 2.00, IF(N21&gt;=55, 1.50, IF(N21&gt;=50, 1.00, 0.00)))))))</f>
      </c>
      <c r="P21" s="40">
        <f>IF(N21&gt;=91,"A",IF(N21&gt;=81,"B+",IF(N21&gt;=70,"B",IF(N21&gt;=65,"C+",IF(N21&gt;=60,"C",IF(N21&gt;=55,"D+",IF(N21&gt;=50,"D","F")))))))</f>
      </c>
      <c r="Q21" s="42">
        <v>92</v>
      </c>
      <c r="R21" s="40">
        <f>IF(Q21&gt;=91, 4.00, IF(Q21&gt;=81, 3.50, IF(Q21&gt;=70, 3.00, IF(Q21&gt;=65, 2.50, IF(Q21&gt;=60, 2.00, IF(Q21&gt;=55, 1.50, IF(Q21&gt;=50, 1.00, 0.00)))))))</f>
      </c>
      <c r="S21" s="40">
        <f>IF(Q21&gt;=91,"A",IF(Q21&gt;=81,"B+",IF(Q21&gt;=70,"B",IF(Q21&gt;=65,"C+",IF(Q21&gt;=60,"C",IF(Q21&gt;=55,"D+",IF(Q21&gt;=50,"D","F")))))))</f>
      </c>
      <c r="T21" s="42">
        <v>95</v>
      </c>
      <c r="U21" s="40">
        <f>IF(T21&gt;=91, 4.00, IF(T21&gt;=81, 3.50, IF(T21&gt;=70, 3.00, IF(T21&gt;=65, 2.50, IF(T21&gt;=60, 2.00, IF(T21&gt;=55, 1.50, IF(T21&gt;=50, 1.00, 0.00)))))))</f>
      </c>
      <c r="V21" s="40">
        <f>IF(T21&gt;=91,"A",IF(T21&gt;=81,"B+",IF(T21&gt;=70,"B",IF(T21&gt;=65,"C+",IF(T21&gt;=60,"C",IF(T21&gt;=55,"D+",IF(T21&gt;=50,"D","F")))))))</f>
      </c>
      <c r="W21" s="42">
        <v>77</v>
      </c>
      <c r="X21" s="40">
        <f>IF(W21&gt;=91, 4.00, IF(W21&gt;=81, 3.50, IF(W21&gt;=70, 3.00, IF(W21&gt;=65, 2.50, IF(W21&gt;=60, 2.00, IF(W21&gt;=55, 1.50, IF(W21&gt;=50, 1.00, 0.00)))))))</f>
      </c>
      <c r="Y21" s="40">
        <f>IF(W21&gt;=91,"A",IF(W21&gt;=81,"B+",IF(W21&gt;=70,"B",IF(W21&gt;=65,"C+",IF(W21&gt;=60,"C",IF(W21&gt;=55,"D+",IF(W21&gt;=50,"D","F")))))))</f>
      </c>
      <c r="Z21" s="46">
        <v>80</v>
      </c>
      <c r="AA21" s="40">
        <f>IF(Z21&gt;=91, 4.00, IF(Z21&gt;=81, 3.50, IF(Z21&gt;=70, 3.00, IF(Z21&gt;=65, 2.50, IF(Z21&gt;=60, 2.00, IF(Z21&gt;=55, 1.50, IF(Z21&gt;=50, 1.00, 0.00)))))))</f>
      </c>
      <c r="AB21" s="40">
        <f>IF(Z21&gt;=91,"A",IF(Z21&gt;=81,"B+",IF(Z21&gt;=70,"B",IF(Z21&gt;=65,"C+",IF(Z21&gt;=60,"C",IF(Z21&gt;=55,"D+",IF(Z21&gt;=50,"D","F")))))))</f>
      </c>
      <c r="AC21" s="42">
        <v>83</v>
      </c>
      <c r="AD21" s="40">
        <f>IF(AC21&gt;=91, 4.00, IF(AC21&gt;=81, 3.50, IF(AC21&gt;=70, 3.00, IF(AC21&gt;=65, 2.50, IF(AC21&gt;=60, 2.00, IF(AC21&gt;=55, 1.50, IF(AC21&gt;=50, 1.00, 0.00)))))))</f>
      </c>
      <c r="AE21" s="40">
        <f>IF(AC21&gt;=91,"A",IF(AC21&gt;=81,"B+",IF(AC21&gt;=70,"B",IF(AC21&gt;=65,"C+",IF(AC21&gt;=60,"C",IF(AC21&gt;=55,"D+",IF(AC21&gt;=50,"D","F")))))))</f>
      </c>
      <c r="AF21" s="40">
        <v>86</v>
      </c>
      <c r="AG21" s="40">
        <f>IF(AF21&gt;=91, 4.00, IF(AF21&gt;=81, 3.50, IF(AF21&gt;=70, 3.00, IF(AF21&gt;=65, 2.50, IF(AF21&gt;=60, 2.00, IF(AF21&gt;=55, 1.50, IF(AF21&gt;=50, 1.00, 0.00)))))))</f>
      </c>
      <c r="AH21" s="40">
        <f>IF(AF21&gt;=91,"A",IF(AF21&gt;=81,"B+",IF(AF21&gt;=70,"B",IF(AF21&gt;=65,"C+",IF(AF21&gt;=60,"C",IF(AF21&gt;=55,"D+",IF(AF21&gt;=50,"D","F")))))))</f>
      </c>
      <c r="AI21" s="46">
        <v>89</v>
      </c>
      <c r="AJ21" s="40">
        <f>IF(AI21&gt;=91, 4.00, IF(AI21&gt;=81, 3.50, IF(AI21&gt;=70, 3.00, IF(AI21&gt;=65, 2.50, IF(AI21&gt;=60, 2.00, IF(AI21&gt;=55, 1.50, IF(AI21&gt;=50, 1.00, 0.00)))))))</f>
      </c>
      <c r="AK21" s="40">
        <f>IF(AI21&gt;=91,"A",IF(AI21&gt;=81,"B+",IF(AI21&gt;=70,"B",IF(AI21&gt;=65,"C+",IF(AI21&gt;=60,"C",IF(AI21&gt;=55,"D+",IF(AI21&gt;=50,"D","F")))))))</f>
      </c>
      <c r="AL21" s="42">
        <f>ROUND((L21*3+O21*2+R21*1+U21*1+X21*1+AA21*2+AD21*2+AG21*1+AJ21*2)/15, 2)</f>
      </c>
      <c r="AM21" s="40" t="str">
        <f>IF(AL21&gt;90,"4.00",IF(AL21&gt;80,"3.50",IF(AL21&gt;69,"3.00",IF(AL21&gt;64,"2.50",IF(AL21&gt;59,"2.00",IF(AL21&gt;54,"1.50",IF(AL21&gt;49,"1.00","0.00")))))))</f>
        <v>0.00</v>
      </c>
      <c r="AN21" s="40">
        <f>IF(AM21&gt;=91, 4.00, IF(AM21&gt;=81, 3.50, IF(AM21&gt;=70, 3.00, IF(AM21&gt;=65, 2.50, IF(AM21&gt;=60, 2.00, IF(AM21&gt;=55, 1.50, IF(AM21&gt;=50, 1.00, 0.00)))))))</f>
      </c>
      <c r="AO21" s="40">
        <f>IF(AM21&gt;=91,"A",IF(AM21&gt;=81,"B+",IF(AM21&gt;=70,"B",IF(AM21&gt;=65,"C+",IF(AM21&gt;=60,"C",IF(AM21&gt;=55,"D+",IF(AM21&gt;=50,"D","F")))))))</f>
      </c>
      <c r="AP21" s="40" t="str">
        <f>IF(AO21&gt;90,"4.00",IF(AO21&gt;80,"3.50",IF(AO21&gt;69,"3.00",IF(AO21&gt;64,"2.50",IF(AO21&gt;59,"2.00",IF(AO21&gt;54,"1.50",IF(AO21&gt;49,"1.00","0.00")))))))</f>
        <v>0.00</v>
      </c>
      <c r="AQ21" s="40">
        <f>IF(AP21&gt;=91, 4.00, IF(AP21&gt;=81, 3.50, IF(AP21&gt;=70, 3.00, IF(AP21&gt;=65, 2.50, IF(AP21&gt;=60, 2.00, IF(AP21&gt;=55, 1.50, IF(AP21&gt;=50, 1.00, 0.00)))))))</f>
      </c>
      <c r="AR21" s="40">
        <f>IF(AP21&gt;=91,"A",IF(AP21&gt;=81,"B+",IF(AP21&gt;=70,"B",IF(AP21&gt;=65,"C+",IF(AP21&gt;=60,"C",IF(AP21&gt;=55,"D+",IF(AP21&gt;=50,"D","F")))))))</f>
      </c>
      <c r="AS21" s="47">
        <v>78</v>
      </c>
      <c r="AT21" s="40">
        <f>IF(AS21&gt;=91, 4.00, IF(AS21&gt;=81, 3.50, IF(AS21&gt;=70, 3.00, IF(AS21&gt;=65, 2.50, IF(AS21&gt;=60, 2.00, IF(AS21&gt;=55, 1.50, IF(AS21&gt;=50, 1.00, 0.00)))))))</f>
      </c>
      <c r="AU21" s="40">
        <f>IF(AS21&gt;=91,"A",IF(AS21&gt;=81,"B+",IF(AS21&gt;=70,"B",IF(AS21&gt;=65,"C+",IF(AS21&gt;=60,"C",IF(AS21&gt;=55,"D+",IF(AS21&gt;=50,"D","F")))))))</f>
      </c>
      <c r="AV21" s="40" t="s">
        <v>43</v>
      </c>
      <c r="AW21" s="40">
        <f>IF(AV21&gt;=91, 4.00, IF(AV21&gt;=81, 3.50, IF(AV21&gt;=70, 3.00, IF(AV21&gt;=65, 2.50, IF(AV21&gt;=60, 2.00, IF(AV21&gt;=55, 1.50, IF(AV21&gt;=50, 1.00, 0.00)))))))</f>
      </c>
      <c r="AX21" s="40">
        <f>IF(AV21&gt;=91,"A",IF(AV21&gt;=81,"B+",IF(AV21&gt;=70,"B",IF(AV21&gt;=65,"C+",IF(AV21&gt;=60,"C",IF(AV21&gt;=55,"D+",IF(AV21&gt;=50,"D","F")))))))</f>
      </c>
      <c r="AY21" s="40" t="s">
        <v>291</v>
      </c>
      <c r="AZ21" s="40">
        <f>IF(AY21&gt;=91, 4.00, IF(AY21&gt;=81, 3.50, IF(AY21&gt;=70, 3.00, IF(AY21&gt;=65, 2.50, IF(AY21&gt;=60, 2.00, IF(AY21&gt;=55, 1.50, IF(AY21&gt;=50, 1.00, 0.00)))))))</f>
      </c>
      <c r="BA21" s="44">
        <f>IF(AY21&gt;=91,"A",IF(AY21&gt;=81,"B+",IF(AY21&gt;=70,"B",IF(AY21&gt;=65,"C+",IF(AY21&gt;=60,"C",IF(AY21&gt;=55,"D+",IF(AY21&gt;=50,"D","F")))))))</f>
      </c>
      <c r="BB21" s="112">
        <v>87</v>
      </c>
      <c r="BC21" s="48">
        <f>IF(BB21&gt;=91, 4.00, IF(BB21&gt;=81, 3.50, IF(BB21&gt;=70, 3.00, IF(BB21&gt;=65, 2.50, IF(BB21&gt;=60, 2.00, IF(BB21&gt;=55, 1.50, IF(BB21&gt;=50, 1.00, 0.00)))))))</f>
      </c>
      <c r="BD21" s="49">
        <f>IF(BB21&gt;=91,"A",IF(BB21&gt;=81,"B+",IF(BB21&gt;=70,"B",IF(BB21&gt;=65,"C+",IF(BB21&gt;=60,"C",IF(BB21&gt;=55,"D+",IF(BB21&gt;=50,"D","F")))))))</f>
      </c>
      <c r="BE21" s="40" t="str">
        <f>IF(BC21&gt;90,"A",IF(BC21&gt;80,"B+",IF(BC21&gt;69,"B",IF(BC21&gt;64,"C+",IF(BC21&gt;59,"C",IF(BC21&gt;54,"D+",IF(BC21&gt;49,"D",IF(BC21&gt;=0,"F"))))))))</f>
        <v>F</v>
      </c>
      <c r="BF21" s="48">
        <f>IF(BE21&gt;=91, 4.00, IF(BE21&gt;=81, 3.50, IF(BE21&gt;=70, 3.00, IF(BE21&gt;=65, 2.50, IF(BE21&gt;=60, 2.00, IF(BE21&gt;=55, 1.50, IF(BE21&gt;=50, 1.00, 0.00)))))))</f>
      </c>
      <c r="BG21" s="49">
        <f>IF(BE21&gt;=91,"A",IF(BE21&gt;=81,"B+",IF(BE21&gt;=70,"B",IF(BE21&gt;=65,"C+",IF(BE21&gt;=60,"C",IF(BE21&gt;=55,"D+",IF(BE21&gt;=50,"D","F")))))))</f>
      </c>
      <c r="BH21" s="40" t="str">
        <f>IF(BF21&gt;90,"A",IF(BF21&gt;80,"B+",IF(BF21&gt;69,"B",IF(BF21&gt;64,"C+",IF(BF21&gt;59,"C",IF(BF21&gt;54,"D+",IF(BF21&gt;49,"D",IF(BF21&gt;=0,"F"))))))))</f>
        <v>F</v>
      </c>
      <c r="BI21" s="43">
        <f>IF(BH21&gt;=91, 4.00, IF(BH21&gt;=81, 3.50, IF(BH21&gt;=70, 3.00, IF(BH21&gt;=65, 2.50, IF(BH21&gt;=60, 2.00, IF(BH21&gt;=55, 1.50, IF(BH21&gt;=50, 1.00, 0.00)))))))</f>
      </c>
      <c r="BJ21" s="49">
        <f>IF(BH21&gt;=91,"A",IF(BH21&gt;=81,"B+",IF(BH21&gt;=70,"B",IF(BH21&gt;=65,"C+",IF(BH21&gt;=60,"C",IF(BH21&gt;=55,"D+",IF(BH21&gt;=50,"D","F")))))))</f>
      </c>
      <c r="BK21" s="40" t="str">
        <f>IF(BI21&gt;90,"A",IF(BI21&gt;80,"B+",IF(BI21&gt;69,"B",IF(BI21&gt;64,"C+",IF(BI21&gt;59,"C",IF(BI21&gt;54,"D+",IF(BI21&gt;49,"D",IF(BI21&gt;=0,"F"))))))))</f>
        <v>F</v>
      </c>
      <c r="BL21" s="48">
        <f>IF(BK21&gt;=91, 4.00, IF(BK21&gt;=81, 3.50, IF(BK21&gt;=70, 3.00, IF(BK21&gt;=65, 2.50, IF(BK21&gt;=60, 2.00, IF(BK21&gt;=55, 1.50, IF(BK21&gt;=50, 1.00, 0.00)))))))</f>
      </c>
      <c r="BM21" s="49">
        <f>IF(BK21&gt;=91,"A",IF(BK21&gt;=81,"B+",IF(BK21&gt;=70,"B",IF(BK21&gt;=65,"C+",IF(BK21&gt;=60,"C",IF(BK21&gt;=55,"D+",IF(BK21&gt;=50,"D","F")))))))</f>
      </c>
      <c r="BN21" s="40">
        <f>ROUND((AN21*3+AQ21*2+AT21*1+AW21*1+AZ21*1+BC21*2+BF21*2+BI21*1+BL21*2)/15, 2)</f>
      </c>
      <c r="BO21" s="43"/>
      <c r="BP21" s="49" t="str">
        <f>IF(BO21&gt;90,"4.00",IF(BO21&gt;80,"3.50",IF(BO21&gt;69,"3.00",IF(BO21&gt;64,"2.50",IF(BO21&gt;59,"2.00",IF(BO21&gt;54,"1.50",IF(BO21&gt;49,"1.00","0.00")))))))</f>
        <v>0.00</v>
      </c>
      <c r="BQ21" s="40" t="str">
        <f>IF(BO21&gt;90,"A",IF(BO21&gt;80,"B+",IF(BO21&gt;69,"B",IF(BO21&gt;64,"C+",IF(BO21&gt;59,"C",IF(BO21&gt;54,"D+",IF(BO21&gt;49,"D",IF(BO21&gt;=0,"F"))))))))</f>
        <v>F</v>
      </c>
      <c r="BR21" s="43"/>
      <c r="BS21" s="49" t="str">
        <f>IF(BR21&gt;90,"4.00",IF(BR21&gt;80,"3.50",IF(BR21&gt;69,"3.00",IF(BR21&gt;64,"2.50",IF(BR21&gt;59,"2.00",IF(BR21&gt;54,"1.50",IF(BR21&gt;49,"1.00","0.00")))))))</f>
        <v>0.00</v>
      </c>
      <c r="BT21" s="40" t="str">
        <f>IF(BR21&gt;90,"A",IF(BR21&gt;80,"B+",IF(BR21&gt;69,"B",IF(BR21&gt;64,"C+",IF(BR21&gt;59,"C",IF(BR21&gt;54,"D+",IF(BR21&gt;49,"D",IF(BR21&gt;=0,"F"))))))))</f>
        <v>F</v>
      </c>
      <c r="BU21" s="49"/>
      <c r="BV21" s="49" t="str">
        <f>IF(BU21&gt;90,"4.00",IF(BU21&gt;80,"3.50",IF(BU21&gt;69,"3.00",IF(BU21&gt;64,"2.50",IF(BU21&gt;59,"2.00",IF(BU21&gt;54,"1.50",IF(BU21&gt;49,"1.00","0.00")))))))</f>
        <v>0.00</v>
      </c>
      <c r="BW21" s="40" t="str">
        <f>IF(BU21&gt;90,"A",IF(BU21&gt;80,"B+",IF(BU21&gt;69,"B",IF(BU21&gt;64,"C+",IF(BU21&gt;59,"C",IF(BU21&gt;54,"D+",IF(BU21&gt;49,"D",IF(BU21&gt;=0,"F"))))))))</f>
        <v>F</v>
      </c>
      <c r="BX21" s="49"/>
      <c r="BY21" s="49" t="str">
        <f>IF(BX21&gt;90,"4.00",IF(BX21&gt;80,"3.50",IF(BX21&gt;69,"3.00",IF(BX21&gt;64,"2.50",IF(BX21&gt;59,"2.00",IF(BX21&gt;54,"1.50",IF(BX21&gt;49,"1.00","0.00")))))))</f>
        <v>0.00</v>
      </c>
      <c r="BZ21" s="40" t="str">
        <f>IF(BX21&gt;90,"A",IF(BX21&gt;80,"B+",IF(BX21&gt;69,"B",IF(BX21&gt;64,"C+",IF(BX21&gt;59,"C",IF(BX21&gt;54,"D+",IF(BX21&gt;49,"D",IF(BX21&gt;=0,"F"))))))))</f>
        <v>F</v>
      </c>
      <c r="CA21" s="49"/>
      <c r="CB21" s="49" t="str">
        <f>IF(CA21&gt;90,"4.00",IF(CA21&gt;80,"3.50",IF(CA21&gt;69,"3.00",IF(CA21&gt;64,"2.50",IF(CA21&gt;59,"2.00",IF(CA21&gt;54,"1.50",IF(CA21&gt;49,"1.00","0.00")))))))</f>
        <v>0.00</v>
      </c>
      <c r="CC21" s="40" t="str">
        <f>IF(CA21&gt;90,"A",IF(CA21&gt;80,"B+",IF(CA21&gt;69,"B",IF(CA21&gt;64,"C+",IF(CA21&gt;59,"C",IF(CA21&gt;54,"D+",IF(CA21&gt;49,"D",IF(CA21&gt;=0,"F"))))))))</f>
        <v>F</v>
      </c>
      <c r="CD21" s="50">
        <f>(BD21*3+BG21*2+BJ21*1+BM21*2+BP21*1+BS21*1+BV21*2+BY21*2+CB21*2)/(3+2+1+2+1+1+2+2+2)</f>
        <v>0</v>
      </c>
      <c r="CE21" s="50">
        <f>(AR21+CD21)/2</f>
        <v>0</v>
      </c>
      <c r="CF21" s="51">
        <f>RANK(CE21,$CE$7:CE50)</f>
        <v>1</v>
      </c>
      <c r="CG21" s="58"/>
      <c r="CH21" s="52"/>
      <c r="CI21" s="52"/>
      <c r="CJ21" s="52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</row>
    <row r="22" ht="20" customHeight="1" spans="1:88" s="53" customFormat="1" x14ac:dyDescent="0.25">
      <c r="A22" s="40">
        <v>16</v>
      </c>
      <c r="B22" s="40" t="s">
        <v>79</v>
      </c>
      <c r="C22" s="40" t="s">
        <v>43</v>
      </c>
      <c r="D22" s="40" t="s">
        <v>136</v>
      </c>
      <c r="E22" s="40" t="s">
        <v>137</v>
      </c>
      <c r="F22" s="40" t="s">
        <v>292</v>
      </c>
      <c r="G22" s="40" t="s">
        <v>139</v>
      </c>
      <c r="H22" s="44"/>
      <c r="I22" s="112"/>
      <c r="J22" s="40">
        <v>1</v>
      </c>
      <c r="K22" s="42">
        <v>89</v>
      </c>
      <c r="L22" s="40">
        <f>IF(K22&gt;=91, 4.00, IF(K22&gt;=81, 3.50, IF(K22&gt;=70, 3.00, IF(K22&gt;=65, 2.50, IF(K22&gt;=60, 2.00, IF(K22&gt;=55, 1.50, IF(K22&gt;=50, 1.00, 0.00)))))))</f>
      </c>
      <c r="M22" s="40">
        <f>IF(K22&gt;=91,"A",IF(K22&gt;=81,"B+",IF(K22&gt;=70,"B",IF(K22&gt;=65,"C+",IF(K22&gt;=60,"C",IF(K22&gt;=55,"D+",IF(K22&gt;=50,"D","F")))))))</f>
      </c>
      <c r="N22" s="42">
        <v>92</v>
      </c>
      <c r="O22" s="40">
        <f>IF(N22&gt;=91, 4.00, IF(N22&gt;=81, 3.50, IF(N22&gt;=70, 3.00, IF(N22&gt;=65, 2.50, IF(N22&gt;=60, 2.00, IF(N22&gt;=55, 1.50, IF(N22&gt;=50, 1.00, 0.00)))))))</f>
      </c>
      <c r="P22" s="40">
        <f>IF(N22&gt;=91,"A",IF(N22&gt;=81,"B+",IF(N22&gt;=70,"B",IF(N22&gt;=65,"C+",IF(N22&gt;=60,"C",IF(N22&gt;=55,"D+",IF(N22&gt;=50,"D","F")))))))</f>
      </c>
      <c r="Q22" s="42">
        <v>95</v>
      </c>
      <c r="R22" s="40">
        <f>IF(Q22&gt;=91, 4.00, IF(Q22&gt;=81, 3.50, IF(Q22&gt;=70, 3.00, IF(Q22&gt;=65, 2.50, IF(Q22&gt;=60, 2.00, IF(Q22&gt;=55, 1.50, IF(Q22&gt;=50, 1.00, 0.00)))))))</f>
      </c>
      <c r="S22" s="40">
        <f>IF(Q22&gt;=91,"A",IF(Q22&gt;=81,"B+",IF(Q22&gt;=70,"B",IF(Q22&gt;=65,"C+",IF(Q22&gt;=60,"C",IF(Q22&gt;=55,"D+",IF(Q22&gt;=50,"D","F")))))))</f>
      </c>
      <c r="T22" s="42">
        <v>77</v>
      </c>
      <c r="U22" s="40">
        <f>IF(T22&gt;=91, 4.00, IF(T22&gt;=81, 3.50, IF(T22&gt;=70, 3.00, IF(T22&gt;=65, 2.50, IF(T22&gt;=60, 2.00, IF(T22&gt;=55, 1.50, IF(T22&gt;=50, 1.00, 0.00)))))))</f>
      </c>
      <c r="V22" s="40">
        <f>IF(T22&gt;=91,"A",IF(T22&gt;=81,"B+",IF(T22&gt;=70,"B",IF(T22&gt;=65,"C+",IF(T22&gt;=60,"C",IF(T22&gt;=55,"D+",IF(T22&gt;=50,"D","F")))))))</f>
      </c>
      <c r="W22" s="42">
        <v>80</v>
      </c>
      <c r="X22" s="40">
        <f>IF(W22&gt;=91, 4.00, IF(W22&gt;=81, 3.50, IF(W22&gt;=70, 3.00, IF(W22&gt;=65, 2.50, IF(W22&gt;=60, 2.00, IF(W22&gt;=55, 1.50, IF(W22&gt;=50, 1.00, 0.00)))))))</f>
      </c>
      <c r="Y22" s="40">
        <f>IF(W22&gt;=91,"A",IF(W22&gt;=81,"B+",IF(W22&gt;=70,"B",IF(W22&gt;=65,"C+",IF(W22&gt;=60,"C",IF(W22&gt;=55,"D+",IF(W22&gt;=50,"D","F")))))))</f>
      </c>
      <c r="Z22" s="46">
        <v>83</v>
      </c>
      <c r="AA22" s="40">
        <f>IF(Z22&gt;=91, 4.00, IF(Z22&gt;=81, 3.50, IF(Z22&gt;=70, 3.00, IF(Z22&gt;=65, 2.50, IF(Z22&gt;=60, 2.00, IF(Z22&gt;=55, 1.50, IF(Z22&gt;=50, 1.00, 0.00)))))))</f>
      </c>
      <c r="AB22" s="40">
        <f>IF(Z22&gt;=91,"A",IF(Z22&gt;=81,"B+",IF(Z22&gt;=70,"B",IF(Z22&gt;=65,"C+",IF(Z22&gt;=60,"C",IF(Z22&gt;=55,"D+",IF(Z22&gt;=50,"D","F")))))))</f>
      </c>
      <c r="AC22" s="42">
        <v>86</v>
      </c>
      <c r="AD22" s="40">
        <f>IF(AC22&gt;=91, 4.00, IF(AC22&gt;=81, 3.50, IF(AC22&gt;=70, 3.00, IF(AC22&gt;=65, 2.50, IF(AC22&gt;=60, 2.00, IF(AC22&gt;=55, 1.50, IF(AC22&gt;=50, 1.00, 0.00)))))))</f>
      </c>
      <c r="AE22" s="40">
        <f>IF(AC22&gt;=91,"A",IF(AC22&gt;=81,"B+",IF(AC22&gt;=70,"B",IF(AC22&gt;=65,"C+",IF(AC22&gt;=60,"C",IF(AC22&gt;=55,"D+",IF(AC22&gt;=50,"D","F")))))))</f>
      </c>
      <c r="AF22" s="40">
        <v>89</v>
      </c>
      <c r="AG22" s="40">
        <f>IF(AF22&gt;=91, 4.00, IF(AF22&gt;=81, 3.50, IF(AF22&gt;=70, 3.00, IF(AF22&gt;=65, 2.50, IF(AF22&gt;=60, 2.00, IF(AF22&gt;=55, 1.50, IF(AF22&gt;=50, 1.00, 0.00)))))))</f>
      </c>
      <c r="AH22" s="40">
        <f>IF(AF22&gt;=91,"A",IF(AF22&gt;=81,"B+",IF(AF22&gt;=70,"B",IF(AF22&gt;=65,"C+",IF(AF22&gt;=60,"C",IF(AF22&gt;=55,"D+",IF(AF22&gt;=50,"D","F")))))))</f>
      </c>
      <c r="AI22" s="46">
        <v>92</v>
      </c>
      <c r="AJ22" s="40">
        <f>IF(AI22&gt;=91, 4.00, IF(AI22&gt;=81, 3.50, IF(AI22&gt;=70, 3.00, IF(AI22&gt;=65, 2.50, IF(AI22&gt;=60, 2.00, IF(AI22&gt;=55, 1.50, IF(AI22&gt;=50, 1.00, 0.00)))))))</f>
      </c>
      <c r="AK22" s="40">
        <f>IF(AI22&gt;=91,"A",IF(AI22&gt;=81,"B+",IF(AI22&gt;=70,"B",IF(AI22&gt;=65,"C+",IF(AI22&gt;=60,"C",IF(AI22&gt;=55,"D+",IF(AI22&gt;=50,"D","F")))))))</f>
      </c>
      <c r="AL22" s="42">
        <f>ROUND((L22*3+O22*2+R22*1+U22*1+X22*1+AA22*2+AD22*2+AG22*1+AJ22*2)/15, 2)</f>
      </c>
      <c r="AM22" s="40" t="str">
        <f>IF(AL22&gt;90,"4.00",IF(AL22&gt;80,"3.50",IF(AL22&gt;69,"3.00",IF(AL22&gt;64,"2.50",IF(AL22&gt;59,"2.00",IF(AL22&gt;54,"1.50",IF(AL22&gt;49,"1.00","0.00")))))))</f>
        <v>0.00</v>
      </c>
      <c r="AN22" s="40">
        <f>IF(AM22&gt;=91, 4.00, IF(AM22&gt;=81, 3.50, IF(AM22&gt;=70, 3.00, IF(AM22&gt;=65, 2.50, IF(AM22&gt;=60, 2.00, IF(AM22&gt;=55, 1.50, IF(AM22&gt;=50, 1.00, 0.00)))))))</f>
      </c>
      <c r="AO22" s="40">
        <f>IF(AM22&gt;=91,"A",IF(AM22&gt;=81,"B+",IF(AM22&gt;=70,"B",IF(AM22&gt;=65,"C+",IF(AM22&gt;=60,"C",IF(AM22&gt;=55,"D+",IF(AM22&gt;=50,"D","F")))))))</f>
      </c>
      <c r="AP22" s="40" t="str">
        <f>IF(AO22&gt;90,"4.00",IF(AO22&gt;80,"3.50",IF(AO22&gt;69,"3.00",IF(AO22&gt;64,"2.50",IF(AO22&gt;59,"2.00",IF(AO22&gt;54,"1.50",IF(AO22&gt;49,"1.00","0.00")))))))</f>
        <v>0.00</v>
      </c>
      <c r="AQ22" s="40">
        <f>IF(AP22&gt;=91, 4.00, IF(AP22&gt;=81, 3.50, IF(AP22&gt;=70, 3.00, IF(AP22&gt;=65, 2.50, IF(AP22&gt;=60, 2.00, IF(AP22&gt;=55, 1.50, IF(AP22&gt;=50, 1.00, 0.00)))))))</f>
      </c>
      <c r="AR22" s="40">
        <f>IF(AP22&gt;=91,"A",IF(AP22&gt;=81,"B+",IF(AP22&gt;=70,"B",IF(AP22&gt;=65,"C+",IF(AP22&gt;=60,"C",IF(AP22&gt;=55,"D+",IF(AP22&gt;=50,"D","F")))))))</f>
      </c>
      <c r="AS22" s="47">
        <v>81</v>
      </c>
      <c r="AT22" s="40">
        <f>IF(AS22&gt;=91, 4.00, IF(AS22&gt;=81, 3.50, IF(AS22&gt;=70, 3.00, IF(AS22&gt;=65, 2.50, IF(AS22&gt;=60, 2.00, IF(AS22&gt;=55, 1.50, IF(AS22&gt;=50, 1.00, 0.00)))))))</f>
      </c>
      <c r="AU22" s="40">
        <f>IF(AS22&gt;=91,"A",IF(AS22&gt;=81,"B+",IF(AS22&gt;=70,"B",IF(AS22&gt;=65,"C+",IF(AS22&gt;=60,"C",IF(AS22&gt;=55,"D+",IF(AS22&gt;=50,"D","F")))))))</f>
      </c>
      <c r="AV22" s="40" t="s">
        <v>43</v>
      </c>
      <c r="AW22" s="40">
        <f>IF(AV22&gt;=91, 4.00, IF(AV22&gt;=81, 3.50, IF(AV22&gt;=70, 3.00, IF(AV22&gt;=65, 2.50, IF(AV22&gt;=60, 2.00, IF(AV22&gt;=55, 1.50, IF(AV22&gt;=50, 1.00, 0.00)))))))</f>
      </c>
      <c r="AX22" s="40">
        <f>IF(AV22&gt;=91,"A",IF(AV22&gt;=81,"B+",IF(AV22&gt;=70,"B",IF(AV22&gt;=65,"C+",IF(AV22&gt;=60,"C",IF(AV22&gt;=55,"D+",IF(AV22&gt;=50,"D","F")))))))</f>
      </c>
      <c r="AY22" s="40" t="s">
        <v>292</v>
      </c>
      <c r="AZ22" s="40">
        <f>IF(AY22&gt;=91, 4.00, IF(AY22&gt;=81, 3.50, IF(AY22&gt;=70, 3.00, IF(AY22&gt;=65, 2.50, IF(AY22&gt;=60, 2.00, IF(AY22&gt;=55, 1.50, IF(AY22&gt;=50, 1.00, 0.00)))))))</f>
      </c>
      <c r="BA22" s="44">
        <f>IF(AY22&gt;=91,"A",IF(AY22&gt;=81,"B+",IF(AY22&gt;=70,"B",IF(AY22&gt;=65,"C+",IF(AY22&gt;=60,"C",IF(AY22&gt;=55,"D+",IF(AY22&gt;=50,"D","F")))))))</f>
      </c>
      <c r="BB22" s="112">
        <v>90</v>
      </c>
      <c r="BC22" s="48">
        <f>IF(BB22&gt;=91, 4.00, IF(BB22&gt;=81, 3.50, IF(BB22&gt;=70, 3.00, IF(BB22&gt;=65, 2.50, IF(BB22&gt;=60, 2.00, IF(BB22&gt;=55, 1.50, IF(BB22&gt;=50, 1.00, 0.00)))))))</f>
      </c>
      <c r="BD22" s="49">
        <f>IF(BB22&gt;=91,"A",IF(BB22&gt;=81,"B+",IF(BB22&gt;=70,"B",IF(BB22&gt;=65,"C+",IF(BB22&gt;=60,"C",IF(BB22&gt;=55,"D+",IF(BB22&gt;=50,"D","F")))))))</f>
      </c>
      <c r="BE22" s="40" t="str">
        <f>IF(BC22&gt;90,"A",IF(BC22&gt;80,"B+",IF(BC22&gt;69,"B",IF(BC22&gt;64,"C+",IF(BC22&gt;59,"C",IF(BC22&gt;54,"D+",IF(BC22&gt;49,"D",IF(BC22&gt;=0,"F"))))))))</f>
        <v>F</v>
      </c>
      <c r="BF22" s="48">
        <f>IF(BE22&gt;=91, 4.00, IF(BE22&gt;=81, 3.50, IF(BE22&gt;=70, 3.00, IF(BE22&gt;=65, 2.50, IF(BE22&gt;=60, 2.00, IF(BE22&gt;=55, 1.50, IF(BE22&gt;=50, 1.00, 0.00)))))))</f>
      </c>
      <c r="BG22" s="49">
        <f>IF(BE22&gt;=91,"A",IF(BE22&gt;=81,"B+",IF(BE22&gt;=70,"B",IF(BE22&gt;=65,"C+",IF(BE22&gt;=60,"C",IF(BE22&gt;=55,"D+",IF(BE22&gt;=50,"D","F")))))))</f>
      </c>
      <c r="BH22" s="40" t="str">
        <f>IF(BF22&gt;90,"A",IF(BF22&gt;80,"B+",IF(BF22&gt;69,"B",IF(BF22&gt;64,"C+",IF(BF22&gt;59,"C",IF(BF22&gt;54,"D+",IF(BF22&gt;49,"D",IF(BF22&gt;=0,"F"))))))))</f>
        <v>F</v>
      </c>
      <c r="BI22" s="43">
        <f>IF(BH22&gt;=91, 4.00, IF(BH22&gt;=81, 3.50, IF(BH22&gt;=70, 3.00, IF(BH22&gt;=65, 2.50, IF(BH22&gt;=60, 2.00, IF(BH22&gt;=55, 1.50, IF(BH22&gt;=50, 1.00, 0.00)))))))</f>
      </c>
      <c r="BJ22" s="49">
        <f>IF(BH22&gt;=91,"A",IF(BH22&gt;=81,"B+",IF(BH22&gt;=70,"B",IF(BH22&gt;=65,"C+",IF(BH22&gt;=60,"C",IF(BH22&gt;=55,"D+",IF(BH22&gt;=50,"D","F")))))))</f>
      </c>
      <c r="BK22" s="40" t="str">
        <f>IF(BI22&gt;90,"A",IF(BI22&gt;80,"B+",IF(BI22&gt;69,"B",IF(BI22&gt;64,"C+",IF(BI22&gt;59,"C",IF(BI22&gt;54,"D+",IF(BI22&gt;49,"D",IF(BI22&gt;=0,"F"))))))))</f>
        <v>F</v>
      </c>
      <c r="BL22" s="48">
        <f>IF(BK22&gt;=91, 4.00, IF(BK22&gt;=81, 3.50, IF(BK22&gt;=70, 3.00, IF(BK22&gt;=65, 2.50, IF(BK22&gt;=60, 2.00, IF(BK22&gt;=55, 1.50, IF(BK22&gt;=50, 1.00, 0.00)))))))</f>
      </c>
      <c r="BM22" s="49">
        <f>IF(BK22&gt;=91,"A",IF(BK22&gt;=81,"B+",IF(BK22&gt;=70,"B",IF(BK22&gt;=65,"C+",IF(BK22&gt;=60,"C",IF(BK22&gt;=55,"D+",IF(BK22&gt;=50,"D","F")))))))</f>
      </c>
      <c r="BN22" s="40">
        <f>ROUND((AN22*3+AQ22*2+AT22*1+AW22*1+AZ22*1+BC22*2+BF22*2+BI22*1+BL22*2)/15, 2)</f>
      </c>
      <c r="BO22" s="43"/>
      <c r="BP22" s="49" t="str">
        <f>IF(BO22&gt;90,"4.00",IF(BO22&gt;80,"3.50",IF(BO22&gt;69,"3.00",IF(BO22&gt;64,"2.50",IF(BO22&gt;59,"2.00",IF(BO22&gt;54,"1.50",IF(BO22&gt;49,"1.00","0.00")))))))</f>
        <v>0.00</v>
      </c>
      <c r="BQ22" s="40" t="str">
        <f>IF(BO22&gt;90,"A",IF(BO22&gt;80,"B+",IF(BO22&gt;69,"B",IF(BO22&gt;64,"C+",IF(BO22&gt;59,"C",IF(BO22&gt;54,"D+",IF(BO22&gt;49,"D",IF(BO22&gt;=0,"F"))))))))</f>
        <v>F</v>
      </c>
      <c r="BR22" s="43"/>
      <c r="BS22" s="49" t="str">
        <f>IF(BR22&gt;90,"4.00",IF(BR22&gt;80,"3.50",IF(BR22&gt;69,"3.00",IF(BR22&gt;64,"2.50",IF(BR22&gt;59,"2.00",IF(BR22&gt;54,"1.50",IF(BR22&gt;49,"1.00","0.00")))))))</f>
        <v>0.00</v>
      </c>
      <c r="BT22" s="40" t="str">
        <f>IF(BR22&gt;90,"A",IF(BR22&gt;80,"B+",IF(BR22&gt;69,"B",IF(BR22&gt;64,"C+",IF(BR22&gt;59,"C",IF(BR22&gt;54,"D+",IF(BR22&gt;49,"D",IF(BR22&gt;=0,"F"))))))))</f>
        <v>F</v>
      </c>
      <c r="BU22" s="49"/>
      <c r="BV22" s="49" t="str">
        <f>IF(BU22&gt;90,"4.00",IF(BU22&gt;80,"3.50",IF(BU22&gt;69,"3.00",IF(BU22&gt;64,"2.50",IF(BU22&gt;59,"2.00",IF(BU22&gt;54,"1.50",IF(BU22&gt;49,"1.00","0.00")))))))</f>
        <v>0.00</v>
      </c>
      <c r="BW22" s="40" t="str">
        <f>IF(BU22&gt;90,"A",IF(BU22&gt;80,"B+",IF(BU22&gt;69,"B",IF(BU22&gt;64,"C+",IF(BU22&gt;59,"C",IF(BU22&gt;54,"D+",IF(BU22&gt;49,"D",IF(BU22&gt;=0,"F"))))))))</f>
        <v>F</v>
      </c>
      <c r="BX22" s="49"/>
      <c r="BY22" s="49" t="str">
        <f>IF(BX22&gt;90,"4.00",IF(BX22&gt;80,"3.50",IF(BX22&gt;69,"3.00",IF(BX22&gt;64,"2.50",IF(BX22&gt;59,"2.00",IF(BX22&gt;54,"1.50",IF(BX22&gt;49,"1.00","0.00")))))))</f>
        <v>0.00</v>
      </c>
      <c r="BZ22" s="40" t="str">
        <f>IF(BX22&gt;90,"A",IF(BX22&gt;80,"B+",IF(BX22&gt;69,"B",IF(BX22&gt;64,"C+",IF(BX22&gt;59,"C",IF(BX22&gt;54,"D+",IF(BX22&gt;49,"D",IF(BX22&gt;=0,"F"))))))))</f>
        <v>F</v>
      </c>
      <c r="CA22" s="49"/>
      <c r="CB22" s="49" t="str">
        <f>IF(CA22&gt;90,"4.00",IF(CA22&gt;80,"3.50",IF(CA22&gt;69,"3.00",IF(CA22&gt;64,"2.50",IF(CA22&gt;59,"2.00",IF(CA22&gt;54,"1.50",IF(CA22&gt;49,"1.00","0.00")))))))</f>
        <v>0.00</v>
      </c>
      <c r="CC22" s="40" t="str">
        <f>IF(CA22&gt;90,"A",IF(CA22&gt;80,"B+",IF(CA22&gt;69,"B",IF(CA22&gt;64,"C+",IF(CA22&gt;59,"C",IF(CA22&gt;54,"D+",IF(CA22&gt;49,"D",IF(CA22&gt;=0,"F"))))))))</f>
        <v>F</v>
      </c>
      <c r="CD22" s="50">
        <f>(BD22*3+BG22*2+BJ22*1+BM22*2+BP22*1+BS22*1+BV22*2+BY22*2+CB22*2)/(3+2+1+2+1+1+2+2+2)</f>
        <v>0</v>
      </c>
      <c r="CE22" s="50">
        <f>(AR22+CD22)/2</f>
        <v>0</v>
      </c>
      <c r="CF22" s="51">
        <f>RANK(CE22,$CE$7:CE51)</f>
        <v>1</v>
      </c>
      <c r="CG22" s="113"/>
      <c r="CH22" s="52"/>
      <c r="CI22" s="52"/>
      <c r="CJ22" s="52"/>
    </row>
    <row r="23" ht="20" customHeight="1" spans="1:199" s="39" customFormat="1" x14ac:dyDescent="0.25">
      <c r="A23" s="40">
        <v>17</v>
      </c>
      <c r="B23" s="40" t="s">
        <v>86</v>
      </c>
      <c r="C23" s="40" t="s">
        <v>43</v>
      </c>
      <c r="D23" s="40" t="s">
        <v>142</v>
      </c>
      <c r="E23" s="40" t="s">
        <v>143</v>
      </c>
      <c r="F23" s="40" t="s">
        <v>293</v>
      </c>
      <c r="G23" s="40" t="s">
        <v>145</v>
      </c>
      <c r="H23" s="111"/>
      <c r="I23" s="112"/>
      <c r="J23" s="40">
        <v>1</v>
      </c>
      <c r="K23" s="42">
        <v>92</v>
      </c>
      <c r="L23" s="40">
        <f>IF(K23&gt;=91, 4.00, IF(K23&gt;=81, 3.50, IF(K23&gt;=70, 3.00, IF(K23&gt;=65, 2.50, IF(K23&gt;=60, 2.00, IF(K23&gt;=55, 1.50, IF(K23&gt;=50, 1.00, 0.00)))))))</f>
      </c>
      <c r="M23" s="40">
        <f>IF(K23&gt;=91,"A",IF(K23&gt;=81,"B+",IF(K23&gt;=70,"B",IF(K23&gt;=65,"C+",IF(K23&gt;=60,"C",IF(K23&gt;=55,"D+",IF(K23&gt;=50,"D","F")))))))</f>
      </c>
      <c r="N23" s="42">
        <v>95</v>
      </c>
      <c r="O23" s="40">
        <f>IF(N23&gt;=91, 4.00, IF(N23&gt;=81, 3.50, IF(N23&gt;=70, 3.00, IF(N23&gt;=65, 2.50, IF(N23&gt;=60, 2.00, IF(N23&gt;=55, 1.50, IF(N23&gt;=50, 1.00, 0.00)))))))</f>
      </c>
      <c r="P23" s="40">
        <f>IF(N23&gt;=91,"A",IF(N23&gt;=81,"B+",IF(N23&gt;=70,"B",IF(N23&gt;=65,"C+",IF(N23&gt;=60,"C",IF(N23&gt;=55,"D+",IF(N23&gt;=50,"D","F")))))))</f>
      </c>
      <c r="Q23" s="42">
        <v>77</v>
      </c>
      <c r="R23" s="40">
        <f>IF(Q23&gt;=91, 4.00, IF(Q23&gt;=81, 3.50, IF(Q23&gt;=70, 3.00, IF(Q23&gt;=65, 2.50, IF(Q23&gt;=60, 2.00, IF(Q23&gt;=55, 1.50, IF(Q23&gt;=50, 1.00, 0.00)))))))</f>
      </c>
      <c r="S23" s="40">
        <f>IF(Q23&gt;=91,"A",IF(Q23&gt;=81,"B+",IF(Q23&gt;=70,"B",IF(Q23&gt;=65,"C+",IF(Q23&gt;=60,"C",IF(Q23&gt;=55,"D+",IF(Q23&gt;=50,"D","F")))))))</f>
      </c>
      <c r="T23" s="42">
        <v>80</v>
      </c>
      <c r="U23" s="40">
        <f>IF(T23&gt;=91, 4.00, IF(T23&gt;=81, 3.50, IF(T23&gt;=70, 3.00, IF(T23&gt;=65, 2.50, IF(T23&gt;=60, 2.00, IF(T23&gt;=55, 1.50, IF(T23&gt;=50, 1.00, 0.00)))))))</f>
      </c>
      <c r="V23" s="40">
        <f>IF(T23&gt;=91,"A",IF(T23&gt;=81,"B+",IF(T23&gt;=70,"B",IF(T23&gt;=65,"C+",IF(T23&gt;=60,"C",IF(T23&gt;=55,"D+",IF(T23&gt;=50,"D","F")))))))</f>
      </c>
      <c r="W23" s="42">
        <v>83</v>
      </c>
      <c r="X23" s="40">
        <f>IF(W23&gt;=91, 4.00, IF(W23&gt;=81, 3.50, IF(W23&gt;=70, 3.00, IF(W23&gt;=65, 2.50, IF(W23&gt;=60, 2.00, IF(W23&gt;=55, 1.50, IF(W23&gt;=50, 1.00, 0.00)))))))</f>
      </c>
      <c r="Y23" s="40">
        <f>IF(W23&gt;=91,"A",IF(W23&gt;=81,"B+",IF(W23&gt;=70,"B",IF(W23&gt;=65,"C+",IF(W23&gt;=60,"C",IF(W23&gt;=55,"D+",IF(W23&gt;=50,"D","F")))))))</f>
      </c>
      <c r="Z23" s="46">
        <v>86</v>
      </c>
      <c r="AA23" s="40">
        <f>IF(Z23&gt;=91, 4.00, IF(Z23&gt;=81, 3.50, IF(Z23&gt;=70, 3.00, IF(Z23&gt;=65, 2.50, IF(Z23&gt;=60, 2.00, IF(Z23&gt;=55, 1.50, IF(Z23&gt;=50, 1.00, 0.00)))))))</f>
      </c>
      <c r="AB23" s="40">
        <f>IF(Z23&gt;=91,"A",IF(Z23&gt;=81,"B+",IF(Z23&gt;=70,"B",IF(Z23&gt;=65,"C+",IF(Z23&gt;=60,"C",IF(Z23&gt;=55,"D+",IF(Z23&gt;=50,"D","F")))))))</f>
      </c>
      <c r="AC23" s="42">
        <v>89</v>
      </c>
      <c r="AD23" s="40">
        <f>IF(AC23&gt;=91, 4.00, IF(AC23&gt;=81, 3.50, IF(AC23&gt;=70, 3.00, IF(AC23&gt;=65, 2.50, IF(AC23&gt;=60, 2.00, IF(AC23&gt;=55, 1.50, IF(AC23&gt;=50, 1.00, 0.00)))))))</f>
      </c>
      <c r="AE23" s="40">
        <f>IF(AC23&gt;=91,"A",IF(AC23&gt;=81,"B+",IF(AC23&gt;=70,"B",IF(AC23&gt;=65,"C+",IF(AC23&gt;=60,"C",IF(AC23&gt;=55,"D+",IF(AC23&gt;=50,"D","F")))))))</f>
      </c>
      <c r="AF23" s="40">
        <v>92</v>
      </c>
      <c r="AG23" s="40">
        <f>IF(AF23&gt;=91, 4.00, IF(AF23&gt;=81, 3.50, IF(AF23&gt;=70, 3.00, IF(AF23&gt;=65, 2.50, IF(AF23&gt;=60, 2.00, IF(AF23&gt;=55, 1.50, IF(AF23&gt;=50, 1.00, 0.00)))))))</f>
      </c>
      <c r="AH23" s="40">
        <f>IF(AF23&gt;=91,"A",IF(AF23&gt;=81,"B+",IF(AF23&gt;=70,"B",IF(AF23&gt;=65,"C+",IF(AF23&gt;=60,"C",IF(AF23&gt;=55,"D+",IF(AF23&gt;=50,"D","F")))))))</f>
      </c>
      <c r="AI23" s="46">
        <v>95</v>
      </c>
      <c r="AJ23" s="40">
        <f>IF(AI23&gt;=91, 4.00, IF(AI23&gt;=81, 3.50, IF(AI23&gt;=70, 3.00, IF(AI23&gt;=65, 2.50, IF(AI23&gt;=60, 2.00, IF(AI23&gt;=55, 1.50, IF(AI23&gt;=50, 1.00, 0.00)))))))</f>
      </c>
      <c r="AK23" s="40">
        <f>IF(AI23&gt;=91,"A",IF(AI23&gt;=81,"B+",IF(AI23&gt;=70,"B",IF(AI23&gt;=65,"C+",IF(AI23&gt;=60,"C",IF(AI23&gt;=55,"D+",IF(AI23&gt;=50,"D","F")))))))</f>
      </c>
      <c r="AL23" s="42">
        <f>ROUND((L23*3+O23*2+R23*1+U23*1+X23*1+AA23*2+AD23*2+AG23*1+AJ23*2)/15, 2)</f>
      </c>
      <c r="AM23" s="40" t="str">
        <f>IF(AL23&gt;90,"4.00",IF(AL23&gt;80,"3.50",IF(AL23&gt;69,"3.00",IF(AL23&gt;64,"2.50",IF(AL23&gt;59,"2.00",IF(AL23&gt;54,"1.50",IF(AL23&gt;49,"1.00","0.00")))))))</f>
        <v>0.00</v>
      </c>
      <c r="AN23" s="40">
        <f>IF(AM23&gt;=91, 4.00, IF(AM23&gt;=81, 3.50, IF(AM23&gt;=70, 3.00, IF(AM23&gt;=65, 2.50, IF(AM23&gt;=60, 2.00, IF(AM23&gt;=55, 1.50, IF(AM23&gt;=50, 1.00, 0.00)))))))</f>
      </c>
      <c r="AO23" s="40">
        <f>IF(AM23&gt;=91,"A",IF(AM23&gt;=81,"B+",IF(AM23&gt;=70,"B",IF(AM23&gt;=65,"C+",IF(AM23&gt;=60,"C",IF(AM23&gt;=55,"D+",IF(AM23&gt;=50,"D","F")))))))</f>
      </c>
      <c r="AP23" s="40" t="str">
        <f>IF(AO23&gt;90,"4.00",IF(AO23&gt;80,"3.50",IF(AO23&gt;69,"3.00",IF(AO23&gt;64,"2.50",IF(AO23&gt;59,"2.00",IF(AO23&gt;54,"1.50",IF(AO23&gt;49,"1.00","0.00")))))))</f>
        <v>0.00</v>
      </c>
      <c r="AQ23" s="40">
        <f>IF(AP23&gt;=91, 4.00, IF(AP23&gt;=81, 3.50, IF(AP23&gt;=70, 3.00, IF(AP23&gt;=65, 2.50, IF(AP23&gt;=60, 2.00, IF(AP23&gt;=55, 1.50, IF(AP23&gt;=50, 1.00, 0.00)))))))</f>
      </c>
      <c r="AR23" s="40">
        <f>IF(AP23&gt;=91,"A",IF(AP23&gt;=81,"B+",IF(AP23&gt;=70,"B",IF(AP23&gt;=65,"C+",IF(AP23&gt;=60,"C",IF(AP23&gt;=55,"D+",IF(AP23&gt;=50,"D","F")))))))</f>
      </c>
      <c r="AS23" s="47">
        <v>84</v>
      </c>
      <c r="AT23" s="40">
        <f>IF(AS23&gt;=91, 4.00, IF(AS23&gt;=81, 3.50, IF(AS23&gt;=70, 3.00, IF(AS23&gt;=65, 2.50, IF(AS23&gt;=60, 2.00, IF(AS23&gt;=55, 1.50, IF(AS23&gt;=50, 1.00, 0.00)))))))</f>
      </c>
      <c r="AU23" s="40">
        <f>IF(AS23&gt;=91,"A",IF(AS23&gt;=81,"B+",IF(AS23&gt;=70,"B",IF(AS23&gt;=65,"C+",IF(AS23&gt;=60,"C",IF(AS23&gt;=55,"D+",IF(AS23&gt;=50,"D","F")))))))</f>
      </c>
      <c r="AV23" s="40" t="s">
        <v>43</v>
      </c>
      <c r="AW23" s="40">
        <f>IF(AV23&gt;=91, 4.00, IF(AV23&gt;=81, 3.50, IF(AV23&gt;=70, 3.00, IF(AV23&gt;=65, 2.50, IF(AV23&gt;=60, 2.00, IF(AV23&gt;=55, 1.50, IF(AV23&gt;=50, 1.00, 0.00)))))))</f>
      </c>
      <c r="AX23" s="40">
        <f>IF(AV23&gt;=91,"A",IF(AV23&gt;=81,"B+",IF(AV23&gt;=70,"B",IF(AV23&gt;=65,"C+",IF(AV23&gt;=60,"C",IF(AV23&gt;=55,"D+",IF(AV23&gt;=50,"D","F")))))))</f>
      </c>
      <c r="AY23" s="40" t="s">
        <v>293</v>
      </c>
      <c r="AZ23" s="40">
        <f>IF(AY23&gt;=91, 4.00, IF(AY23&gt;=81, 3.50, IF(AY23&gt;=70, 3.00, IF(AY23&gt;=65, 2.50, IF(AY23&gt;=60, 2.00, IF(AY23&gt;=55, 1.50, IF(AY23&gt;=50, 1.00, 0.00)))))))</f>
      </c>
      <c r="BA23" s="111">
        <f>IF(AY23&gt;=91,"A",IF(AY23&gt;=81,"B+",IF(AY23&gt;=70,"B",IF(AY23&gt;=65,"C+",IF(AY23&gt;=60,"C",IF(AY23&gt;=55,"D+",IF(AY23&gt;=50,"D","F")))))))</f>
      </c>
      <c r="BB23" s="112">
        <v>93</v>
      </c>
      <c r="BC23" s="48">
        <f>IF(BB23&gt;=91, 4.00, IF(BB23&gt;=81, 3.50, IF(BB23&gt;=70, 3.00, IF(BB23&gt;=65, 2.50, IF(BB23&gt;=60, 2.00, IF(BB23&gt;=55, 1.50, IF(BB23&gt;=50, 1.00, 0.00)))))))</f>
      </c>
      <c r="BD23" s="49">
        <f>IF(BB23&gt;=91,"A",IF(BB23&gt;=81,"B+",IF(BB23&gt;=70,"B",IF(BB23&gt;=65,"C+",IF(BB23&gt;=60,"C",IF(BB23&gt;=55,"D+",IF(BB23&gt;=50,"D","F")))))))</f>
      </c>
      <c r="BE23" s="40" t="str">
        <f>IF(BC23&gt;90,"A",IF(BC23&gt;80,"B+",IF(BC23&gt;69,"B",IF(BC23&gt;64,"C+",IF(BC23&gt;59,"C",IF(BC23&gt;54,"D+",IF(BC23&gt;49,"D",IF(BC23&gt;=0,"F"))))))))</f>
        <v>F</v>
      </c>
      <c r="BF23" s="48">
        <f>IF(BE23&gt;=91, 4.00, IF(BE23&gt;=81, 3.50, IF(BE23&gt;=70, 3.00, IF(BE23&gt;=65, 2.50, IF(BE23&gt;=60, 2.00, IF(BE23&gt;=55, 1.50, IF(BE23&gt;=50, 1.00, 0.00)))))))</f>
      </c>
      <c r="BG23" s="49">
        <f>IF(BE23&gt;=91,"A",IF(BE23&gt;=81,"B+",IF(BE23&gt;=70,"B",IF(BE23&gt;=65,"C+",IF(BE23&gt;=60,"C",IF(BE23&gt;=55,"D+",IF(BE23&gt;=50,"D","F")))))))</f>
      </c>
      <c r="BH23" s="40" t="str">
        <f>IF(BF23&gt;90,"A",IF(BF23&gt;80,"B+",IF(BF23&gt;69,"B",IF(BF23&gt;64,"C+",IF(BF23&gt;59,"C",IF(BF23&gt;54,"D+",IF(BF23&gt;49,"D",IF(BF23&gt;=0,"F"))))))))</f>
        <v>F</v>
      </c>
      <c r="BI23" s="43">
        <f>IF(BH23&gt;=91, 4.00, IF(BH23&gt;=81, 3.50, IF(BH23&gt;=70, 3.00, IF(BH23&gt;=65, 2.50, IF(BH23&gt;=60, 2.00, IF(BH23&gt;=55, 1.50, IF(BH23&gt;=50, 1.00, 0.00)))))))</f>
      </c>
      <c r="BJ23" s="49">
        <f>IF(BH23&gt;=91,"A",IF(BH23&gt;=81,"B+",IF(BH23&gt;=70,"B",IF(BH23&gt;=65,"C+",IF(BH23&gt;=60,"C",IF(BH23&gt;=55,"D+",IF(BH23&gt;=50,"D","F")))))))</f>
      </c>
      <c r="BK23" s="40" t="str">
        <f>IF(BI23&gt;90,"A",IF(BI23&gt;80,"B+",IF(BI23&gt;69,"B",IF(BI23&gt;64,"C+",IF(BI23&gt;59,"C",IF(BI23&gt;54,"D+",IF(BI23&gt;49,"D",IF(BI23&gt;=0,"F"))))))))</f>
        <v>F</v>
      </c>
      <c r="BL23" s="48">
        <f>IF(BK23&gt;=91, 4.00, IF(BK23&gt;=81, 3.50, IF(BK23&gt;=70, 3.00, IF(BK23&gt;=65, 2.50, IF(BK23&gt;=60, 2.00, IF(BK23&gt;=55, 1.50, IF(BK23&gt;=50, 1.00, 0.00)))))))</f>
      </c>
      <c r="BM23" s="49">
        <f>IF(BK23&gt;=91,"A",IF(BK23&gt;=81,"B+",IF(BK23&gt;=70,"B",IF(BK23&gt;=65,"C+",IF(BK23&gt;=60,"C",IF(BK23&gt;=55,"D+",IF(BK23&gt;=50,"D","F")))))))</f>
      </c>
      <c r="BN23" s="40">
        <f>ROUND((AN23*3+AQ23*2+AT23*1+AW23*1+AZ23*1+BC23*2+BF23*2+BI23*1+BL23*2)/15, 2)</f>
      </c>
      <c r="BO23" s="43"/>
      <c r="BP23" s="49" t="str">
        <f>IF(BO23&gt;90,"4.00",IF(BO23&gt;80,"3.50",IF(BO23&gt;69,"3.00",IF(BO23&gt;64,"2.50",IF(BO23&gt;59,"2.00",IF(BO23&gt;54,"1.50",IF(BO23&gt;49,"1.00","0.00")))))))</f>
        <v>0.00</v>
      </c>
      <c r="BQ23" s="40" t="str">
        <f>IF(BO23&gt;90,"A",IF(BO23&gt;80,"B+",IF(BO23&gt;69,"B",IF(BO23&gt;64,"C+",IF(BO23&gt;59,"C",IF(BO23&gt;54,"D+",IF(BO23&gt;49,"D",IF(BO23&gt;=0,"F"))))))))</f>
        <v>F</v>
      </c>
      <c r="BR23" s="43"/>
      <c r="BS23" s="49" t="str">
        <f>IF(BR23&gt;90,"4.00",IF(BR23&gt;80,"3.50",IF(BR23&gt;69,"3.00",IF(BR23&gt;64,"2.50",IF(BR23&gt;59,"2.00",IF(BR23&gt;54,"1.50",IF(BR23&gt;49,"1.00","0.00")))))))</f>
        <v>0.00</v>
      </c>
      <c r="BT23" s="40" t="str">
        <f>IF(BR23&gt;90,"A",IF(BR23&gt;80,"B+",IF(BR23&gt;69,"B",IF(BR23&gt;64,"C+",IF(BR23&gt;59,"C",IF(BR23&gt;54,"D+",IF(BR23&gt;49,"D",IF(BR23&gt;=0,"F"))))))))</f>
        <v>F</v>
      </c>
      <c r="BU23" s="49"/>
      <c r="BV23" s="49" t="str">
        <f>IF(BU23&gt;90,"4.00",IF(BU23&gt;80,"3.50",IF(BU23&gt;69,"3.00",IF(BU23&gt;64,"2.50",IF(BU23&gt;59,"2.00",IF(BU23&gt;54,"1.50",IF(BU23&gt;49,"1.00","0.00")))))))</f>
        <v>0.00</v>
      </c>
      <c r="BW23" s="40" t="str">
        <f>IF(BU23&gt;90,"A",IF(BU23&gt;80,"B+",IF(BU23&gt;69,"B",IF(BU23&gt;64,"C+",IF(BU23&gt;59,"C",IF(BU23&gt;54,"D+",IF(BU23&gt;49,"D",IF(BU23&gt;=0,"F"))))))))</f>
        <v>F</v>
      </c>
      <c r="BX23" s="49"/>
      <c r="BY23" s="49" t="str">
        <f>IF(BX23&gt;90,"4.00",IF(BX23&gt;80,"3.50",IF(BX23&gt;69,"3.00",IF(BX23&gt;64,"2.50",IF(BX23&gt;59,"2.00",IF(BX23&gt;54,"1.50",IF(BX23&gt;49,"1.00","0.00")))))))</f>
        <v>0.00</v>
      </c>
      <c r="BZ23" s="40" t="str">
        <f>IF(BX23&gt;90,"A",IF(BX23&gt;80,"B+",IF(BX23&gt;69,"B",IF(BX23&gt;64,"C+",IF(BX23&gt;59,"C",IF(BX23&gt;54,"D+",IF(BX23&gt;49,"D",IF(BX23&gt;=0,"F"))))))))</f>
        <v>F</v>
      </c>
      <c r="CA23" s="49"/>
      <c r="CB23" s="49" t="str">
        <f>IF(CA23&gt;90,"4.00",IF(CA23&gt;80,"3.50",IF(CA23&gt;69,"3.00",IF(CA23&gt;64,"2.50",IF(CA23&gt;59,"2.00",IF(CA23&gt;54,"1.50",IF(CA23&gt;49,"1.00","0.00")))))))</f>
        <v>0.00</v>
      </c>
      <c r="CC23" s="40" t="str">
        <f>IF(CA23&gt;90,"A",IF(CA23&gt;80,"B+",IF(CA23&gt;69,"B",IF(CA23&gt;64,"C+",IF(CA23&gt;59,"C",IF(CA23&gt;54,"D+",IF(CA23&gt;49,"D",IF(CA23&gt;=0,"F"))))))))</f>
        <v>F</v>
      </c>
      <c r="CD23" s="50">
        <f>(BD23*3+BG23*2+BJ23*1+BM23*2+BP23*1+BS23*1+BV23*2+BY23*2+CB23*2)/(3+2+1+2+1+1+2+2+2)</f>
        <v>0</v>
      </c>
      <c r="CE23" s="50">
        <f>(AR23+CD23)/2</f>
        <v>0</v>
      </c>
      <c r="CF23" s="51">
        <f>RANK(CE23,$CE$7:CE52)</f>
        <v>1</v>
      </c>
      <c r="CG23" s="58"/>
      <c r="CH23" s="52"/>
      <c r="CI23" s="52"/>
      <c r="CJ23" s="52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</row>
    <row r="24" ht="20" customHeight="1" spans="1:88" s="53" customFormat="1" x14ac:dyDescent="0.25">
      <c r="A24" s="40">
        <v>18</v>
      </c>
      <c r="B24" s="40" t="s">
        <v>92</v>
      </c>
      <c r="C24" s="40" t="s">
        <v>51</v>
      </c>
      <c r="D24" s="40" t="s">
        <v>147</v>
      </c>
      <c r="E24" s="40" t="s">
        <v>148</v>
      </c>
      <c r="F24" s="40" t="s">
        <v>294</v>
      </c>
      <c r="G24" s="40" t="s">
        <v>150</v>
      </c>
      <c r="H24" s="44"/>
      <c r="I24" s="112"/>
      <c r="J24" s="40">
        <v>1</v>
      </c>
      <c r="K24" s="42">
        <v>95</v>
      </c>
      <c r="L24" s="40">
        <f>IF(K24&gt;=91, 4.00, IF(K24&gt;=81, 3.50, IF(K24&gt;=70, 3.00, IF(K24&gt;=65, 2.50, IF(K24&gt;=60, 2.00, IF(K24&gt;=55, 1.50, IF(K24&gt;=50, 1.00, 0.00)))))))</f>
      </c>
      <c r="M24" s="40">
        <f>IF(K24&gt;=91,"A",IF(K24&gt;=81,"B+",IF(K24&gt;=70,"B",IF(K24&gt;=65,"C+",IF(K24&gt;=60,"C",IF(K24&gt;=55,"D+",IF(K24&gt;=50,"D","F")))))))</f>
      </c>
      <c r="N24" s="42">
        <v>77</v>
      </c>
      <c r="O24" s="40">
        <f>IF(N24&gt;=91, 4.00, IF(N24&gt;=81, 3.50, IF(N24&gt;=70, 3.00, IF(N24&gt;=65, 2.50, IF(N24&gt;=60, 2.00, IF(N24&gt;=55, 1.50, IF(N24&gt;=50, 1.00, 0.00)))))))</f>
      </c>
      <c r="P24" s="40">
        <f>IF(N24&gt;=91,"A",IF(N24&gt;=81,"B+",IF(N24&gt;=70,"B",IF(N24&gt;=65,"C+",IF(N24&gt;=60,"C",IF(N24&gt;=55,"D+",IF(N24&gt;=50,"D","F")))))))</f>
      </c>
      <c r="Q24" s="42">
        <v>80</v>
      </c>
      <c r="R24" s="40">
        <f>IF(Q24&gt;=91, 4.00, IF(Q24&gt;=81, 3.50, IF(Q24&gt;=70, 3.00, IF(Q24&gt;=65, 2.50, IF(Q24&gt;=60, 2.00, IF(Q24&gt;=55, 1.50, IF(Q24&gt;=50, 1.00, 0.00)))))))</f>
      </c>
      <c r="S24" s="40">
        <f>IF(Q24&gt;=91,"A",IF(Q24&gt;=81,"B+",IF(Q24&gt;=70,"B",IF(Q24&gt;=65,"C+",IF(Q24&gt;=60,"C",IF(Q24&gt;=55,"D+",IF(Q24&gt;=50,"D","F")))))))</f>
      </c>
      <c r="T24" s="42">
        <v>83</v>
      </c>
      <c r="U24" s="40">
        <f>IF(T24&gt;=91, 4.00, IF(T24&gt;=81, 3.50, IF(T24&gt;=70, 3.00, IF(T24&gt;=65, 2.50, IF(T24&gt;=60, 2.00, IF(T24&gt;=55, 1.50, IF(T24&gt;=50, 1.00, 0.00)))))))</f>
      </c>
      <c r="V24" s="40">
        <f>IF(T24&gt;=91,"A",IF(T24&gt;=81,"B+",IF(T24&gt;=70,"B",IF(T24&gt;=65,"C+",IF(T24&gt;=60,"C",IF(T24&gt;=55,"D+",IF(T24&gt;=50,"D","F")))))))</f>
      </c>
      <c r="W24" s="42">
        <v>86</v>
      </c>
      <c r="X24" s="40">
        <f>IF(W24&gt;=91, 4.00, IF(W24&gt;=81, 3.50, IF(W24&gt;=70, 3.00, IF(W24&gt;=65, 2.50, IF(W24&gt;=60, 2.00, IF(W24&gt;=55, 1.50, IF(W24&gt;=50, 1.00, 0.00)))))))</f>
      </c>
      <c r="Y24" s="40">
        <f>IF(W24&gt;=91,"A",IF(W24&gt;=81,"B+",IF(W24&gt;=70,"B",IF(W24&gt;=65,"C+",IF(W24&gt;=60,"C",IF(W24&gt;=55,"D+",IF(W24&gt;=50,"D","F")))))))</f>
      </c>
      <c r="Z24" s="46">
        <v>89</v>
      </c>
      <c r="AA24" s="40">
        <f>IF(Z24&gt;=91, 4.00, IF(Z24&gt;=81, 3.50, IF(Z24&gt;=70, 3.00, IF(Z24&gt;=65, 2.50, IF(Z24&gt;=60, 2.00, IF(Z24&gt;=55, 1.50, IF(Z24&gt;=50, 1.00, 0.00)))))))</f>
      </c>
      <c r="AB24" s="40">
        <f>IF(Z24&gt;=91,"A",IF(Z24&gt;=81,"B+",IF(Z24&gt;=70,"B",IF(Z24&gt;=65,"C+",IF(Z24&gt;=60,"C",IF(Z24&gt;=55,"D+",IF(Z24&gt;=50,"D","F")))))))</f>
      </c>
      <c r="AC24" s="42">
        <v>92</v>
      </c>
      <c r="AD24" s="40">
        <f>IF(AC24&gt;=91, 4.00, IF(AC24&gt;=81, 3.50, IF(AC24&gt;=70, 3.00, IF(AC24&gt;=65, 2.50, IF(AC24&gt;=60, 2.00, IF(AC24&gt;=55, 1.50, IF(AC24&gt;=50, 1.00, 0.00)))))))</f>
      </c>
      <c r="AE24" s="40">
        <f>IF(AC24&gt;=91,"A",IF(AC24&gt;=81,"B+",IF(AC24&gt;=70,"B",IF(AC24&gt;=65,"C+",IF(AC24&gt;=60,"C",IF(AC24&gt;=55,"D+",IF(AC24&gt;=50,"D","F")))))))</f>
      </c>
      <c r="AF24" s="40">
        <v>95</v>
      </c>
      <c r="AG24" s="40">
        <f>IF(AF24&gt;=91, 4.00, IF(AF24&gt;=81, 3.50, IF(AF24&gt;=70, 3.00, IF(AF24&gt;=65, 2.50, IF(AF24&gt;=60, 2.00, IF(AF24&gt;=55, 1.50, IF(AF24&gt;=50, 1.00, 0.00)))))))</f>
      </c>
      <c r="AH24" s="40">
        <f>IF(AF24&gt;=91,"A",IF(AF24&gt;=81,"B+",IF(AF24&gt;=70,"B",IF(AF24&gt;=65,"C+",IF(AF24&gt;=60,"C",IF(AF24&gt;=55,"D+",IF(AF24&gt;=50,"D","F")))))))</f>
      </c>
      <c r="AI24" s="46">
        <v>77</v>
      </c>
      <c r="AJ24" s="40">
        <f>IF(AI24&gt;=91, 4.00, IF(AI24&gt;=81, 3.50, IF(AI24&gt;=70, 3.00, IF(AI24&gt;=65, 2.50, IF(AI24&gt;=60, 2.00, IF(AI24&gt;=55, 1.50, IF(AI24&gt;=50, 1.00, 0.00)))))))</f>
      </c>
      <c r="AK24" s="40">
        <f>IF(AI24&gt;=91,"A",IF(AI24&gt;=81,"B+",IF(AI24&gt;=70,"B",IF(AI24&gt;=65,"C+",IF(AI24&gt;=60,"C",IF(AI24&gt;=55,"D+",IF(AI24&gt;=50,"D","F")))))))</f>
      </c>
      <c r="AL24" s="42">
        <f>ROUND((L24*3+O24*2+R24*1+U24*1+X24*1+AA24*2+AD24*2+AG24*1+AJ24*2)/15, 2)</f>
      </c>
      <c r="AM24" s="40" t="str">
        <f>IF(AL24&gt;90,"4.00",IF(AL24&gt;80,"3.50",IF(AL24&gt;69,"3.00",IF(AL24&gt;64,"2.50",IF(AL24&gt;59,"2.00",IF(AL24&gt;54,"1.50",IF(AL24&gt;49,"1.00","0.00")))))))</f>
        <v>0.00</v>
      </c>
      <c r="AN24" s="40">
        <f>IF(AM24&gt;=91, 4.00, IF(AM24&gt;=81, 3.50, IF(AM24&gt;=70, 3.00, IF(AM24&gt;=65, 2.50, IF(AM24&gt;=60, 2.00, IF(AM24&gt;=55, 1.50, IF(AM24&gt;=50, 1.00, 0.00)))))))</f>
      </c>
      <c r="AO24" s="40">
        <f>IF(AM24&gt;=91,"A",IF(AM24&gt;=81,"B+",IF(AM24&gt;=70,"B",IF(AM24&gt;=65,"C+",IF(AM24&gt;=60,"C",IF(AM24&gt;=55,"D+",IF(AM24&gt;=50,"D","F")))))))</f>
      </c>
      <c r="AP24" s="40" t="str">
        <f>IF(AO24&gt;90,"4.00",IF(AO24&gt;80,"3.50",IF(AO24&gt;69,"3.00",IF(AO24&gt;64,"2.50",IF(AO24&gt;59,"2.00",IF(AO24&gt;54,"1.50",IF(AO24&gt;49,"1.00","0.00")))))))</f>
        <v>0.00</v>
      </c>
      <c r="AQ24" s="40">
        <f>IF(AP24&gt;=91, 4.00, IF(AP24&gt;=81, 3.50, IF(AP24&gt;=70, 3.00, IF(AP24&gt;=65, 2.50, IF(AP24&gt;=60, 2.00, IF(AP24&gt;=55, 1.50, IF(AP24&gt;=50, 1.00, 0.00)))))))</f>
      </c>
      <c r="AR24" s="40">
        <f>IF(AP24&gt;=91,"A",IF(AP24&gt;=81,"B+",IF(AP24&gt;=70,"B",IF(AP24&gt;=65,"C+",IF(AP24&gt;=60,"C",IF(AP24&gt;=55,"D+",IF(AP24&gt;=50,"D","F")))))))</f>
      </c>
      <c r="AS24" s="47">
        <v>87</v>
      </c>
      <c r="AT24" s="40">
        <f>IF(AS24&gt;=91, 4.00, IF(AS24&gt;=81, 3.50, IF(AS24&gt;=70, 3.00, IF(AS24&gt;=65, 2.50, IF(AS24&gt;=60, 2.00, IF(AS24&gt;=55, 1.50, IF(AS24&gt;=50, 1.00, 0.00)))))))</f>
      </c>
      <c r="AU24" s="40">
        <f>IF(AS24&gt;=91,"A",IF(AS24&gt;=81,"B+",IF(AS24&gt;=70,"B",IF(AS24&gt;=65,"C+",IF(AS24&gt;=60,"C",IF(AS24&gt;=55,"D+",IF(AS24&gt;=50,"D","F")))))))</f>
      </c>
      <c r="AV24" s="40" t="s">
        <v>51</v>
      </c>
      <c r="AW24" s="40">
        <f>IF(AV24&gt;=91, 4.00, IF(AV24&gt;=81, 3.50, IF(AV24&gt;=70, 3.00, IF(AV24&gt;=65, 2.50, IF(AV24&gt;=60, 2.00, IF(AV24&gt;=55, 1.50, IF(AV24&gt;=50, 1.00, 0.00)))))))</f>
      </c>
      <c r="AX24" s="40">
        <f>IF(AV24&gt;=91,"A",IF(AV24&gt;=81,"B+",IF(AV24&gt;=70,"B",IF(AV24&gt;=65,"C+",IF(AV24&gt;=60,"C",IF(AV24&gt;=55,"D+",IF(AV24&gt;=50,"D","F")))))))</f>
      </c>
      <c r="AY24" s="40" t="s">
        <v>294</v>
      </c>
      <c r="AZ24" s="40">
        <f>IF(AY24&gt;=91, 4.00, IF(AY24&gt;=81, 3.50, IF(AY24&gt;=70, 3.00, IF(AY24&gt;=65, 2.50, IF(AY24&gt;=60, 2.00, IF(AY24&gt;=55, 1.50, IF(AY24&gt;=50, 1.00, 0.00)))))))</f>
      </c>
      <c r="BA24" s="44">
        <f>IF(AY24&gt;=91,"A",IF(AY24&gt;=81,"B+",IF(AY24&gt;=70,"B",IF(AY24&gt;=65,"C+",IF(AY24&gt;=60,"C",IF(AY24&gt;=55,"D+",IF(AY24&gt;=50,"D","F")))))))</f>
      </c>
      <c r="BB24" s="112">
        <v>75</v>
      </c>
      <c r="BC24" s="48">
        <f>IF(BB24&gt;=91, 4.00, IF(BB24&gt;=81, 3.50, IF(BB24&gt;=70, 3.00, IF(BB24&gt;=65, 2.50, IF(BB24&gt;=60, 2.00, IF(BB24&gt;=55, 1.50, IF(BB24&gt;=50, 1.00, 0.00)))))))</f>
      </c>
      <c r="BD24" s="49">
        <f>IF(BB24&gt;=91,"A",IF(BB24&gt;=81,"B+",IF(BB24&gt;=70,"B",IF(BB24&gt;=65,"C+",IF(BB24&gt;=60,"C",IF(BB24&gt;=55,"D+",IF(BB24&gt;=50,"D","F")))))))</f>
      </c>
      <c r="BE24" s="40" t="str">
        <f>IF(BC24&gt;90,"A",IF(BC24&gt;80,"B+",IF(BC24&gt;69,"B",IF(BC24&gt;64,"C+",IF(BC24&gt;59,"C",IF(BC24&gt;54,"D+",IF(BC24&gt;49,"D",IF(BC24&gt;=0,"F"))))))))</f>
        <v>F</v>
      </c>
      <c r="BF24" s="48">
        <f>IF(BE24&gt;=91, 4.00, IF(BE24&gt;=81, 3.50, IF(BE24&gt;=70, 3.00, IF(BE24&gt;=65, 2.50, IF(BE24&gt;=60, 2.00, IF(BE24&gt;=55, 1.50, IF(BE24&gt;=50, 1.00, 0.00)))))))</f>
      </c>
      <c r="BG24" s="49">
        <f>IF(BE24&gt;=91,"A",IF(BE24&gt;=81,"B+",IF(BE24&gt;=70,"B",IF(BE24&gt;=65,"C+",IF(BE24&gt;=60,"C",IF(BE24&gt;=55,"D+",IF(BE24&gt;=50,"D","F")))))))</f>
      </c>
      <c r="BH24" s="40" t="str">
        <f>IF(BF24&gt;90,"A",IF(BF24&gt;80,"B+",IF(BF24&gt;69,"B",IF(BF24&gt;64,"C+",IF(BF24&gt;59,"C",IF(BF24&gt;54,"D+",IF(BF24&gt;49,"D",IF(BF24&gt;=0,"F"))))))))</f>
        <v>F</v>
      </c>
      <c r="BI24" s="43">
        <f>IF(BH24&gt;=91, 4.00, IF(BH24&gt;=81, 3.50, IF(BH24&gt;=70, 3.00, IF(BH24&gt;=65, 2.50, IF(BH24&gt;=60, 2.00, IF(BH24&gt;=55, 1.50, IF(BH24&gt;=50, 1.00, 0.00)))))))</f>
      </c>
      <c r="BJ24" s="49">
        <f>IF(BH24&gt;=91,"A",IF(BH24&gt;=81,"B+",IF(BH24&gt;=70,"B",IF(BH24&gt;=65,"C+",IF(BH24&gt;=60,"C",IF(BH24&gt;=55,"D+",IF(BH24&gt;=50,"D","F")))))))</f>
      </c>
      <c r="BK24" s="40" t="str">
        <f>IF(BI24&gt;90,"A",IF(BI24&gt;80,"B+",IF(BI24&gt;69,"B",IF(BI24&gt;64,"C+",IF(BI24&gt;59,"C",IF(BI24&gt;54,"D+",IF(BI24&gt;49,"D",IF(BI24&gt;=0,"F"))))))))</f>
        <v>F</v>
      </c>
      <c r="BL24" s="48">
        <f>IF(BK24&gt;=91, 4.00, IF(BK24&gt;=81, 3.50, IF(BK24&gt;=70, 3.00, IF(BK24&gt;=65, 2.50, IF(BK24&gt;=60, 2.00, IF(BK24&gt;=55, 1.50, IF(BK24&gt;=50, 1.00, 0.00)))))))</f>
      </c>
      <c r="BM24" s="49">
        <f>IF(BK24&gt;=91,"A",IF(BK24&gt;=81,"B+",IF(BK24&gt;=70,"B",IF(BK24&gt;=65,"C+",IF(BK24&gt;=60,"C",IF(BK24&gt;=55,"D+",IF(BK24&gt;=50,"D","F")))))))</f>
      </c>
      <c r="BN24" s="40">
        <f>ROUND((AN24*3+AQ24*2+AT24*1+AW24*1+AZ24*1+BC24*2+BF24*2+BI24*1+BL24*2)/15, 2)</f>
      </c>
      <c r="BO24" s="43"/>
      <c r="BP24" s="49" t="str">
        <f>IF(BO24&gt;90,"4.00",IF(BO24&gt;80,"3.50",IF(BO24&gt;69,"3.00",IF(BO24&gt;64,"2.50",IF(BO24&gt;59,"2.00",IF(BO24&gt;54,"1.50",IF(BO24&gt;49,"1.00","0.00")))))))</f>
        <v>0.00</v>
      </c>
      <c r="BQ24" s="40" t="str">
        <f>IF(BO24&gt;90,"A",IF(BO24&gt;80,"B+",IF(BO24&gt;69,"B",IF(BO24&gt;64,"C+",IF(BO24&gt;59,"C",IF(BO24&gt;54,"D+",IF(BO24&gt;49,"D",IF(BO24&gt;=0,"F"))))))))</f>
        <v>F</v>
      </c>
      <c r="BR24" s="43"/>
      <c r="BS24" s="49" t="str">
        <f>IF(BR24&gt;90,"4.00",IF(BR24&gt;80,"3.50",IF(BR24&gt;69,"3.00",IF(BR24&gt;64,"2.50",IF(BR24&gt;59,"2.00",IF(BR24&gt;54,"1.50",IF(BR24&gt;49,"1.00","0.00")))))))</f>
        <v>0.00</v>
      </c>
      <c r="BT24" s="40" t="str">
        <f>IF(BR24&gt;90,"A",IF(BR24&gt;80,"B+",IF(BR24&gt;69,"B",IF(BR24&gt;64,"C+",IF(BR24&gt;59,"C",IF(BR24&gt;54,"D+",IF(BR24&gt;49,"D",IF(BR24&gt;=0,"F"))))))))</f>
        <v>F</v>
      </c>
      <c r="BU24" s="49"/>
      <c r="BV24" s="49" t="str">
        <f>IF(BU24&gt;90,"4.00",IF(BU24&gt;80,"3.50",IF(BU24&gt;69,"3.00",IF(BU24&gt;64,"2.50",IF(BU24&gt;59,"2.00",IF(BU24&gt;54,"1.50",IF(BU24&gt;49,"1.00","0.00")))))))</f>
        <v>0.00</v>
      </c>
      <c r="BW24" s="40" t="str">
        <f>IF(BU24&gt;90,"A",IF(BU24&gt;80,"B+",IF(BU24&gt;69,"B",IF(BU24&gt;64,"C+",IF(BU24&gt;59,"C",IF(BU24&gt;54,"D+",IF(BU24&gt;49,"D",IF(BU24&gt;=0,"F"))))))))</f>
        <v>F</v>
      </c>
      <c r="BX24" s="49"/>
      <c r="BY24" s="49" t="str">
        <f>IF(BX24&gt;90,"4.00",IF(BX24&gt;80,"3.50",IF(BX24&gt;69,"3.00",IF(BX24&gt;64,"2.50",IF(BX24&gt;59,"2.00",IF(BX24&gt;54,"1.50",IF(BX24&gt;49,"1.00","0.00")))))))</f>
        <v>0.00</v>
      </c>
      <c r="BZ24" s="40" t="str">
        <f>IF(BX24&gt;90,"A",IF(BX24&gt;80,"B+",IF(BX24&gt;69,"B",IF(BX24&gt;64,"C+",IF(BX24&gt;59,"C",IF(BX24&gt;54,"D+",IF(BX24&gt;49,"D",IF(BX24&gt;=0,"F"))))))))</f>
        <v>F</v>
      </c>
      <c r="CA24" s="49"/>
      <c r="CB24" s="49" t="str">
        <f>IF(CA24&gt;90,"4.00",IF(CA24&gt;80,"3.50",IF(CA24&gt;69,"3.00",IF(CA24&gt;64,"2.50",IF(CA24&gt;59,"2.00",IF(CA24&gt;54,"1.50",IF(CA24&gt;49,"1.00","0.00")))))))</f>
        <v>0.00</v>
      </c>
      <c r="CC24" s="40" t="str">
        <f>IF(CA24&gt;90,"A",IF(CA24&gt;80,"B+",IF(CA24&gt;69,"B",IF(CA24&gt;64,"C+",IF(CA24&gt;59,"C",IF(CA24&gt;54,"D+",IF(CA24&gt;49,"D",IF(CA24&gt;=0,"F"))))))))</f>
        <v>F</v>
      </c>
      <c r="CD24" s="50">
        <f>(BD24*3+BG24*2+BJ24*1+BM24*2+BP24*1+BS24*1+BV24*2+BY24*2+CB24*2)/(3+2+1+2+1+1+2+2+2)</f>
        <v>0</v>
      </c>
      <c r="CE24" s="50">
        <f>(AR24+CD24)/2</f>
        <v>0</v>
      </c>
      <c r="CF24" s="51">
        <f>RANK(CE24,$CE$7:CE53)</f>
        <v>1</v>
      </c>
      <c r="CG24" s="114"/>
      <c r="CH24" s="52"/>
      <c r="CI24" s="52"/>
      <c r="CJ24" s="52"/>
    </row>
    <row r="25" ht="20" customHeight="1" spans="1:199" s="39" customFormat="1" x14ac:dyDescent="0.25">
      <c r="A25" s="40">
        <v>19</v>
      </c>
      <c r="B25" s="40" t="s">
        <v>98</v>
      </c>
      <c r="C25" s="40" t="s">
        <v>51</v>
      </c>
      <c r="D25" s="40" t="s">
        <v>154</v>
      </c>
      <c r="E25" s="40" t="s">
        <v>155</v>
      </c>
      <c r="F25" s="40" t="s">
        <v>295</v>
      </c>
      <c r="G25" s="40" t="s">
        <v>296</v>
      </c>
      <c r="H25" s="111"/>
      <c r="I25" s="112"/>
      <c r="J25" s="40">
        <v>1</v>
      </c>
      <c r="K25" s="42">
        <v>77</v>
      </c>
      <c r="L25" s="40">
        <f>IF(K25&gt;=91, 4.00, IF(K25&gt;=81, 3.50, IF(K25&gt;=70, 3.00, IF(K25&gt;=65, 2.50, IF(K25&gt;=60, 2.00, IF(K25&gt;=55, 1.50, IF(K25&gt;=50, 1.00, 0.00)))))))</f>
      </c>
      <c r="M25" s="40">
        <f>IF(K25&gt;=91,"A",IF(K25&gt;=81,"B+",IF(K25&gt;=70,"B",IF(K25&gt;=65,"C+",IF(K25&gt;=60,"C",IF(K25&gt;=55,"D+",IF(K25&gt;=50,"D","F")))))))</f>
      </c>
      <c r="N25" s="42">
        <v>80</v>
      </c>
      <c r="O25" s="40">
        <f>IF(N25&gt;=91, 4.00, IF(N25&gt;=81, 3.50, IF(N25&gt;=70, 3.00, IF(N25&gt;=65, 2.50, IF(N25&gt;=60, 2.00, IF(N25&gt;=55, 1.50, IF(N25&gt;=50, 1.00, 0.00)))))))</f>
      </c>
      <c r="P25" s="40">
        <f>IF(N25&gt;=91,"A",IF(N25&gt;=81,"B+",IF(N25&gt;=70,"B",IF(N25&gt;=65,"C+",IF(N25&gt;=60,"C",IF(N25&gt;=55,"D+",IF(N25&gt;=50,"D","F")))))))</f>
      </c>
      <c r="Q25" s="42">
        <v>83</v>
      </c>
      <c r="R25" s="40">
        <f>IF(Q25&gt;=91, 4.00, IF(Q25&gt;=81, 3.50, IF(Q25&gt;=70, 3.00, IF(Q25&gt;=65, 2.50, IF(Q25&gt;=60, 2.00, IF(Q25&gt;=55, 1.50, IF(Q25&gt;=50, 1.00, 0.00)))))))</f>
      </c>
      <c r="S25" s="40">
        <f>IF(Q25&gt;=91,"A",IF(Q25&gt;=81,"B+",IF(Q25&gt;=70,"B",IF(Q25&gt;=65,"C+",IF(Q25&gt;=60,"C",IF(Q25&gt;=55,"D+",IF(Q25&gt;=50,"D","F")))))))</f>
      </c>
      <c r="T25" s="42">
        <v>86</v>
      </c>
      <c r="U25" s="40">
        <f>IF(T25&gt;=91, 4.00, IF(T25&gt;=81, 3.50, IF(T25&gt;=70, 3.00, IF(T25&gt;=65, 2.50, IF(T25&gt;=60, 2.00, IF(T25&gt;=55, 1.50, IF(T25&gt;=50, 1.00, 0.00)))))))</f>
      </c>
      <c r="V25" s="40">
        <f>IF(T25&gt;=91,"A",IF(T25&gt;=81,"B+",IF(T25&gt;=70,"B",IF(T25&gt;=65,"C+",IF(T25&gt;=60,"C",IF(T25&gt;=55,"D+",IF(T25&gt;=50,"D","F")))))))</f>
      </c>
      <c r="W25" s="42">
        <v>89</v>
      </c>
      <c r="X25" s="40">
        <f>IF(W25&gt;=91, 4.00, IF(W25&gt;=81, 3.50, IF(W25&gt;=70, 3.00, IF(W25&gt;=65, 2.50, IF(W25&gt;=60, 2.00, IF(W25&gt;=55, 1.50, IF(W25&gt;=50, 1.00, 0.00)))))))</f>
      </c>
      <c r="Y25" s="40">
        <f>IF(W25&gt;=91,"A",IF(W25&gt;=81,"B+",IF(W25&gt;=70,"B",IF(W25&gt;=65,"C+",IF(W25&gt;=60,"C",IF(W25&gt;=55,"D+",IF(W25&gt;=50,"D","F")))))))</f>
      </c>
      <c r="Z25" s="46">
        <v>92</v>
      </c>
      <c r="AA25" s="40">
        <f>IF(Z25&gt;=91, 4.00, IF(Z25&gt;=81, 3.50, IF(Z25&gt;=70, 3.00, IF(Z25&gt;=65, 2.50, IF(Z25&gt;=60, 2.00, IF(Z25&gt;=55, 1.50, IF(Z25&gt;=50, 1.00, 0.00)))))))</f>
      </c>
      <c r="AB25" s="40">
        <f>IF(Z25&gt;=91,"A",IF(Z25&gt;=81,"B+",IF(Z25&gt;=70,"B",IF(Z25&gt;=65,"C+",IF(Z25&gt;=60,"C",IF(Z25&gt;=55,"D+",IF(Z25&gt;=50,"D","F")))))))</f>
      </c>
      <c r="AC25" s="42">
        <v>95</v>
      </c>
      <c r="AD25" s="40">
        <f>IF(AC25&gt;=91, 4.00, IF(AC25&gt;=81, 3.50, IF(AC25&gt;=70, 3.00, IF(AC25&gt;=65, 2.50, IF(AC25&gt;=60, 2.00, IF(AC25&gt;=55, 1.50, IF(AC25&gt;=50, 1.00, 0.00)))))))</f>
      </c>
      <c r="AE25" s="40">
        <f>IF(AC25&gt;=91,"A",IF(AC25&gt;=81,"B+",IF(AC25&gt;=70,"B",IF(AC25&gt;=65,"C+",IF(AC25&gt;=60,"C",IF(AC25&gt;=55,"D+",IF(AC25&gt;=50,"D","F")))))))</f>
      </c>
      <c r="AF25" s="40">
        <v>77</v>
      </c>
      <c r="AG25" s="40">
        <f>IF(AF25&gt;=91, 4.00, IF(AF25&gt;=81, 3.50, IF(AF25&gt;=70, 3.00, IF(AF25&gt;=65, 2.50, IF(AF25&gt;=60, 2.00, IF(AF25&gt;=55, 1.50, IF(AF25&gt;=50, 1.00, 0.00)))))))</f>
      </c>
      <c r="AH25" s="40">
        <f>IF(AF25&gt;=91,"A",IF(AF25&gt;=81,"B+",IF(AF25&gt;=70,"B",IF(AF25&gt;=65,"C+",IF(AF25&gt;=60,"C",IF(AF25&gt;=55,"D+",IF(AF25&gt;=50,"D","F")))))))</f>
      </c>
      <c r="AI25" s="46">
        <v>80</v>
      </c>
      <c r="AJ25" s="40">
        <f>IF(AI25&gt;=91, 4.00, IF(AI25&gt;=81, 3.50, IF(AI25&gt;=70, 3.00, IF(AI25&gt;=65, 2.50, IF(AI25&gt;=60, 2.00, IF(AI25&gt;=55, 1.50, IF(AI25&gt;=50, 1.00, 0.00)))))))</f>
      </c>
      <c r="AK25" s="40">
        <f>IF(AI25&gt;=91,"A",IF(AI25&gt;=81,"B+",IF(AI25&gt;=70,"B",IF(AI25&gt;=65,"C+",IF(AI25&gt;=60,"C",IF(AI25&gt;=55,"D+",IF(AI25&gt;=50,"D","F")))))))</f>
      </c>
      <c r="AL25" s="42">
        <f>ROUND((L25*3+O25*2+R25*1+U25*1+X25*1+AA25*2+AD25*2+AG25*1+AJ25*2)/15, 2)</f>
      </c>
      <c r="AM25" s="40" t="str">
        <f>IF(AL25&gt;90,"4.00",IF(AL25&gt;80,"3.50",IF(AL25&gt;69,"3.00",IF(AL25&gt;64,"2.50",IF(AL25&gt;59,"2.00",IF(AL25&gt;54,"1.50",IF(AL25&gt;49,"1.00","0.00")))))))</f>
        <v>0.00</v>
      </c>
      <c r="AN25" s="40">
        <f>IF(AM25&gt;=91, 4.00, IF(AM25&gt;=81, 3.50, IF(AM25&gt;=70, 3.00, IF(AM25&gt;=65, 2.50, IF(AM25&gt;=60, 2.00, IF(AM25&gt;=55, 1.50, IF(AM25&gt;=50, 1.00, 0.00)))))))</f>
      </c>
      <c r="AO25" s="40">
        <f>IF(AM25&gt;=91,"A",IF(AM25&gt;=81,"B+",IF(AM25&gt;=70,"B",IF(AM25&gt;=65,"C+",IF(AM25&gt;=60,"C",IF(AM25&gt;=55,"D+",IF(AM25&gt;=50,"D","F")))))))</f>
      </c>
      <c r="AP25" s="40" t="str">
        <f>IF(AO25&gt;90,"4.00",IF(AO25&gt;80,"3.50",IF(AO25&gt;69,"3.00",IF(AO25&gt;64,"2.50",IF(AO25&gt;59,"2.00",IF(AO25&gt;54,"1.50",IF(AO25&gt;49,"1.00","0.00")))))))</f>
        <v>0.00</v>
      </c>
      <c r="AQ25" s="40">
        <f>IF(AP25&gt;=91, 4.00, IF(AP25&gt;=81, 3.50, IF(AP25&gt;=70, 3.00, IF(AP25&gt;=65, 2.50, IF(AP25&gt;=60, 2.00, IF(AP25&gt;=55, 1.50, IF(AP25&gt;=50, 1.00, 0.00)))))))</f>
      </c>
      <c r="AR25" s="40">
        <f>IF(AP25&gt;=91,"A",IF(AP25&gt;=81,"B+",IF(AP25&gt;=70,"B",IF(AP25&gt;=65,"C+",IF(AP25&gt;=60,"C",IF(AP25&gt;=55,"D+",IF(AP25&gt;=50,"D","F")))))))</f>
      </c>
      <c r="AS25" s="47">
        <v>90</v>
      </c>
      <c r="AT25" s="40">
        <f>IF(AS25&gt;=91, 4.00, IF(AS25&gt;=81, 3.50, IF(AS25&gt;=70, 3.00, IF(AS25&gt;=65, 2.50, IF(AS25&gt;=60, 2.00, IF(AS25&gt;=55, 1.50, IF(AS25&gt;=50, 1.00, 0.00)))))))</f>
      </c>
      <c r="AU25" s="40">
        <f>IF(AS25&gt;=91,"A",IF(AS25&gt;=81,"B+",IF(AS25&gt;=70,"B",IF(AS25&gt;=65,"C+",IF(AS25&gt;=60,"C",IF(AS25&gt;=55,"D+",IF(AS25&gt;=50,"D","F")))))))</f>
      </c>
      <c r="AV25" s="40" t="s">
        <v>51</v>
      </c>
      <c r="AW25" s="40">
        <f>IF(AV25&gt;=91, 4.00, IF(AV25&gt;=81, 3.50, IF(AV25&gt;=70, 3.00, IF(AV25&gt;=65, 2.50, IF(AV25&gt;=60, 2.00, IF(AV25&gt;=55, 1.50, IF(AV25&gt;=50, 1.00, 0.00)))))))</f>
      </c>
      <c r="AX25" s="40">
        <f>IF(AV25&gt;=91,"A",IF(AV25&gt;=81,"B+",IF(AV25&gt;=70,"B",IF(AV25&gt;=65,"C+",IF(AV25&gt;=60,"C",IF(AV25&gt;=55,"D+",IF(AV25&gt;=50,"D","F")))))))</f>
      </c>
      <c r="AY25" s="40" t="s">
        <v>295</v>
      </c>
      <c r="AZ25" s="40">
        <f>IF(AY25&gt;=91, 4.00, IF(AY25&gt;=81, 3.50, IF(AY25&gt;=70, 3.00, IF(AY25&gt;=65, 2.50, IF(AY25&gt;=60, 2.00, IF(AY25&gt;=55, 1.50, IF(AY25&gt;=50, 1.00, 0.00)))))))</f>
      </c>
      <c r="BA25" s="111">
        <f>IF(AY25&gt;=91,"A",IF(AY25&gt;=81,"B+",IF(AY25&gt;=70,"B",IF(AY25&gt;=65,"C+",IF(AY25&gt;=60,"C",IF(AY25&gt;=55,"D+",IF(AY25&gt;=50,"D","F")))))))</f>
      </c>
      <c r="BB25" s="112">
        <v>78</v>
      </c>
      <c r="BC25" s="48">
        <f>IF(BB25&gt;=91, 4.00, IF(BB25&gt;=81, 3.50, IF(BB25&gt;=70, 3.00, IF(BB25&gt;=65, 2.50, IF(BB25&gt;=60, 2.00, IF(BB25&gt;=55, 1.50, IF(BB25&gt;=50, 1.00, 0.00)))))))</f>
      </c>
      <c r="BD25" s="49">
        <f>IF(BB25&gt;=91,"A",IF(BB25&gt;=81,"B+",IF(BB25&gt;=70,"B",IF(BB25&gt;=65,"C+",IF(BB25&gt;=60,"C",IF(BB25&gt;=55,"D+",IF(BB25&gt;=50,"D","F")))))))</f>
      </c>
      <c r="BE25" s="40" t="str">
        <f>IF(BC25&gt;90,"A",IF(BC25&gt;80,"B+",IF(BC25&gt;69,"B",IF(BC25&gt;64,"C+",IF(BC25&gt;59,"C",IF(BC25&gt;54,"D+",IF(BC25&gt;49,"D",IF(BC25&gt;=0,"F"))))))))</f>
        <v>F</v>
      </c>
      <c r="BF25" s="48">
        <f>IF(BE25&gt;=91, 4.00, IF(BE25&gt;=81, 3.50, IF(BE25&gt;=70, 3.00, IF(BE25&gt;=65, 2.50, IF(BE25&gt;=60, 2.00, IF(BE25&gt;=55, 1.50, IF(BE25&gt;=50, 1.00, 0.00)))))))</f>
      </c>
      <c r="BG25" s="49">
        <f>IF(BE25&gt;=91,"A",IF(BE25&gt;=81,"B+",IF(BE25&gt;=70,"B",IF(BE25&gt;=65,"C+",IF(BE25&gt;=60,"C",IF(BE25&gt;=55,"D+",IF(BE25&gt;=50,"D","F")))))))</f>
      </c>
      <c r="BH25" s="40" t="str">
        <f>IF(BF25&gt;90,"A",IF(BF25&gt;80,"B+",IF(BF25&gt;69,"B",IF(BF25&gt;64,"C+",IF(BF25&gt;59,"C",IF(BF25&gt;54,"D+",IF(BF25&gt;49,"D",IF(BF25&gt;=0,"F"))))))))</f>
        <v>F</v>
      </c>
      <c r="BI25" s="43">
        <f>IF(BH25&gt;=91, 4.00, IF(BH25&gt;=81, 3.50, IF(BH25&gt;=70, 3.00, IF(BH25&gt;=65, 2.50, IF(BH25&gt;=60, 2.00, IF(BH25&gt;=55, 1.50, IF(BH25&gt;=50, 1.00, 0.00)))))))</f>
      </c>
      <c r="BJ25" s="49">
        <f>IF(BH25&gt;=91,"A",IF(BH25&gt;=81,"B+",IF(BH25&gt;=70,"B",IF(BH25&gt;=65,"C+",IF(BH25&gt;=60,"C",IF(BH25&gt;=55,"D+",IF(BH25&gt;=50,"D","F")))))))</f>
      </c>
      <c r="BK25" s="40" t="str">
        <f>IF(BI25&gt;90,"A",IF(BI25&gt;80,"B+",IF(BI25&gt;69,"B",IF(BI25&gt;64,"C+",IF(BI25&gt;59,"C",IF(BI25&gt;54,"D+",IF(BI25&gt;49,"D",IF(BI25&gt;=0,"F"))))))))</f>
        <v>F</v>
      </c>
      <c r="BL25" s="48">
        <f>IF(BK25&gt;=91, 4.00, IF(BK25&gt;=81, 3.50, IF(BK25&gt;=70, 3.00, IF(BK25&gt;=65, 2.50, IF(BK25&gt;=60, 2.00, IF(BK25&gt;=55, 1.50, IF(BK25&gt;=50, 1.00, 0.00)))))))</f>
      </c>
      <c r="BM25" s="49">
        <f>IF(BK25&gt;=91,"A",IF(BK25&gt;=81,"B+",IF(BK25&gt;=70,"B",IF(BK25&gt;=65,"C+",IF(BK25&gt;=60,"C",IF(BK25&gt;=55,"D+",IF(BK25&gt;=50,"D","F")))))))</f>
      </c>
      <c r="BN25" s="40">
        <f>ROUND((AN25*3+AQ25*2+AT25*1+AW25*1+AZ25*1+BC25*2+BF25*2+BI25*1+BL25*2)/15, 2)</f>
      </c>
      <c r="BO25" s="43"/>
      <c r="BP25" s="49" t="str">
        <f>IF(BO25&gt;90,"4.00",IF(BO25&gt;80,"3.50",IF(BO25&gt;69,"3.00",IF(BO25&gt;64,"2.50",IF(BO25&gt;59,"2.00",IF(BO25&gt;54,"1.50",IF(BO25&gt;49,"1.00","0.00")))))))</f>
        <v>0.00</v>
      </c>
      <c r="BQ25" s="40" t="str">
        <f>IF(BO25&gt;90,"A",IF(BO25&gt;80,"B+",IF(BO25&gt;69,"B",IF(BO25&gt;64,"C+",IF(BO25&gt;59,"C",IF(BO25&gt;54,"D+",IF(BO25&gt;49,"D",IF(BO25&gt;=0,"F"))))))))</f>
        <v>F</v>
      </c>
      <c r="BR25" s="43"/>
      <c r="BS25" s="49" t="str">
        <f>IF(BR25&gt;90,"4.00",IF(BR25&gt;80,"3.50",IF(BR25&gt;69,"3.00",IF(BR25&gt;64,"2.50",IF(BR25&gt;59,"2.00",IF(BR25&gt;54,"1.50",IF(BR25&gt;49,"1.00","0.00")))))))</f>
        <v>0.00</v>
      </c>
      <c r="BT25" s="40" t="str">
        <f>IF(BR25&gt;90,"A",IF(BR25&gt;80,"B+",IF(BR25&gt;69,"B",IF(BR25&gt;64,"C+",IF(BR25&gt;59,"C",IF(BR25&gt;54,"D+",IF(BR25&gt;49,"D",IF(BR25&gt;=0,"F"))))))))</f>
        <v>F</v>
      </c>
      <c r="BU25" s="49"/>
      <c r="BV25" s="49" t="str">
        <f>IF(BU25&gt;90,"4.00",IF(BU25&gt;80,"3.50",IF(BU25&gt;69,"3.00",IF(BU25&gt;64,"2.50",IF(BU25&gt;59,"2.00",IF(BU25&gt;54,"1.50",IF(BU25&gt;49,"1.00","0.00")))))))</f>
        <v>0.00</v>
      </c>
      <c r="BW25" s="40" t="str">
        <f>IF(BU25&gt;90,"A",IF(BU25&gt;80,"B+",IF(BU25&gt;69,"B",IF(BU25&gt;64,"C+",IF(BU25&gt;59,"C",IF(BU25&gt;54,"D+",IF(BU25&gt;49,"D",IF(BU25&gt;=0,"F"))))))))</f>
        <v>F</v>
      </c>
      <c r="BX25" s="49"/>
      <c r="BY25" s="49" t="str">
        <f>IF(BX25&gt;90,"4.00",IF(BX25&gt;80,"3.50",IF(BX25&gt;69,"3.00",IF(BX25&gt;64,"2.50",IF(BX25&gt;59,"2.00",IF(BX25&gt;54,"1.50",IF(BX25&gt;49,"1.00","0.00")))))))</f>
        <v>0.00</v>
      </c>
      <c r="BZ25" s="40" t="str">
        <f>IF(BX25&gt;90,"A",IF(BX25&gt;80,"B+",IF(BX25&gt;69,"B",IF(BX25&gt;64,"C+",IF(BX25&gt;59,"C",IF(BX25&gt;54,"D+",IF(BX25&gt;49,"D",IF(BX25&gt;=0,"F"))))))))</f>
        <v>F</v>
      </c>
      <c r="CA25" s="49"/>
      <c r="CB25" s="49" t="str">
        <f>IF(CA25&gt;90,"4.00",IF(CA25&gt;80,"3.50",IF(CA25&gt;69,"3.00",IF(CA25&gt;64,"2.50",IF(CA25&gt;59,"2.00",IF(CA25&gt;54,"1.50",IF(CA25&gt;49,"1.00","0.00")))))))</f>
        <v>0.00</v>
      </c>
      <c r="CC25" s="40" t="str">
        <f>IF(CA25&gt;90,"A",IF(CA25&gt;80,"B+",IF(CA25&gt;69,"B",IF(CA25&gt;64,"C+",IF(CA25&gt;59,"C",IF(CA25&gt;54,"D+",IF(CA25&gt;49,"D",IF(CA25&gt;=0,"F"))))))))</f>
        <v>F</v>
      </c>
      <c r="CD25" s="50">
        <f>(BD25*3+BG25*2+BJ25*1+BM25*2+BP25*1+BS25*1+BV25*2+BY25*2+CB25*2)/(3+2+1+2+1+1+2+2+2)</f>
        <v>0</v>
      </c>
      <c r="CE25" s="50">
        <f>(AR25+CD25)/2</f>
        <v>0</v>
      </c>
      <c r="CF25" s="51">
        <f>RANK(CE25,$CE$7:CE54)</f>
        <v>1</v>
      </c>
      <c r="CG25" s="58"/>
      <c r="CH25" s="52"/>
      <c r="CI25" s="52"/>
      <c r="CJ25" s="52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</row>
    <row r="26" ht="20" customHeight="1" spans="1:199" s="39" customFormat="1" x14ac:dyDescent="0.25">
      <c r="A26" s="40">
        <v>20</v>
      </c>
      <c r="B26" s="40" t="s">
        <v>104</v>
      </c>
      <c r="C26" s="40" t="s">
        <v>43</v>
      </c>
      <c r="D26" s="40" t="s">
        <v>160</v>
      </c>
      <c r="E26" s="40" t="s">
        <v>161</v>
      </c>
      <c r="F26" s="40" t="s">
        <v>297</v>
      </c>
      <c r="G26" s="40" t="s">
        <v>163</v>
      </c>
      <c r="H26" s="111"/>
      <c r="I26" s="112"/>
      <c r="J26" s="40">
        <v>1</v>
      </c>
      <c r="K26" s="42">
        <v>80</v>
      </c>
      <c r="L26" s="40">
        <f>IF(K26&gt;=91, 4.00, IF(K26&gt;=81, 3.50, IF(K26&gt;=70, 3.00, IF(K26&gt;=65, 2.50, IF(K26&gt;=60, 2.00, IF(K26&gt;=55, 1.50, IF(K26&gt;=50, 1.00, 0.00)))))))</f>
      </c>
      <c r="M26" s="40">
        <f>IF(K26&gt;=91,"A",IF(K26&gt;=81,"B+",IF(K26&gt;=70,"B",IF(K26&gt;=65,"C+",IF(K26&gt;=60,"C",IF(K26&gt;=55,"D+",IF(K26&gt;=50,"D","F")))))))</f>
      </c>
      <c r="N26" s="42">
        <v>83</v>
      </c>
      <c r="O26" s="40">
        <f>IF(N26&gt;=91, 4.00, IF(N26&gt;=81, 3.50, IF(N26&gt;=70, 3.00, IF(N26&gt;=65, 2.50, IF(N26&gt;=60, 2.00, IF(N26&gt;=55, 1.50, IF(N26&gt;=50, 1.00, 0.00)))))))</f>
      </c>
      <c r="P26" s="40">
        <f>IF(N26&gt;=91,"A",IF(N26&gt;=81,"B+",IF(N26&gt;=70,"B",IF(N26&gt;=65,"C+",IF(N26&gt;=60,"C",IF(N26&gt;=55,"D+",IF(N26&gt;=50,"D","F")))))))</f>
      </c>
      <c r="Q26" s="42">
        <v>86</v>
      </c>
      <c r="R26" s="40">
        <f>IF(Q26&gt;=91, 4.00, IF(Q26&gt;=81, 3.50, IF(Q26&gt;=70, 3.00, IF(Q26&gt;=65, 2.50, IF(Q26&gt;=60, 2.00, IF(Q26&gt;=55, 1.50, IF(Q26&gt;=50, 1.00, 0.00)))))))</f>
      </c>
      <c r="S26" s="40">
        <f>IF(Q26&gt;=91,"A",IF(Q26&gt;=81,"B+",IF(Q26&gt;=70,"B",IF(Q26&gt;=65,"C+",IF(Q26&gt;=60,"C",IF(Q26&gt;=55,"D+",IF(Q26&gt;=50,"D","F")))))))</f>
      </c>
      <c r="T26" s="42">
        <v>89</v>
      </c>
      <c r="U26" s="40">
        <f>IF(T26&gt;=91, 4.00, IF(T26&gt;=81, 3.50, IF(T26&gt;=70, 3.00, IF(T26&gt;=65, 2.50, IF(T26&gt;=60, 2.00, IF(T26&gt;=55, 1.50, IF(T26&gt;=50, 1.00, 0.00)))))))</f>
      </c>
      <c r="V26" s="40">
        <f>IF(T26&gt;=91,"A",IF(T26&gt;=81,"B+",IF(T26&gt;=70,"B",IF(T26&gt;=65,"C+",IF(T26&gt;=60,"C",IF(T26&gt;=55,"D+",IF(T26&gt;=50,"D","F")))))))</f>
      </c>
      <c r="W26" s="42">
        <v>92</v>
      </c>
      <c r="X26" s="40">
        <f>IF(W26&gt;=91, 4.00, IF(W26&gt;=81, 3.50, IF(W26&gt;=70, 3.00, IF(W26&gt;=65, 2.50, IF(W26&gt;=60, 2.00, IF(W26&gt;=55, 1.50, IF(W26&gt;=50, 1.00, 0.00)))))))</f>
      </c>
      <c r="Y26" s="40">
        <f>IF(W26&gt;=91,"A",IF(W26&gt;=81,"B+",IF(W26&gt;=70,"B",IF(W26&gt;=65,"C+",IF(W26&gt;=60,"C",IF(W26&gt;=55,"D+",IF(W26&gt;=50,"D","F")))))))</f>
      </c>
      <c r="Z26" s="46">
        <v>95</v>
      </c>
      <c r="AA26" s="40">
        <f>IF(Z26&gt;=91, 4.00, IF(Z26&gt;=81, 3.50, IF(Z26&gt;=70, 3.00, IF(Z26&gt;=65, 2.50, IF(Z26&gt;=60, 2.00, IF(Z26&gt;=55, 1.50, IF(Z26&gt;=50, 1.00, 0.00)))))))</f>
      </c>
      <c r="AB26" s="40">
        <f>IF(Z26&gt;=91,"A",IF(Z26&gt;=81,"B+",IF(Z26&gt;=70,"B",IF(Z26&gt;=65,"C+",IF(Z26&gt;=60,"C",IF(Z26&gt;=55,"D+",IF(Z26&gt;=50,"D","F")))))))</f>
      </c>
      <c r="AC26" s="42">
        <v>77</v>
      </c>
      <c r="AD26" s="40">
        <f>IF(AC26&gt;=91, 4.00, IF(AC26&gt;=81, 3.50, IF(AC26&gt;=70, 3.00, IF(AC26&gt;=65, 2.50, IF(AC26&gt;=60, 2.00, IF(AC26&gt;=55, 1.50, IF(AC26&gt;=50, 1.00, 0.00)))))))</f>
      </c>
      <c r="AE26" s="40">
        <f>IF(AC26&gt;=91,"A",IF(AC26&gt;=81,"B+",IF(AC26&gt;=70,"B",IF(AC26&gt;=65,"C+",IF(AC26&gt;=60,"C",IF(AC26&gt;=55,"D+",IF(AC26&gt;=50,"D","F")))))))</f>
      </c>
      <c r="AF26" s="40">
        <v>80</v>
      </c>
      <c r="AG26" s="40">
        <f>IF(AF26&gt;=91, 4.00, IF(AF26&gt;=81, 3.50, IF(AF26&gt;=70, 3.00, IF(AF26&gt;=65, 2.50, IF(AF26&gt;=60, 2.00, IF(AF26&gt;=55, 1.50, IF(AF26&gt;=50, 1.00, 0.00)))))))</f>
      </c>
      <c r="AH26" s="40">
        <f>IF(AF26&gt;=91,"A",IF(AF26&gt;=81,"B+",IF(AF26&gt;=70,"B",IF(AF26&gt;=65,"C+",IF(AF26&gt;=60,"C",IF(AF26&gt;=55,"D+",IF(AF26&gt;=50,"D","F")))))))</f>
      </c>
      <c r="AI26" s="46">
        <v>83</v>
      </c>
      <c r="AJ26" s="40">
        <f>IF(AI26&gt;=91, 4.00, IF(AI26&gt;=81, 3.50, IF(AI26&gt;=70, 3.00, IF(AI26&gt;=65, 2.50, IF(AI26&gt;=60, 2.00, IF(AI26&gt;=55, 1.50, IF(AI26&gt;=50, 1.00, 0.00)))))))</f>
      </c>
      <c r="AK26" s="40">
        <f>IF(AI26&gt;=91,"A",IF(AI26&gt;=81,"B+",IF(AI26&gt;=70,"B",IF(AI26&gt;=65,"C+",IF(AI26&gt;=60,"C",IF(AI26&gt;=55,"D+",IF(AI26&gt;=50,"D","F")))))))</f>
      </c>
      <c r="AL26" s="42">
        <f>ROUND((L26*3+O26*2+R26*1+U26*1+X26*1+AA26*2+AD26*2+AG26*1+AJ26*2)/15, 2)</f>
      </c>
      <c r="AM26" s="40" t="str">
        <f>IF(AL26&gt;90,"4.00",IF(AL26&gt;80,"3.50",IF(AL26&gt;69,"3.00",IF(AL26&gt;64,"2.50",IF(AL26&gt;59,"2.00",IF(AL26&gt;54,"1.50",IF(AL26&gt;49,"1.00","0.00")))))))</f>
        <v>0.00</v>
      </c>
      <c r="AN26" s="40">
        <f>IF(AM26&gt;=91, 4.00, IF(AM26&gt;=81, 3.50, IF(AM26&gt;=70, 3.00, IF(AM26&gt;=65, 2.50, IF(AM26&gt;=60, 2.00, IF(AM26&gt;=55, 1.50, IF(AM26&gt;=50, 1.00, 0.00)))))))</f>
      </c>
      <c r="AO26" s="40">
        <f>IF(AM26&gt;=91,"A",IF(AM26&gt;=81,"B+",IF(AM26&gt;=70,"B",IF(AM26&gt;=65,"C+",IF(AM26&gt;=60,"C",IF(AM26&gt;=55,"D+",IF(AM26&gt;=50,"D","F")))))))</f>
      </c>
      <c r="AP26" s="40" t="str">
        <f>IF(AO26&gt;90,"4.00",IF(AO26&gt;80,"3.50",IF(AO26&gt;69,"3.00",IF(AO26&gt;64,"2.50",IF(AO26&gt;59,"2.00",IF(AO26&gt;54,"1.50",IF(AO26&gt;49,"1.00","0.00")))))))</f>
        <v>0.00</v>
      </c>
      <c r="AQ26" s="40">
        <f>IF(AP26&gt;=91, 4.00, IF(AP26&gt;=81, 3.50, IF(AP26&gt;=70, 3.00, IF(AP26&gt;=65, 2.50, IF(AP26&gt;=60, 2.00, IF(AP26&gt;=55, 1.50, IF(AP26&gt;=50, 1.00, 0.00)))))))</f>
      </c>
      <c r="AR26" s="40">
        <f>IF(AP26&gt;=91,"A",IF(AP26&gt;=81,"B+",IF(AP26&gt;=70,"B",IF(AP26&gt;=65,"C+",IF(AP26&gt;=60,"C",IF(AP26&gt;=55,"D+",IF(AP26&gt;=50,"D","F")))))))</f>
      </c>
      <c r="AS26" s="47">
        <v>93</v>
      </c>
      <c r="AT26" s="40">
        <f>IF(AS26&gt;=91, 4.00, IF(AS26&gt;=81, 3.50, IF(AS26&gt;=70, 3.00, IF(AS26&gt;=65, 2.50, IF(AS26&gt;=60, 2.00, IF(AS26&gt;=55, 1.50, IF(AS26&gt;=50, 1.00, 0.00)))))))</f>
      </c>
      <c r="AU26" s="40">
        <f>IF(AS26&gt;=91,"A",IF(AS26&gt;=81,"B+",IF(AS26&gt;=70,"B",IF(AS26&gt;=65,"C+",IF(AS26&gt;=60,"C",IF(AS26&gt;=55,"D+",IF(AS26&gt;=50,"D","F")))))))</f>
      </c>
      <c r="AV26" s="40" t="s">
        <v>43</v>
      </c>
      <c r="AW26" s="40">
        <f>IF(AV26&gt;=91, 4.00, IF(AV26&gt;=81, 3.50, IF(AV26&gt;=70, 3.00, IF(AV26&gt;=65, 2.50, IF(AV26&gt;=60, 2.00, IF(AV26&gt;=55, 1.50, IF(AV26&gt;=50, 1.00, 0.00)))))))</f>
      </c>
      <c r="AX26" s="40">
        <f>IF(AV26&gt;=91,"A",IF(AV26&gt;=81,"B+",IF(AV26&gt;=70,"B",IF(AV26&gt;=65,"C+",IF(AV26&gt;=60,"C",IF(AV26&gt;=55,"D+",IF(AV26&gt;=50,"D","F")))))))</f>
      </c>
      <c r="AY26" s="40" t="s">
        <v>297</v>
      </c>
      <c r="AZ26" s="40">
        <f>IF(AY26&gt;=91, 4.00, IF(AY26&gt;=81, 3.50, IF(AY26&gt;=70, 3.00, IF(AY26&gt;=65, 2.50, IF(AY26&gt;=60, 2.00, IF(AY26&gt;=55, 1.50, IF(AY26&gt;=50, 1.00, 0.00)))))))</f>
      </c>
      <c r="BA26" s="111">
        <f>IF(AY26&gt;=91,"A",IF(AY26&gt;=81,"B+",IF(AY26&gt;=70,"B",IF(AY26&gt;=65,"C+",IF(AY26&gt;=60,"C",IF(AY26&gt;=55,"D+",IF(AY26&gt;=50,"D","F")))))))</f>
      </c>
      <c r="BB26" s="112">
        <v>81</v>
      </c>
      <c r="BC26" s="48">
        <f>IF(BB26&gt;=91, 4.00, IF(BB26&gt;=81, 3.50, IF(BB26&gt;=70, 3.00, IF(BB26&gt;=65, 2.50, IF(BB26&gt;=60, 2.00, IF(BB26&gt;=55, 1.50, IF(BB26&gt;=50, 1.00, 0.00)))))))</f>
      </c>
      <c r="BD26" s="49">
        <f>IF(BB26&gt;=91,"A",IF(BB26&gt;=81,"B+",IF(BB26&gt;=70,"B",IF(BB26&gt;=65,"C+",IF(BB26&gt;=60,"C",IF(BB26&gt;=55,"D+",IF(BB26&gt;=50,"D","F")))))))</f>
      </c>
      <c r="BE26" s="40" t="str">
        <f>IF(BC26&gt;90,"A",IF(BC26&gt;80,"B+",IF(BC26&gt;69,"B",IF(BC26&gt;64,"C+",IF(BC26&gt;59,"C",IF(BC26&gt;54,"D+",IF(BC26&gt;49,"D",IF(BC26&gt;=0,"F"))))))))</f>
        <v>F</v>
      </c>
      <c r="BF26" s="48">
        <f>IF(BE26&gt;=91, 4.00, IF(BE26&gt;=81, 3.50, IF(BE26&gt;=70, 3.00, IF(BE26&gt;=65, 2.50, IF(BE26&gt;=60, 2.00, IF(BE26&gt;=55, 1.50, IF(BE26&gt;=50, 1.00, 0.00)))))))</f>
      </c>
      <c r="BG26" s="49">
        <f>IF(BE26&gt;=91,"A",IF(BE26&gt;=81,"B+",IF(BE26&gt;=70,"B",IF(BE26&gt;=65,"C+",IF(BE26&gt;=60,"C",IF(BE26&gt;=55,"D+",IF(BE26&gt;=50,"D","F")))))))</f>
      </c>
      <c r="BH26" s="40" t="str">
        <f>IF(BF26&gt;90,"A",IF(BF26&gt;80,"B+",IF(BF26&gt;69,"B",IF(BF26&gt;64,"C+",IF(BF26&gt;59,"C",IF(BF26&gt;54,"D+",IF(BF26&gt;49,"D",IF(BF26&gt;=0,"F"))))))))</f>
        <v>F</v>
      </c>
      <c r="BI26" s="43">
        <f>IF(BH26&gt;=91, 4.00, IF(BH26&gt;=81, 3.50, IF(BH26&gt;=70, 3.00, IF(BH26&gt;=65, 2.50, IF(BH26&gt;=60, 2.00, IF(BH26&gt;=55, 1.50, IF(BH26&gt;=50, 1.00, 0.00)))))))</f>
      </c>
      <c r="BJ26" s="49">
        <f>IF(BH26&gt;=91,"A",IF(BH26&gt;=81,"B+",IF(BH26&gt;=70,"B",IF(BH26&gt;=65,"C+",IF(BH26&gt;=60,"C",IF(BH26&gt;=55,"D+",IF(BH26&gt;=50,"D","F")))))))</f>
      </c>
      <c r="BK26" s="40" t="str">
        <f>IF(BI26&gt;90,"A",IF(BI26&gt;80,"B+",IF(BI26&gt;69,"B",IF(BI26&gt;64,"C+",IF(BI26&gt;59,"C",IF(BI26&gt;54,"D+",IF(BI26&gt;49,"D",IF(BI26&gt;=0,"F"))))))))</f>
        <v>F</v>
      </c>
      <c r="BL26" s="48">
        <f>IF(BK26&gt;=91, 4.00, IF(BK26&gt;=81, 3.50, IF(BK26&gt;=70, 3.00, IF(BK26&gt;=65, 2.50, IF(BK26&gt;=60, 2.00, IF(BK26&gt;=55, 1.50, IF(BK26&gt;=50, 1.00, 0.00)))))))</f>
      </c>
      <c r="BM26" s="49">
        <f>IF(BK26&gt;=91,"A",IF(BK26&gt;=81,"B+",IF(BK26&gt;=70,"B",IF(BK26&gt;=65,"C+",IF(BK26&gt;=60,"C",IF(BK26&gt;=55,"D+",IF(BK26&gt;=50,"D","F")))))))</f>
      </c>
      <c r="BN26" s="40">
        <f>ROUND((AN26*3+AQ26*2+AT26*1+AW26*1+AZ26*1+BC26*2+BF26*2+BI26*1+BL26*2)/15, 2)</f>
      </c>
      <c r="BO26" s="43"/>
      <c r="BP26" s="49" t="str">
        <f>IF(BO26&gt;90,"4.00",IF(BO26&gt;80,"3.50",IF(BO26&gt;69,"3.00",IF(BO26&gt;64,"2.50",IF(BO26&gt;59,"2.00",IF(BO26&gt;54,"1.50",IF(BO26&gt;49,"1.00","0.00")))))))</f>
        <v>0.00</v>
      </c>
      <c r="BQ26" s="40" t="str">
        <f>IF(BO26&gt;90,"A",IF(BO26&gt;80,"B+",IF(BO26&gt;69,"B",IF(BO26&gt;64,"C+",IF(BO26&gt;59,"C",IF(BO26&gt;54,"D+",IF(BO26&gt;49,"D",IF(BO26&gt;=0,"F"))))))))</f>
        <v>F</v>
      </c>
      <c r="BR26" s="43"/>
      <c r="BS26" s="49" t="str">
        <f>IF(BR26&gt;90,"4.00",IF(BR26&gt;80,"3.50",IF(BR26&gt;69,"3.00",IF(BR26&gt;64,"2.50",IF(BR26&gt;59,"2.00",IF(BR26&gt;54,"1.50",IF(BR26&gt;49,"1.00","0.00")))))))</f>
        <v>0.00</v>
      </c>
      <c r="BT26" s="40" t="str">
        <f>IF(BR26&gt;90,"A",IF(BR26&gt;80,"B+",IF(BR26&gt;69,"B",IF(BR26&gt;64,"C+",IF(BR26&gt;59,"C",IF(BR26&gt;54,"D+",IF(BR26&gt;49,"D",IF(BR26&gt;=0,"F"))))))))</f>
        <v>F</v>
      </c>
      <c r="BU26" s="49"/>
      <c r="BV26" s="49" t="str">
        <f>IF(BU26&gt;90,"4.00",IF(BU26&gt;80,"3.50",IF(BU26&gt;69,"3.00",IF(BU26&gt;64,"2.50",IF(BU26&gt;59,"2.00",IF(BU26&gt;54,"1.50",IF(BU26&gt;49,"1.00","0.00")))))))</f>
        <v>0.00</v>
      </c>
      <c r="BW26" s="40" t="str">
        <f>IF(BU26&gt;90,"A",IF(BU26&gt;80,"B+",IF(BU26&gt;69,"B",IF(BU26&gt;64,"C+",IF(BU26&gt;59,"C",IF(BU26&gt;54,"D+",IF(BU26&gt;49,"D",IF(BU26&gt;=0,"F"))))))))</f>
        <v>F</v>
      </c>
      <c r="BX26" s="49"/>
      <c r="BY26" s="49" t="str">
        <f>IF(BX26&gt;90,"4.00",IF(BX26&gt;80,"3.50",IF(BX26&gt;69,"3.00",IF(BX26&gt;64,"2.50",IF(BX26&gt;59,"2.00",IF(BX26&gt;54,"1.50",IF(BX26&gt;49,"1.00","0.00")))))))</f>
        <v>0.00</v>
      </c>
      <c r="BZ26" s="40" t="str">
        <f>IF(BX26&gt;90,"A",IF(BX26&gt;80,"B+",IF(BX26&gt;69,"B",IF(BX26&gt;64,"C+",IF(BX26&gt;59,"C",IF(BX26&gt;54,"D+",IF(BX26&gt;49,"D",IF(BX26&gt;=0,"F"))))))))</f>
        <v>F</v>
      </c>
      <c r="CA26" s="49"/>
      <c r="CB26" s="49" t="str">
        <f>IF(CA26&gt;90,"4.00",IF(CA26&gt;80,"3.50",IF(CA26&gt;69,"3.00",IF(CA26&gt;64,"2.50",IF(CA26&gt;59,"2.00",IF(CA26&gt;54,"1.50",IF(CA26&gt;49,"1.00","0.00")))))))</f>
        <v>0.00</v>
      </c>
      <c r="CC26" s="40" t="str">
        <f>IF(CA26&gt;90,"A",IF(CA26&gt;80,"B+",IF(CA26&gt;69,"B",IF(CA26&gt;64,"C+",IF(CA26&gt;59,"C",IF(CA26&gt;54,"D+",IF(CA26&gt;49,"D",IF(CA26&gt;=0,"F"))))))))</f>
        <v>F</v>
      </c>
      <c r="CD26" s="50">
        <f>(BD26*3+BG26*2+BJ26*1+BM26*2+BP26*1+BS26*1+BV26*2+BY26*2+CB26*2)/(3+2+1+2+1+1+2+2+2)</f>
        <v>0</v>
      </c>
      <c r="CE26" s="50">
        <f>(AR26+CD26)/2</f>
        <v>0</v>
      </c>
      <c r="CF26" s="51">
        <f>RANK(CE26,$CE$7:CE55)</f>
        <v>1</v>
      </c>
      <c r="CG26" s="40"/>
      <c r="CH26" s="52"/>
      <c r="CI26" s="52"/>
      <c r="CJ26" s="52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</row>
    <row r="27" ht="20" customHeight="1" spans="1:199" s="39" customFormat="1" x14ac:dyDescent="0.25">
      <c r="A27" s="40">
        <v>21</v>
      </c>
      <c r="B27" s="40" t="s">
        <v>110</v>
      </c>
      <c r="C27" s="40" t="s">
        <v>51</v>
      </c>
      <c r="D27" s="40" t="s">
        <v>166</v>
      </c>
      <c r="E27" s="40" t="s">
        <v>167</v>
      </c>
      <c r="F27" s="40" t="s">
        <v>298</v>
      </c>
      <c r="G27" s="40" t="s">
        <v>299</v>
      </c>
      <c r="H27" s="44"/>
      <c r="I27" s="112"/>
      <c r="J27" s="40">
        <v>1</v>
      </c>
      <c r="K27" s="42">
        <v>83</v>
      </c>
      <c r="L27" s="40">
        <f>IF(K27&gt;=91, 4.00, IF(K27&gt;=81, 3.50, IF(K27&gt;=70, 3.00, IF(K27&gt;=65, 2.50, IF(K27&gt;=60, 2.00, IF(K27&gt;=55, 1.50, IF(K27&gt;=50, 1.00, 0.00)))))))</f>
      </c>
      <c r="M27" s="40">
        <f>IF(K27&gt;=91,"A",IF(K27&gt;=81,"B+",IF(K27&gt;=70,"B",IF(K27&gt;=65,"C+",IF(K27&gt;=60,"C",IF(K27&gt;=55,"D+",IF(K27&gt;=50,"D","F")))))))</f>
      </c>
      <c r="N27" s="42">
        <v>86</v>
      </c>
      <c r="O27" s="40">
        <f>IF(N27&gt;=91, 4.00, IF(N27&gt;=81, 3.50, IF(N27&gt;=70, 3.00, IF(N27&gt;=65, 2.50, IF(N27&gt;=60, 2.00, IF(N27&gt;=55, 1.50, IF(N27&gt;=50, 1.00, 0.00)))))))</f>
      </c>
      <c r="P27" s="40">
        <f>IF(N27&gt;=91,"A",IF(N27&gt;=81,"B+",IF(N27&gt;=70,"B",IF(N27&gt;=65,"C+",IF(N27&gt;=60,"C",IF(N27&gt;=55,"D+",IF(N27&gt;=50,"D","F")))))))</f>
      </c>
      <c r="Q27" s="42">
        <v>89</v>
      </c>
      <c r="R27" s="40">
        <f>IF(Q27&gt;=91, 4.00, IF(Q27&gt;=81, 3.50, IF(Q27&gt;=70, 3.00, IF(Q27&gt;=65, 2.50, IF(Q27&gt;=60, 2.00, IF(Q27&gt;=55, 1.50, IF(Q27&gt;=50, 1.00, 0.00)))))))</f>
      </c>
      <c r="S27" s="40">
        <f>IF(Q27&gt;=91,"A",IF(Q27&gt;=81,"B+",IF(Q27&gt;=70,"B",IF(Q27&gt;=65,"C+",IF(Q27&gt;=60,"C",IF(Q27&gt;=55,"D+",IF(Q27&gt;=50,"D","F")))))))</f>
      </c>
      <c r="T27" s="42">
        <v>92</v>
      </c>
      <c r="U27" s="40">
        <f>IF(T27&gt;=91, 4.00, IF(T27&gt;=81, 3.50, IF(T27&gt;=70, 3.00, IF(T27&gt;=65, 2.50, IF(T27&gt;=60, 2.00, IF(T27&gt;=55, 1.50, IF(T27&gt;=50, 1.00, 0.00)))))))</f>
      </c>
      <c r="V27" s="40">
        <f>IF(T27&gt;=91,"A",IF(T27&gt;=81,"B+",IF(T27&gt;=70,"B",IF(T27&gt;=65,"C+",IF(T27&gt;=60,"C",IF(T27&gt;=55,"D+",IF(T27&gt;=50,"D","F")))))))</f>
      </c>
      <c r="W27" s="42">
        <v>95</v>
      </c>
      <c r="X27" s="40">
        <f>IF(W27&gt;=91, 4.00, IF(W27&gt;=81, 3.50, IF(W27&gt;=70, 3.00, IF(W27&gt;=65, 2.50, IF(W27&gt;=60, 2.00, IF(W27&gt;=55, 1.50, IF(W27&gt;=50, 1.00, 0.00)))))))</f>
      </c>
      <c r="Y27" s="40">
        <f>IF(W27&gt;=91,"A",IF(W27&gt;=81,"B+",IF(W27&gt;=70,"B",IF(W27&gt;=65,"C+",IF(W27&gt;=60,"C",IF(W27&gt;=55,"D+",IF(W27&gt;=50,"D","F")))))))</f>
      </c>
      <c r="Z27" s="46">
        <v>77</v>
      </c>
      <c r="AA27" s="40">
        <f>IF(Z27&gt;=91, 4.00, IF(Z27&gt;=81, 3.50, IF(Z27&gt;=70, 3.00, IF(Z27&gt;=65, 2.50, IF(Z27&gt;=60, 2.00, IF(Z27&gt;=55, 1.50, IF(Z27&gt;=50, 1.00, 0.00)))))))</f>
      </c>
      <c r="AB27" s="40">
        <f>IF(Z27&gt;=91,"A",IF(Z27&gt;=81,"B+",IF(Z27&gt;=70,"B",IF(Z27&gt;=65,"C+",IF(Z27&gt;=60,"C",IF(Z27&gt;=55,"D+",IF(Z27&gt;=50,"D","F")))))))</f>
      </c>
      <c r="AC27" s="42">
        <v>80</v>
      </c>
      <c r="AD27" s="40">
        <f>IF(AC27&gt;=91, 4.00, IF(AC27&gt;=81, 3.50, IF(AC27&gt;=70, 3.00, IF(AC27&gt;=65, 2.50, IF(AC27&gt;=60, 2.00, IF(AC27&gt;=55, 1.50, IF(AC27&gt;=50, 1.00, 0.00)))))))</f>
      </c>
      <c r="AE27" s="40">
        <f>IF(AC27&gt;=91,"A",IF(AC27&gt;=81,"B+",IF(AC27&gt;=70,"B",IF(AC27&gt;=65,"C+",IF(AC27&gt;=60,"C",IF(AC27&gt;=55,"D+",IF(AC27&gt;=50,"D","F")))))))</f>
      </c>
      <c r="AF27" s="40">
        <v>83</v>
      </c>
      <c r="AG27" s="40">
        <f>IF(AF27&gt;=91, 4.00, IF(AF27&gt;=81, 3.50, IF(AF27&gt;=70, 3.00, IF(AF27&gt;=65, 2.50, IF(AF27&gt;=60, 2.00, IF(AF27&gt;=55, 1.50, IF(AF27&gt;=50, 1.00, 0.00)))))))</f>
      </c>
      <c r="AH27" s="40">
        <f>IF(AF27&gt;=91,"A",IF(AF27&gt;=81,"B+",IF(AF27&gt;=70,"B",IF(AF27&gt;=65,"C+",IF(AF27&gt;=60,"C",IF(AF27&gt;=55,"D+",IF(AF27&gt;=50,"D","F")))))))</f>
      </c>
      <c r="AI27" s="46">
        <v>86</v>
      </c>
      <c r="AJ27" s="40">
        <f>IF(AI27&gt;=91, 4.00, IF(AI27&gt;=81, 3.50, IF(AI27&gt;=70, 3.00, IF(AI27&gt;=65, 2.50, IF(AI27&gt;=60, 2.00, IF(AI27&gt;=55, 1.50, IF(AI27&gt;=50, 1.00, 0.00)))))))</f>
      </c>
      <c r="AK27" s="40">
        <f>IF(AI27&gt;=91,"A",IF(AI27&gt;=81,"B+",IF(AI27&gt;=70,"B",IF(AI27&gt;=65,"C+",IF(AI27&gt;=60,"C",IF(AI27&gt;=55,"D+",IF(AI27&gt;=50,"D","F")))))))</f>
      </c>
      <c r="AL27" s="42">
        <f>ROUND((L27*3+O27*2+R27*1+U27*1+X27*1+AA27*2+AD27*2+AG27*1+AJ27*2)/15, 2)</f>
      </c>
      <c r="AM27" s="40" t="str">
        <f>IF(AL27&gt;90,"4.00",IF(AL27&gt;80,"3.50",IF(AL27&gt;69,"3.00",IF(AL27&gt;64,"2.50",IF(AL27&gt;59,"2.00",IF(AL27&gt;54,"1.50",IF(AL27&gt;49,"1.00","0.00")))))))</f>
        <v>0.00</v>
      </c>
      <c r="AN27" s="40">
        <f>IF(AM27&gt;=91, 4.00, IF(AM27&gt;=81, 3.50, IF(AM27&gt;=70, 3.00, IF(AM27&gt;=65, 2.50, IF(AM27&gt;=60, 2.00, IF(AM27&gt;=55, 1.50, IF(AM27&gt;=50, 1.00, 0.00)))))))</f>
      </c>
      <c r="AO27" s="40">
        <f>IF(AM27&gt;=91,"A",IF(AM27&gt;=81,"B+",IF(AM27&gt;=70,"B",IF(AM27&gt;=65,"C+",IF(AM27&gt;=60,"C",IF(AM27&gt;=55,"D+",IF(AM27&gt;=50,"D","F")))))))</f>
      </c>
      <c r="AP27" s="40" t="str">
        <f>IF(AO27&gt;90,"4.00",IF(AO27&gt;80,"3.50",IF(AO27&gt;69,"3.00",IF(AO27&gt;64,"2.50",IF(AO27&gt;59,"2.00",IF(AO27&gt;54,"1.50",IF(AO27&gt;49,"1.00","0.00")))))))</f>
        <v>0.00</v>
      </c>
      <c r="AQ27" s="40">
        <f>IF(AP27&gt;=91, 4.00, IF(AP27&gt;=81, 3.50, IF(AP27&gt;=70, 3.00, IF(AP27&gt;=65, 2.50, IF(AP27&gt;=60, 2.00, IF(AP27&gt;=55, 1.50, IF(AP27&gt;=50, 1.00, 0.00)))))))</f>
      </c>
      <c r="AR27" s="40">
        <f>IF(AP27&gt;=91,"A",IF(AP27&gt;=81,"B+",IF(AP27&gt;=70,"B",IF(AP27&gt;=65,"C+",IF(AP27&gt;=60,"C",IF(AP27&gt;=55,"D+",IF(AP27&gt;=50,"D","F")))))))</f>
      </c>
      <c r="AS27" s="47">
        <v>75</v>
      </c>
      <c r="AT27" s="40">
        <f>IF(AS27&gt;=91, 4.00, IF(AS27&gt;=81, 3.50, IF(AS27&gt;=70, 3.00, IF(AS27&gt;=65, 2.50, IF(AS27&gt;=60, 2.00, IF(AS27&gt;=55, 1.50, IF(AS27&gt;=50, 1.00, 0.00)))))))</f>
      </c>
      <c r="AU27" s="40">
        <f>IF(AS27&gt;=91,"A",IF(AS27&gt;=81,"B+",IF(AS27&gt;=70,"B",IF(AS27&gt;=65,"C+",IF(AS27&gt;=60,"C",IF(AS27&gt;=55,"D+",IF(AS27&gt;=50,"D","F")))))))</f>
      </c>
      <c r="AV27" s="40" t="s">
        <v>51</v>
      </c>
      <c r="AW27" s="40">
        <f>IF(AV27&gt;=91, 4.00, IF(AV27&gt;=81, 3.50, IF(AV27&gt;=70, 3.00, IF(AV27&gt;=65, 2.50, IF(AV27&gt;=60, 2.00, IF(AV27&gt;=55, 1.50, IF(AV27&gt;=50, 1.00, 0.00)))))))</f>
      </c>
      <c r="AX27" s="40">
        <f>IF(AV27&gt;=91,"A",IF(AV27&gt;=81,"B+",IF(AV27&gt;=70,"B",IF(AV27&gt;=65,"C+",IF(AV27&gt;=60,"C",IF(AV27&gt;=55,"D+",IF(AV27&gt;=50,"D","F")))))))</f>
      </c>
      <c r="AY27" s="40" t="s">
        <v>298</v>
      </c>
      <c r="AZ27" s="40">
        <f>IF(AY27&gt;=91, 4.00, IF(AY27&gt;=81, 3.50, IF(AY27&gt;=70, 3.00, IF(AY27&gt;=65, 2.50, IF(AY27&gt;=60, 2.00, IF(AY27&gt;=55, 1.50, IF(AY27&gt;=50, 1.00, 0.00)))))))</f>
      </c>
      <c r="BA27" s="44">
        <f>IF(AY27&gt;=91,"A",IF(AY27&gt;=81,"B+",IF(AY27&gt;=70,"B",IF(AY27&gt;=65,"C+",IF(AY27&gt;=60,"C",IF(AY27&gt;=55,"D+",IF(AY27&gt;=50,"D","F")))))))</f>
      </c>
      <c r="BB27" s="112">
        <v>84</v>
      </c>
      <c r="BC27" s="48">
        <f>IF(BB27&gt;=91, 4.00, IF(BB27&gt;=81, 3.50, IF(BB27&gt;=70, 3.00, IF(BB27&gt;=65, 2.50, IF(BB27&gt;=60, 2.00, IF(BB27&gt;=55, 1.50, IF(BB27&gt;=50, 1.00, 0.00)))))))</f>
      </c>
      <c r="BD27" s="49">
        <f>IF(BB27&gt;=91,"A",IF(BB27&gt;=81,"B+",IF(BB27&gt;=70,"B",IF(BB27&gt;=65,"C+",IF(BB27&gt;=60,"C",IF(BB27&gt;=55,"D+",IF(BB27&gt;=50,"D","F")))))))</f>
      </c>
      <c r="BE27" s="40" t="str">
        <f>IF(BC27&gt;90,"A",IF(BC27&gt;80,"B+",IF(BC27&gt;69,"B",IF(BC27&gt;64,"C+",IF(BC27&gt;59,"C",IF(BC27&gt;54,"D+",IF(BC27&gt;49,"D",IF(BC27&gt;=0,"F"))))))))</f>
        <v>F</v>
      </c>
      <c r="BF27" s="48">
        <f>IF(BE27&gt;=91, 4.00, IF(BE27&gt;=81, 3.50, IF(BE27&gt;=70, 3.00, IF(BE27&gt;=65, 2.50, IF(BE27&gt;=60, 2.00, IF(BE27&gt;=55, 1.50, IF(BE27&gt;=50, 1.00, 0.00)))))))</f>
      </c>
      <c r="BG27" s="49">
        <f>IF(BE27&gt;=91,"A",IF(BE27&gt;=81,"B+",IF(BE27&gt;=70,"B",IF(BE27&gt;=65,"C+",IF(BE27&gt;=60,"C",IF(BE27&gt;=55,"D+",IF(BE27&gt;=50,"D","F")))))))</f>
      </c>
      <c r="BH27" s="40" t="str">
        <f>IF(BF27&gt;90,"A",IF(BF27&gt;80,"B+",IF(BF27&gt;69,"B",IF(BF27&gt;64,"C+",IF(BF27&gt;59,"C",IF(BF27&gt;54,"D+",IF(BF27&gt;49,"D",IF(BF27&gt;=0,"F"))))))))</f>
        <v>F</v>
      </c>
      <c r="BI27" s="43">
        <f>IF(BH27&gt;=91, 4.00, IF(BH27&gt;=81, 3.50, IF(BH27&gt;=70, 3.00, IF(BH27&gt;=65, 2.50, IF(BH27&gt;=60, 2.00, IF(BH27&gt;=55, 1.50, IF(BH27&gt;=50, 1.00, 0.00)))))))</f>
      </c>
      <c r="BJ27" s="49">
        <f>IF(BH27&gt;=91,"A",IF(BH27&gt;=81,"B+",IF(BH27&gt;=70,"B",IF(BH27&gt;=65,"C+",IF(BH27&gt;=60,"C",IF(BH27&gt;=55,"D+",IF(BH27&gt;=50,"D","F")))))))</f>
      </c>
      <c r="BK27" s="40" t="str">
        <f>IF(BI27&gt;90,"A",IF(BI27&gt;80,"B+",IF(BI27&gt;69,"B",IF(BI27&gt;64,"C+",IF(BI27&gt;59,"C",IF(BI27&gt;54,"D+",IF(BI27&gt;49,"D",IF(BI27&gt;=0,"F"))))))))</f>
        <v>F</v>
      </c>
      <c r="BL27" s="48">
        <f>IF(BK27&gt;=91, 4.00, IF(BK27&gt;=81, 3.50, IF(BK27&gt;=70, 3.00, IF(BK27&gt;=65, 2.50, IF(BK27&gt;=60, 2.00, IF(BK27&gt;=55, 1.50, IF(BK27&gt;=50, 1.00, 0.00)))))))</f>
      </c>
      <c r="BM27" s="49">
        <f>IF(BK27&gt;=91,"A",IF(BK27&gt;=81,"B+",IF(BK27&gt;=70,"B",IF(BK27&gt;=65,"C+",IF(BK27&gt;=60,"C",IF(BK27&gt;=55,"D+",IF(BK27&gt;=50,"D","F")))))))</f>
      </c>
      <c r="BN27" s="40">
        <f>ROUND((AN27*3+AQ27*2+AT27*1+AW27*1+AZ27*1+BC27*2+BF27*2+BI27*1+BL27*2)/15, 2)</f>
      </c>
      <c r="BO27" s="43"/>
      <c r="BP27" s="49" t="str">
        <f>IF(BO27&gt;90,"4.00",IF(BO27&gt;80,"3.50",IF(BO27&gt;69,"3.00",IF(BO27&gt;64,"2.50",IF(BO27&gt;59,"2.00",IF(BO27&gt;54,"1.50",IF(BO27&gt;49,"1.00","0.00")))))))</f>
        <v>0.00</v>
      </c>
      <c r="BQ27" s="40" t="str">
        <f>IF(BO27&gt;90,"A",IF(BO27&gt;80,"B+",IF(BO27&gt;69,"B",IF(BO27&gt;64,"C+",IF(BO27&gt;59,"C",IF(BO27&gt;54,"D+",IF(BO27&gt;49,"D",IF(BO27&gt;=0,"F"))))))))</f>
        <v>F</v>
      </c>
      <c r="BR27" s="43"/>
      <c r="BS27" s="49" t="str">
        <f>IF(BR27&gt;90,"4.00",IF(BR27&gt;80,"3.50",IF(BR27&gt;69,"3.00",IF(BR27&gt;64,"2.50",IF(BR27&gt;59,"2.00",IF(BR27&gt;54,"1.50",IF(BR27&gt;49,"1.00","0.00")))))))</f>
        <v>0.00</v>
      </c>
      <c r="BT27" s="40" t="str">
        <f>IF(BR27&gt;90,"A",IF(BR27&gt;80,"B+",IF(BR27&gt;69,"B",IF(BR27&gt;64,"C+",IF(BR27&gt;59,"C",IF(BR27&gt;54,"D+",IF(BR27&gt;49,"D",IF(BR27&gt;=0,"F"))))))))</f>
        <v>F</v>
      </c>
      <c r="BU27" s="49"/>
      <c r="BV27" s="49" t="str">
        <f>IF(BU27&gt;90,"4.00",IF(BU27&gt;80,"3.50",IF(BU27&gt;69,"3.00",IF(BU27&gt;64,"2.50",IF(BU27&gt;59,"2.00",IF(BU27&gt;54,"1.50",IF(BU27&gt;49,"1.00","0.00")))))))</f>
        <v>0.00</v>
      </c>
      <c r="BW27" s="40" t="str">
        <f>IF(BU27&gt;90,"A",IF(BU27&gt;80,"B+",IF(BU27&gt;69,"B",IF(BU27&gt;64,"C+",IF(BU27&gt;59,"C",IF(BU27&gt;54,"D+",IF(BU27&gt;49,"D",IF(BU27&gt;=0,"F"))))))))</f>
        <v>F</v>
      </c>
      <c r="BX27" s="49"/>
      <c r="BY27" s="49" t="str">
        <f>IF(BX27&gt;90,"4.00",IF(BX27&gt;80,"3.50",IF(BX27&gt;69,"3.00",IF(BX27&gt;64,"2.50",IF(BX27&gt;59,"2.00",IF(BX27&gt;54,"1.50",IF(BX27&gt;49,"1.00","0.00")))))))</f>
        <v>0.00</v>
      </c>
      <c r="BZ27" s="40" t="str">
        <f>IF(BX27&gt;90,"A",IF(BX27&gt;80,"B+",IF(BX27&gt;69,"B",IF(BX27&gt;64,"C+",IF(BX27&gt;59,"C",IF(BX27&gt;54,"D+",IF(BX27&gt;49,"D",IF(BX27&gt;=0,"F"))))))))</f>
        <v>F</v>
      </c>
      <c r="CA27" s="49"/>
      <c r="CB27" s="49" t="str">
        <f>IF(CA27&gt;90,"4.00",IF(CA27&gt;80,"3.50",IF(CA27&gt;69,"3.00",IF(CA27&gt;64,"2.50",IF(CA27&gt;59,"2.00",IF(CA27&gt;54,"1.50",IF(CA27&gt;49,"1.00","0.00")))))))</f>
        <v>0.00</v>
      </c>
      <c r="CC27" s="40" t="str">
        <f>IF(CA27&gt;90,"A",IF(CA27&gt;80,"B+",IF(CA27&gt;69,"B",IF(CA27&gt;64,"C+",IF(CA27&gt;59,"C",IF(CA27&gt;54,"D+",IF(CA27&gt;49,"D",IF(CA27&gt;=0,"F"))))))))</f>
        <v>F</v>
      </c>
      <c r="CD27" s="50">
        <f>(BD27*3+BG27*2+BJ27*1+BM27*2+BP27*1+BS27*1+BV27*2+BY27*2+CB27*2)/(3+2+1+2+1+1+2+2+2)</f>
        <v>0</v>
      </c>
      <c r="CE27" s="50">
        <f>(AR27+CD27)/2</f>
        <v>0</v>
      </c>
      <c r="CF27" s="51">
        <f>RANK(CE27,$CE$7:CE56)</f>
        <v>1</v>
      </c>
      <c r="CG27" s="66"/>
      <c r="CH27" s="52"/>
      <c r="CI27" s="52"/>
      <c r="CJ27" s="52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</row>
    <row r="28" ht="20" customHeight="1" spans="1:88" s="53" customFormat="1" x14ac:dyDescent="0.25">
      <c r="A28" s="40">
        <v>22</v>
      </c>
      <c r="B28" s="40" t="s">
        <v>117</v>
      </c>
      <c r="C28" s="40" t="s">
        <v>51</v>
      </c>
      <c r="D28" s="40" t="s">
        <v>171</v>
      </c>
      <c r="E28" s="40" t="s">
        <v>172</v>
      </c>
      <c r="F28" s="40" t="s">
        <v>300</v>
      </c>
      <c r="G28" s="40" t="s">
        <v>174</v>
      </c>
      <c r="H28" s="44"/>
      <c r="I28" s="112"/>
      <c r="J28" s="40">
        <v>1</v>
      </c>
      <c r="K28" s="42">
        <v>86</v>
      </c>
      <c r="L28" s="40">
        <f>IF(K28&gt;=91, 4.00, IF(K28&gt;=81, 3.50, IF(K28&gt;=70, 3.00, IF(K28&gt;=65, 2.50, IF(K28&gt;=60, 2.00, IF(K28&gt;=55, 1.50, IF(K28&gt;=50, 1.00, 0.00)))))))</f>
      </c>
      <c r="M28" s="40">
        <f>IF(K28&gt;=91,"A",IF(K28&gt;=81,"B+",IF(K28&gt;=70,"B",IF(K28&gt;=65,"C+",IF(K28&gt;=60,"C",IF(K28&gt;=55,"D+",IF(K28&gt;=50,"D","F")))))))</f>
      </c>
      <c r="N28" s="42">
        <v>89</v>
      </c>
      <c r="O28" s="40">
        <f>IF(N28&gt;=91, 4.00, IF(N28&gt;=81, 3.50, IF(N28&gt;=70, 3.00, IF(N28&gt;=65, 2.50, IF(N28&gt;=60, 2.00, IF(N28&gt;=55, 1.50, IF(N28&gt;=50, 1.00, 0.00)))))))</f>
      </c>
      <c r="P28" s="40">
        <f>IF(N28&gt;=91,"A",IF(N28&gt;=81,"B+",IF(N28&gt;=70,"B",IF(N28&gt;=65,"C+",IF(N28&gt;=60,"C",IF(N28&gt;=55,"D+",IF(N28&gt;=50,"D","F")))))))</f>
      </c>
      <c r="Q28" s="42">
        <v>92</v>
      </c>
      <c r="R28" s="40">
        <f>IF(Q28&gt;=91, 4.00, IF(Q28&gt;=81, 3.50, IF(Q28&gt;=70, 3.00, IF(Q28&gt;=65, 2.50, IF(Q28&gt;=60, 2.00, IF(Q28&gt;=55, 1.50, IF(Q28&gt;=50, 1.00, 0.00)))))))</f>
      </c>
      <c r="S28" s="40">
        <f>IF(Q28&gt;=91,"A",IF(Q28&gt;=81,"B+",IF(Q28&gt;=70,"B",IF(Q28&gt;=65,"C+",IF(Q28&gt;=60,"C",IF(Q28&gt;=55,"D+",IF(Q28&gt;=50,"D","F")))))))</f>
      </c>
      <c r="T28" s="42">
        <v>95</v>
      </c>
      <c r="U28" s="40">
        <f>IF(T28&gt;=91, 4.00, IF(T28&gt;=81, 3.50, IF(T28&gt;=70, 3.00, IF(T28&gt;=65, 2.50, IF(T28&gt;=60, 2.00, IF(T28&gt;=55, 1.50, IF(T28&gt;=50, 1.00, 0.00)))))))</f>
      </c>
      <c r="V28" s="40">
        <f>IF(T28&gt;=91,"A",IF(T28&gt;=81,"B+",IF(T28&gt;=70,"B",IF(T28&gt;=65,"C+",IF(T28&gt;=60,"C",IF(T28&gt;=55,"D+",IF(T28&gt;=50,"D","F")))))))</f>
      </c>
      <c r="W28" s="42">
        <v>77</v>
      </c>
      <c r="X28" s="40">
        <f>IF(W28&gt;=91, 4.00, IF(W28&gt;=81, 3.50, IF(W28&gt;=70, 3.00, IF(W28&gt;=65, 2.50, IF(W28&gt;=60, 2.00, IF(W28&gt;=55, 1.50, IF(W28&gt;=50, 1.00, 0.00)))))))</f>
      </c>
      <c r="Y28" s="40">
        <f>IF(W28&gt;=91,"A",IF(W28&gt;=81,"B+",IF(W28&gt;=70,"B",IF(W28&gt;=65,"C+",IF(W28&gt;=60,"C",IF(W28&gt;=55,"D+",IF(W28&gt;=50,"D","F")))))))</f>
      </c>
      <c r="Z28" s="46">
        <v>80</v>
      </c>
      <c r="AA28" s="40">
        <f>IF(Z28&gt;=91, 4.00, IF(Z28&gt;=81, 3.50, IF(Z28&gt;=70, 3.00, IF(Z28&gt;=65, 2.50, IF(Z28&gt;=60, 2.00, IF(Z28&gt;=55, 1.50, IF(Z28&gt;=50, 1.00, 0.00)))))))</f>
      </c>
      <c r="AB28" s="40">
        <f>IF(Z28&gt;=91,"A",IF(Z28&gt;=81,"B+",IF(Z28&gt;=70,"B",IF(Z28&gt;=65,"C+",IF(Z28&gt;=60,"C",IF(Z28&gt;=55,"D+",IF(Z28&gt;=50,"D","F")))))))</f>
      </c>
      <c r="AC28" s="42">
        <v>83</v>
      </c>
      <c r="AD28" s="40">
        <f>IF(AC28&gt;=91, 4.00, IF(AC28&gt;=81, 3.50, IF(AC28&gt;=70, 3.00, IF(AC28&gt;=65, 2.50, IF(AC28&gt;=60, 2.00, IF(AC28&gt;=55, 1.50, IF(AC28&gt;=50, 1.00, 0.00)))))))</f>
      </c>
      <c r="AE28" s="40">
        <f>IF(AC28&gt;=91,"A",IF(AC28&gt;=81,"B+",IF(AC28&gt;=70,"B",IF(AC28&gt;=65,"C+",IF(AC28&gt;=60,"C",IF(AC28&gt;=55,"D+",IF(AC28&gt;=50,"D","F")))))))</f>
      </c>
      <c r="AF28" s="40">
        <v>86</v>
      </c>
      <c r="AG28" s="40">
        <f>IF(AF28&gt;=91, 4.00, IF(AF28&gt;=81, 3.50, IF(AF28&gt;=70, 3.00, IF(AF28&gt;=65, 2.50, IF(AF28&gt;=60, 2.00, IF(AF28&gt;=55, 1.50, IF(AF28&gt;=50, 1.00, 0.00)))))))</f>
      </c>
      <c r="AH28" s="40">
        <f>IF(AF28&gt;=91,"A",IF(AF28&gt;=81,"B+",IF(AF28&gt;=70,"B",IF(AF28&gt;=65,"C+",IF(AF28&gt;=60,"C",IF(AF28&gt;=55,"D+",IF(AF28&gt;=50,"D","F")))))))</f>
      </c>
      <c r="AI28" s="46">
        <v>89</v>
      </c>
      <c r="AJ28" s="40">
        <f>IF(AI28&gt;=91, 4.00, IF(AI28&gt;=81, 3.50, IF(AI28&gt;=70, 3.00, IF(AI28&gt;=65, 2.50, IF(AI28&gt;=60, 2.00, IF(AI28&gt;=55, 1.50, IF(AI28&gt;=50, 1.00, 0.00)))))))</f>
      </c>
      <c r="AK28" s="40">
        <f>IF(AI28&gt;=91,"A",IF(AI28&gt;=81,"B+",IF(AI28&gt;=70,"B",IF(AI28&gt;=65,"C+",IF(AI28&gt;=60,"C",IF(AI28&gt;=55,"D+",IF(AI28&gt;=50,"D","F")))))))</f>
      </c>
      <c r="AL28" s="42">
        <f>ROUND((L28*3+O28*2+R28*1+U28*1+X28*1+AA28*2+AD28*2+AG28*1+AJ28*2)/15, 2)</f>
      </c>
      <c r="AM28" s="40" t="str">
        <f>IF(AL28&gt;90,"4.00",IF(AL28&gt;80,"3.50",IF(AL28&gt;69,"3.00",IF(AL28&gt;64,"2.50",IF(AL28&gt;59,"2.00",IF(AL28&gt;54,"1.50",IF(AL28&gt;49,"1.00","0.00")))))))</f>
        <v>0.00</v>
      </c>
      <c r="AN28" s="40">
        <f>IF(AM28&gt;=91, 4.00, IF(AM28&gt;=81, 3.50, IF(AM28&gt;=70, 3.00, IF(AM28&gt;=65, 2.50, IF(AM28&gt;=60, 2.00, IF(AM28&gt;=55, 1.50, IF(AM28&gt;=50, 1.00, 0.00)))))))</f>
      </c>
      <c r="AO28" s="40">
        <f>IF(AM28&gt;=91,"A",IF(AM28&gt;=81,"B+",IF(AM28&gt;=70,"B",IF(AM28&gt;=65,"C+",IF(AM28&gt;=60,"C",IF(AM28&gt;=55,"D+",IF(AM28&gt;=50,"D","F")))))))</f>
      </c>
      <c r="AP28" s="40" t="str">
        <f>IF(AO28&gt;90,"4.00",IF(AO28&gt;80,"3.50",IF(AO28&gt;69,"3.00",IF(AO28&gt;64,"2.50",IF(AO28&gt;59,"2.00",IF(AO28&gt;54,"1.50",IF(AO28&gt;49,"1.00","0.00")))))))</f>
        <v>0.00</v>
      </c>
      <c r="AQ28" s="40">
        <f>IF(AP28&gt;=91, 4.00, IF(AP28&gt;=81, 3.50, IF(AP28&gt;=70, 3.00, IF(AP28&gt;=65, 2.50, IF(AP28&gt;=60, 2.00, IF(AP28&gt;=55, 1.50, IF(AP28&gt;=50, 1.00, 0.00)))))))</f>
      </c>
      <c r="AR28" s="40">
        <f>IF(AP28&gt;=91,"A",IF(AP28&gt;=81,"B+",IF(AP28&gt;=70,"B",IF(AP28&gt;=65,"C+",IF(AP28&gt;=60,"C",IF(AP28&gt;=55,"D+",IF(AP28&gt;=50,"D","F")))))))</f>
      </c>
      <c r="AS28" s="52">
        <v>78</v>
      </c>
      <c r="AT28" s="40">
        <f>IF(AS28&gt;=91, 4.00, IF(AS28&gt;=81, 3.50, IF(AS28&gt;=70, 3.00, IF(AS28&gt;=65, 2.50, IF(AS28&gt;=60, 2.00, IF(AS28&gt;=55, 1.50, IF(AS28&gt;=50, 1.00, 0.00)))))))</f>
      </c>
      <c r="AU28" s="40">
        <f>IF(AS28&gt;=91,"A",IF(AS28&gt;=81,"B+",IF(AS28&gt;=70,"B",IF(AS28&gt;=65,"C+",IF(AS28&gt;=60,"C",IF(AS28&gt;=55,"D+",IF(AS28&gt;=50,"D","F")))))))</f>
      </c>
      <c r="AV28" s="40" t="s">
        <v>51</v>
      </c>
      <c r="AW28" s="40">
        <f>IF(AV28&gt;=91, 4.00, IF(AV28&gt;=81, 3.50, IF(AV28&gt;=70, 3.00, IF(AV28&gt;=65, 2.50, IF(AV28&gt;=60, 2.00, IF(AV28&gt;=55, 1.50, IF(AV28&gt;=50, 1.00, 0.00)))))))</f>
      </c>
      <c r="AX28" s="40">
        <f>IF(AV28&gt;=91,"A",IF(AV28&gt;=81,"B+",IF(AV28&gt;=70,"B",IF(AV28&gt;=65,"C+",IF(AV28&gt;=60,"C",IF(AV28&gt;=55,"D+",IF(AV28&gt;=50,"D","F")))))))</f>
      </c>
      <c r="AY28" s="40" t="s">
        <v>300</v>
      </c>
      <c r="AZ28" s="40">
        <f>IF(AY28&gt;=91, 4.00, IF(AY28&gt;=81, 3.50, IF(AY28&gt;=70, 3.00, IF(AY28&gt;=65, 2.50, IF(AY28&gt;=60, 2.00, IF(AY28&gt;=55, 1.50, IF(AY28&gt;=50, 1.00, 0.00)))))))</f>
      </c>
      <c r="BA28" s="44">
        <f>IF(AY28&gt;=91,"A",IF(AY28&gt;=81,"B+",IF(AY28&gt;=70,"B",IF(AY28&gt;=65,"C+",IF(AY28&gt;=60,"C",IF(AY28&gt;=55,"D+",IF(AY28&gt;=50,"D","F")))))))</f>
      </c>
      <c r="BB28" s="112">
        <v>87</v>
      </c>
      <c r="BC28" s="48">
        <f>IF(BB28&gt;=91, 4.00, IF(BB28&gt;=81, 3.50, IF(BB28&gt;=70, 3.00, IF(BB28&gt;=65, 2.50, IF(BB28&gt;=60, 2.00, IF(BB28&gt;=55, 1.50, IF(BB28&gt;=50, 1.00, 0.00)))))))</f>
      </c>
      <c r="BD28" s="49">
        <f>IF(BB28&gt;=91,"A",IF(BB28&gt;=81,"B+",IF(BB28&gt;=70,"B",IF(BB28&gt;=65,"C+",IF(BB28&gt;=60,"C",IF(BB28&gt;=55,"D+",IF(BB28&gt;=50,"D","F")))))))</f>
      </c>
      <c r="BE28" s="40" t="str">
        <f>IF(BC28&gt;90,"A",IF(BC28&gt;80,"B+",IF(BC28&gt;69,"B",IF(BC28&gt;64,"C+",IF(BC28&gt;59,"C",IF(BC28&gt;54,"D+",IF(BC28&gt;49,"D",IF(BC28&gt;=0,"F"))))))))</f>
        <v>F</v>
      </c>
      <c r="BF28" s="48">
        <f>IF(BE28&gt;=91, 4.00, IF(BE28&gt;=81, 3.50, IF(BE28&gt;=70, 3.00, IF(BE28&gt;=65, 2.50, IF(BE28&gt;=60, 2.00, IF(BE28&gt;=55, 1.50, IF(BE28&gt;=50, 1.00, 0.00)))))))</f>
      </c>
      <c r="BG28" s="49">
        <f>IF(BE28&gt;=91,"A",IF(BE28&gt;=81,"B+",IF(BE28&gt;=70,"B",IF(BE28&gt;=65,"C+",IF(BE28&gt;=60,"C",IF(BE28&gt;=55,"D+",IF(BE28&gt;=50,"D","F")))))))</f>
      </c>
      <c r="BH28" s="40" t="str">
        <f>IF(BF28&gt;90,"A",IF(BF28&gt;80,"B+",IF(BF28&gt;69,"B",IF(BF28&gt;64,"C+",IF(BF28&gt;59,"C",IF(BF28&gt;54,"D+",IF(BF28&gt;49,"D",IF(BF28&gt;=0,"F"))))))))</f>
        <v>F</v>
      </c>
      <c r="BI28" s="43">
        <f>IF(BH28&gt;=91, 4.00, IF(BH28&gt;=81, 3.50, IF(BH28&gt;=70, 3.00, IF(BH28&gt;=65, 2.50, IF(BH28&gt;=60, 2.00, IF(BH28&gt;=55, 1.50, IF(BH28&gt;=50, 1.00, 0.00)))))))</f>
      </c>
      <c r="BJ28" s="49">
        <f>IF(BH28&gt;=91,"A",IF(BH28&gt;=81,"B+",IF(BH28&gt;=70,"B",IF(BH28&gt;=65,"C+",IF(BH28&gt;=60,"C",IF(BH28&gt;=55,"D+",IF(BH28&gt;=50,"D","F")))))))</f>
      </c>
      <c r="BK28" s="40" t="str">
        <f>IF(BI28&gt;90,"A",IF(BI28&gt;80,"B+",IF(BI28&gt;69,"B",IF(BI28&gt;64,"C+",IF(BI28&gt;59,"C",IF(BI28&gt;54,"D+",IF(BI28&gt;49,"D",IF(BI28&gt;=0,"F"))))))))</f>
        <v>F</v>
      </c>
      <c r="BL28" s="48">
        <f>IF(BK28&gt;=91, 4.00, IF(BK28&gt;=81, 3.50, IF(BK28&gt;=70, 3.00, IF(BK28&gt;=65, 2.50, IF(BK28&gt;=60, 2.00, IF(BK28&gt;=55, 1.50, IF(BK28&gt;=50, 1.00, 0.00)))))))</f>
      </c>
      <c r="BM28" s="49">
        <f>IF(BK28&gt;=91,"A",IF(BK28&gt;=81,"B+",IF(BK28&gt;=70,"B",IF(BK28&gt;=65,"C+",IF(BK28&gt;=60,"C",IF(BK28&gt;=55,"D+",IF(BK28&gt;=50,"D","F")))))))</f>
      </c>
      <c r="BN28" s="40">
        <f>ROUND((AN28*3+AQ28*2+AT28*1+AW28*1+AZ28*1+BC28*2+BF28*2+BI28*1+BL28*2)/15, 2)</f>
      </c>
      <c r="BO28" s="43"/>
      <c r="BP28" s="49" t="str">
        <f>IF(BO28&gt;90,"4.00",IF(BO28&gt;80,"3.50",IF(BO28&gt;69,"3.00",IF(BO28&gt;64,"2.50",IF(BO28&gt;59,"2.00",IF(BO28&gt;54,"1.50",IF(BO28&gt;49,"1.00","0.00")))))))</f>
        <v>0.00</v>
      </c>
      <c r="BQ28" s="40" t="str">
        <f>IF(BO28&gt;90,"A",IF(BO28&gt;80,"B+",IF(BO28&gt;69,"B",IF(BO28&gt;64,"C+",IF(BO28&gt;59,"C",IF(BO28&gt;54,"D+",IF(BO28&gt;49,"D",IF(BO28&gt;=0,"F"))))))))</f>
        <v>F</v>
      </c>
      <c r="BR28" s="43"/>
      <c r="BS28" s="49" t="str">
        <f>IF(BR28&gt;90,"4.00",IF(BR28&gt;80,"3.50",IF(BR28&gt;69,"3.00",IF(BR28&gt;64,"2.50",IF(BR28&gt;59,"2.00",IF(BR28&gt;54,"1.50",IF(BR28&gt;49,"1.00","0.00")))))))</f>
        <v>0.00</v>
      </c>
      <c r="BT28" s="40" t="str">
        <f>IF(BR28&gt;90,"A",IF(BR28&gt;80,"B+",IF(BR28&gt;69,"B",IF(BR28&gt;64,"C+",IF(BR28&gt;59,"C",IF(BR28&gt;54,"D+",IF(BR28&gt;49,"D",IF(BR28&gt;=0,"F"))))))))</f>
        <v>F</v>
      </c>
      <c r="BU28" s="49"/>
      <c r="BV28" s="49" t="str">
        <f>IF(BU28&gt;90,"4.00",IF(BU28&gt;80,"3.50",IF(BU28&gt;69,"3.00",IF(BU28&gt;64,"2.50",IF(BU28&gt;59,"2.00",IF(BU28&gt;54,"1.50",IF(BU28&gt;49,"1.00","0.00")))))))</f>
        <v>0.00</v>
      </c>
      <c r="BW28" s="40" t="str">
        <f>IF(BU28&gt;90,"A",IF(BU28&gt;80,"B+",IF(BU28&gt;69,"B",IF(BU28&gt;64,"C+",IF(BU28&gt;59,"C",IF(BU28&gt;54,"D+",IF(BU28&gt;49,"D",IF(BU28&gt;=0,"F"))))))))</f>
        <v>F</v>
      </c>
      <c r="BX28" s="49"/>
      <c r="BY28" s="49" t="str">
        <f>IF(BX28&gt;90,"4.00",IF(BX28&gt;80,"3.50",IF(BX28&gt;69,"3.00",IF(BX28&gt;64,"2.50",IF(BX28&gt;59,"2.00",IF(BX28&gt;54,"1.50",IF(BX28&gt;49,"1.00","0.00")))))))</f>
        <v>0.00</v>
      </c>
      <c r="BZ28" s="40" t="str">
        <f>IF(BX28&gt;90,"A",IF(BX28&gt;80,"B+",IF(BX28&gt;69,"B",IF(BX28&gt;64,"C+",IF(BX28&gt;59,"C",IF(BX28&gt;54,"D+",IF(BX28&gt;49,"D",IF(BX28&gt;=0,"F"))))))))</f>
        <v>F</v>
      </c>
      <c r="CA28" s="49"/>
      <c r="CB28" s="49" t="str">
        <f>IF(CA28&gt;90,"4.00",IF(CA28&gt;80,"3.50",IF(CA28&gt;69,"3.00",IF(CA28&gt;64,"2.50",IF(CA28&gt;59,"2.00",IF(CA28&gt;54,"1.50",IF(CA28&gt;49,"1.00","0.00")))))))</f>
        <v>0.00</v>
      </c>
      <c r="CC28" s="40" t="str">
        <f>IF(CA28&gt;90,"A",IF(CA28&gt;80,"B+",IF(CA28&gt;69,"B",IF(CA28&gt;64,"C+",IF(CA28&gt;59,"C",IF(CA28&gt;54,"D+",IF(CA28&gt;49,"D",IF(CA28&gt;=0,"F"))))))))</f>
        <v>F</v>
      </c>
      <c r="CD28" s="50">
        <f>(BD28*3+BG28*2+BJ28*1+BM28*2+BP28*1+BS28*1+BV28*2+BY28*2+CB28*2)/(3+2+1+2+1+1+2+2+2)</f>
        <v>0</v>
      </c>
      <c r="CE28" s="50">
        <f>(AR28+CD28)/2</f>
        <v>0</v>
      </c>
      <c r="CF28" s="51">
        <f>RANK(CE28,$CE$7:CE57)</f>
        <v>1</v>
      </c>
      <c r="CG28" s="67"/>
      <c r="CH28" s="52"/>
      <c r="CI28" s="52"/>
      <c r="CJ28" s="52"/>
    </row>
    <row r="29" ht="20" customHeight="1" spans="1:89" s="53" customFormat="1" x14ac:dyDescent="0.25">
      <c r="A29" s="40">
        <v>23</v>
      </c>
      <c r="B29" s="40" t="s">
        <v>123</v>
      </c>
      <c r="C29" s="40" t="s">
        <v>43</v>
      </c>
      <c r="D29" s="40" t="s">
        <v>176</v>
      </c>
      <c r="E29" s="40" t="s">
        <v>177</v>
      </c>
      <c r="F29" s="40" t="s">
        <v>301</v>
      </c>
      <c r="G29" s="40" t="s">
        <v>179</v>
      </c>
      <c r="H29" s="111"/>
      <c r="I29" s="112"/>
      <c r="J29" s="40">
        <v>1</v>
      </c>
      <c r="K29" s="42">
        <v>89</v>
      </c>
      <c r="L29" s="40">
        <f>IF(K29&gt;=91, 4.00, IF(K29&gt;=81, 3.50, IF(K29&gt;=70, 3.00, IF(K29&gt;=65, 2.50, IF(K29&gt;=60, 2.00, IF(K29&gt;=55, 1.50, IF(K29&gt;=50, 1.00, 0.00)))))))</f>
      </c>
      <c r="M29" s="40">
        <f>IF(K29&gt;=91,"A",IF(K29&gt;=81,"B+",IF(K29&gt;=70,"B",IF(K29&gt;=65,"C+",IF(K29&gt;=60,"C",IF(K29&gt;=55,"D+",IF(K29&gt;=50,"D","F")))))))</f>
      </c>
      <c r="N29" s="42">
        <v>92</v>
      </c>
      <c r="O29" s="40">
        <f>IF(N29&gt;=91, 4.00, IF(N29&gt;=81, 3.50, IF(N29&gt;=70, 3.00, IF(N29&gt;=65, 2.50, IF(N29&gt;=60, 2.00, IF(N29&gt;=55, 1.50, IF(N29&gt;=50, 1.00, 0.00)))))))</f>
      </c>
      <c r="P29" s="40">
        <f>IF(N29&gt;=91,"A",IF(N29&gt;=81,"B+",IF(N29&gt;=70,"B",IF(N29&gt;=65,"C+",IF(N29&gt;=60,"C",IF(N29&gt;=55,"D+",IF(N29&gt;=50,"D","F")))))))</f>
      </c>
      <c r="Q29" s="42">
        <v>95</v>
      </c>
      <c r="R29" s="40">
        <f>IF(Q29&gt;=91, 4.00, IF(Q29&gt;=81, 3.50, IF(Q29&gt;=70, 3.00, IF(Q29&gt;=65, 2.50, IF(Q29&gt;=60, 2.00, IF(Q29&gt;=55, 1.50, IF(Q29&gt;=50, 1.00, 0.00)))))))</f>
      </c>
      <c r="S29" s="40">
        <f>IF(Q29&gt;=91,"A",IF(Q29&gt;=81,"B+",IF(Q29&gt;=70,"B",IF(Q29&gt;=65,"C+",IF(Q29&gt;=60,"C",IF(Q29&gt;=55,"D+",IF(Q29&gt;=50,"D","F")))))))</f>
      </c>
      <c r="T29" s="42">
        <v>77</v>
      </c>
      <c r="U29" s="40">
        <f>IF(T29&gt;=91, 4.00, IF(T29&gt;=81, 3.50, IF(T29&gt;=70, 3.00, IF(T29&gt;=65, 2.50, IF(T29&gt;=60, 2.00, IF(T29&gt;=55, 1.50, IF(T29&gt;=50, 1.00, 0.00)))))))</f>
      </c>
      <c r="V29" s="40">
        <f>IF(T29&gt;=91,"A",IF(T29&gt;=81,"B+",IF(T29&gt;=70,"B",IF(T29&gt;=65,"C+",IF(T29&gt;=60,"C",IF(T29&gt;=55,"D+",IF(T29&gt;=50,"D","F")))))))</f>
      </c>
      <c r="W29" s="42">
        <v>80</v>
      </c>
      <c r="X29" s="40">
        <f>IF(W29&gt;=91, 4.00, IF(W29&gt;=81, 3.50, IF(W29&gt;=70, 3.00, IF(W29&gt;=65, 2.50, IF(W29&gt;=60, 2.00, IF(W29&gt;=55, 1.50, IF(W29&gt;=50, 1.00, 0.00)))))))</f>
      </c>
      <c r="Y29" s="40">
        <f>IF(W29&gt;=91,"A",IF(W29&gt;=81,"B+",IF(W29&gt;=70,"B",IF(W29&gt;=65,"C+",IF(W29&gt;=60,"C",IF(W29&gt;=55,"D+",IF(W29&gt;=50,"D","F")))))))</f>
      </c>
      <c r="Z29" s="46">
        <v>83</v>
      </c>
      <c r="AA29" s="40">
        <f>IF(Z29&gt;=91, 4.00, IF(Z29&gt;=81, 3.50, IF(Z29&gt;=70, 3.00, IF(Z29&gt;=65, 2.50, IF(Z29&gt;=60, 2.00, IF(Z29&gt;=55, 1.50, IF(Z29&gt;=50, 1.00, 0.00)))))))</f>
      </c>
      <c r="AB29" s="40">
        <f>IF(Z29&gt;=91,"A",IF(Z29&gt;=81,"B+",IF(Z29&gt;=70,"B",IF(Z29&gt;=65,"C+",IF(Z29&gt;=60,"C",IF(Z29&gt;=55,"D+",IF(Z29&gt;=50,"D","F")))))))</f>
      </c>
      <c r="AC29" s="42">
        <v>86</v>
      </c>
      <c r="AD29" s="40">
        <f>IF(AC29&gt;=91, 4.00, IF(AC29&gt;=81, 3.50, IF(AC29&gt;=70, 3.00, IF(AC29&gt;=65, 2.50, IF(AC29&gt;=60, 2.00, IF(AC29&gt;=55, 1.50, IF(AC29&gt;=50, 1.00, 0.00)))))))</f>
      </c>
      <c r="AE29" s="40">
        <f>IF(AC29&gt;=91,"A",IF(AC29&gt;=81,"B+",IF(AC29&gt;=70,"B",IF(AC29&gt;=65,"C+",IF(AC29&gt;=60,"C",IF(AC29&gt;=55,"D+",IF(AC29&gt;=50,"D","F")))))))</f>
      </c>
      <c r="AF29" s="40">
        <v>89</v>
      </c>
      <c r="AG29" s="40">
        <f>IF(AF29&gt;=91, 4.00, IF(AF29&gt;=81, 3.50, IF(AF29&gt;=70, 3.00, IF(AF29&gt;=65, 2.50, IF(AF29&gt;=60, 2.00, IF(AF29&gt;=55, 1.50, IF(AF29&gt;=50, 1.00, 0.00)))))))</f>
      </c>
      <c r="AH29" s="40">
        <f>IF(AF29&gt;=91,"A",IF(AF29&gt;=81,"B+",IF(AF29&gt;=70,"B",IF(AF29&gt;=65,"C+",IF(AF29&gt;=60,"C",IF(AF29&gt;=55,"D+",IF(AF29&gt;=50,"D","F")))))))</f>
      </c>
      <c r="AI29" s="46">
        <v>92</v>
      </c>
      <c r="AJ29" s="40">
        <f>IF(AI29&gt;=91, 4.00, IF(AI29&gt;=81, 3.50, IF(AI29&gt;=70, 3.00, IF(AI29&gt;=65, 2.50, IF(AI29&gt;=60, 2.00, IF(AI29&gt;=55, 1.50, IF(AI29&gt;=50, 1.00, 0.00)))))))</f>
      </c>
      <c r="AK29" s="40">
        <f>IF(AI29&gt;=91,"A",IF(AI29&gt;=81,"B+",IF(AI29&gt;=70,"B",IF(AI29&gt;=65,"C+",IF(AI29&gt;=60,"C",IF(AI29&gt;=55,"D+",IF(AI29&gt;=50,"D","F")))))))</f>
      </c>
      <c r="AL29" s="42">
        <f>ROUND((L29*3+O29*2+R29*1+U29*1+X29*1+AA29*2+AD29*2+AG29*1+AJ29*2)/15, 2)</f>
      </c>
      <c r="AM29" s="40" t="str">
        <f>IF(AL29&gt;90,"4.00",IF(AL29&gt;80,"3.50",IF(AL29&gt;69,"3.00",IF(AL29&gt;64,"2.50",IF(AL29&gt;59,"2.00",IF(AL29&gt;54,"1.50",IF(AL29&gt;49,"1.00","0.00")))))))</f>
        <v>0.00</v>
      </c>
      <c r="AN29" s="40">
        <f>IF(AM29&gt;=91, 4.00, IF(AM29&gt;=81, 3.50, IF(AM29&gt;=70, 3.00, IF(AM29&gt;=65, 2.50, IF(AM29&gt;=60, 2.00, IF(AM29&gt;=55, 1.50, IF(AM29&gt;=50, 1.00, 0.00)))))))</f>
      </c>
      <c r="AO29" s="40">
        <f>IF(AM29&gt;=91,"A",IF(AM29&gt;=81,"B+",IF(AM29&gt;=70,"B",IF(AM29&gt;=65,"C+",IF(AM29&gt;=60,"C",IF(AM29&gt;=55,"D+",IF(AM29&gt;=50,"D","F")))))))</f>
      </c>
      <c r="AP29" s="40" t="str">
        <f>IF(AO29&gt;90,"4.00",IF(AO29&gt;80,"3.50",IF(AO29&gt;69,"3.00",IF(AO29&gt;64,"2.50",IF(AO29&gt;59,"2.00",IF(AO29&gt;54,"1.50",IF(AO29&gt;49,"1.00","0.00")))))))</f>
        <v>0.00</v>
      </c>
      <c r="AQ29" s="40">
        <f>IF(AP29&gt;=91, 4.00, IF(AP29&gt;=81, 3.50, IF(AP29&gt;=70, 3.00, IF(AP29&gt;=65, 2.50, IF(AP29&gt;=60, 2.00, IF(AP29&gt;=55, 1.50, IF(AP29&gt;=50, 1.00, 0.00)))))))</f>
      </c>
      <c r="AR29" s="40">
        <f>IF(AP29&gt;=91,"A",IF(AP29&gt;=81,"B+",IF(AP29&gt;=70,"B",IF(AP29&gt;=65,"C+",IF(AP29&gt;=60,"C",IF(AP29&gt;=55,"D+",IF(AP29&gt;=50,"D","F")))))))</f>
      </c>
      <c r="AS29" s="115">
        <v>81</v>
      </c>
      <c r="AT29" s="40">
        <f>IF(AS29&gt;=91, 4.00, IF(AS29&gt;=81, 3.50, IF(AS29&gt;=70, 3.00, IF(AS29&gt;=65, 2.50, IF(AS29&gt;=60, 2.00, IF(AS29&gt;=55, 1.50, IF(AS29&gt;=50, 1.00, 0.00)))))))</f>
      </c>
      <c r="AU29" s="40">
        <f>IF(AS29&gt;=91,"A",IF(AS29&gt;=81,"B+",IF(AS29&gt;=70,"B",IF(AS29&gt;=65,"C+",IF(AS29&gt;=60,"C",IF(AS29&gt;=55,"D+",IF(AS29&gt;=50,"D","F")))))))</f>
      </c>
      <c r="AV29" s="40" t="s">
        <v>43</v>
      </c>
      <c r="AW29" s="40">
        <f>IF(AV29&gt;=91, 4.00, IF(AV29&gt;=81, 3.50, IF(AV29&gt;=70, 3.00, IF(AV29&gt;=65, 2.50, IF(AV29&gt;=60, 2.00, IF(AV29&gt;=55, 1.50, IF(AV29&gt;=50, 1.00, 0.00)))))))</f>
      </c>
      <c r="AX29" s="40">
        <f>IF(AV29&gt;=91,"A",IF(AV29&gt;=81,"B+",IF(AV29&gt;=70,"B",IF(AV29&gt;=65,"C+",IF(AV29&gt;=60,"C",IF(AV29&gt;=55,"D+",IF(AV29&gt;=50,"D","F")))))))</f>
      </c>
      <c r="AY29" s="40" t="s">
        <v>301</v>
      </c>
      <c r="AZ29" s="40">
        <f>IF(AY29&gt;=91, 4.00, IF(AY29&gt;=81, 3.50, IF(AY29&gt;=70, 3.00, IF(AY29&gt;=65, 2.50, IF(AY29&gt;=60, 2.00, IF(AY29&gt;=55, 1.50, IF(AY29&gt;=50, 1.00, 0.00)))))))</f>
      </c>
      <c r="BA29" s="111">
        <f>IF(AY29&gt;=91,"A",IF(AY29&gt;=81,"B+",IF(AY29&gt;=70,"B",IF(AY29&gt;=65,"C+",IF(AY29&gt;=60,"C",IF(AY29&gt;=55,"D+",IF(AY29&gt;=50,"D","F")))))))</f>
      </c>
      <c r="BB29" s="112">
        <v>90</v>
      </c>
      <c r="BC29" s="48">
        <f>IF(BB29&gt;=91, 4.00, IF(BB29&gt;=81, 3.50, IF(BB29&gt;=70, 3.00, IF(BB29&gt;=65, 2.50, IF(BB29&gt;=60, 2.00, IF(BB29&gt;=55, 1.50, IF(BB29&gt;=50, 1.00, 0.00)))))))</f>
      </c>
      <c r="BD29" s="49">
        <f>IF(BB29&gt;=91,"A",IF(BB29&gt;=81,"B+",IF(BB29&gt;=70,"B",IF(BB29&gt;=65,"C+",IF(BB29&gt;=60,"C",IF(BB29&gt;=55,"D+",IF(BB29&gt;=50,"D","F")))))))</f>
      </c>
      <c r="BE29" s="40" t="str">
        <f>IF(BC29&gt;90,"A",IF(BC29&gt;80,"B+",IF(BC29&gt;69,"B",IF(BC29&gt;64,"C+",IF(BC29&gt;59,"C",IF(BC29&gt;54,"D+",IF(BC29&gt;49,"D",IF(BC29&gt;=0,"F"))))))))</f>
        <v>F</v>
      </c>
      <c r="BF29" s="48">
        <f>IF(BE29&gt;=91, 4.00, IF(BE29&gt;=81, 3.50, IF(BE29&gt;=70, 3.00, IF(BE29&gt;=65, 2.50, IF(BE29&gt;=60, 2.00, IF(BE29&gt;=55, 1.50, IF(BE29&gt;=50, 1.00, 0.00)))))))</f>
      </c>
      <c r="BG29" s="49">
        <f>IF(BE29&gt;=91,"A",IF(BE29&gt;=81,"B+",IF(BE29&gt;=70,"B",IF(BE29&gt;=65,"C+",IF(BE29&gt;=60,"C",IF(BE29&gt;=55,"D+",IF(BE29&gt;=50,"D","F")))))))</f>
      </c>
      <c r="BH29" s="40" t="str">
        <f>IF(BF29&gt;90,"A",IF(BF29&gt;80,"B+",IF(BF29&gt;69,"B",IF(BF29&gt;64,"C+",IF(BF29&gt;59,"C",IF(BF29&gt;54,"D+",IF(BF29&gt;49,"D",IF(BF29&gt;=0,"F"))))))))</f>
        <v>F</v>
      </c>
      <c r="BI29" s="43">
        <f>IF(BH29&gt;=91, 4.00, IF(BH29&gt;=81, 3.50, IF(BH29&gt;=70, 3.00, IF(BH29&gt;=65, 2.50, IF(BH29&gt;=60, 2.00, IF(BH29&gt;=55, 1.50, IF(BH29&gt;=50, 1.00, 0.00)))))))</f>
      </c>
      <c r="BJ29" s="49">
        <f>IF(BH29&gt;=91,"A",IF(BH29&gt;=81,"B+",IF(BH29&gt;=70,"B",IF(BH29&gt;=65,"C+",IF(BH29&gt;=60,"C",IF(BH29&gt;=55,"D+",IF(BH29&gt;=50,"D","F")))))))</f>
      </c>
      <c r="BK29" s="40" t="str">
        <f>IF(BI29&gt;90,"A",IF(BI29&gt;80,"B+",IF(BI29&gt;69,"B",IF(BI29&gt;64,"C+",IF(BI29&gt;59,"C",IF(BI29&gt;54,"D+",IF(BI29&gt;49,"D",IF(BI29&gt;=0,"F"))))))))</f>
        <v>F</v>
      </c>
      <c r="BL29" s="48">
        <f>IF(BK29&gt;=91, 4.00, IF(BK29&gt;=81, 3.50, IF(BK29&gt;=70, 3.00, IF(BK29&gt;=65, 2.50, IF(BK29&gt;=60, 2.00, IF(BK29&gt;=55, 1.50, IF(BK29&gt;=50, 1.00, 0.00)))))))</f>
      </c>
      <c r="BM29" s="49">
        <f>IF(BK29&gt;=91,"A",IF(BK29&gt;=81,"B+",IF(BK29&gt;=70,"B",IF(BK29&gt;=65,"C+",IF(BK29&gt;=60,"C",IF(BK29&gt;=55,"D+",IF(BK29&gt;=50,"D","F")))))))</f>
      </c>
      <c r="BN29" s="40">
        <f>ROUND((AN29*3+AQ29*2+AT29*1+AW29*1+AZ29*1+BC29*2+BF29*2+BI29*1+BL29*2)/15, 2)</f>
      </c>
      <c r="BO29" s="43"/>
      <c r="BP29" s="49" t="str">
        <f>IF(BO29&gt;90,"4.00",IF(BO29&gt;80,"3.50",IF(BO29&gt;69,"3.00",IF(BO29&gt;64,"2.50",IF(BO29&gt;59,"2.00",IF(BO29&gt;54,"1.50",IF(BO29&gt;49,"1.00","0.00")))))))</f>
        <v>0.00</v>
      </c>
      <c r="BQ29" s="40" t="str">
        <f>IF(BO29&gt;90,"A",IF(BO29&gt;80,"B+",IF(BO29&gt;69,"B",IF(BO29&gt;64,"C+",IF(BO29&gt;59,"C",IF(BO29&gt;54,"D+",IF(BO29&gt;49,"D",IF(BO29&gt;=0,"F"))))))))</f>
        <v>F</v>
      </c>
      <c r="BR29" s="43"/>
      <c r="BS29" s="49" t="str">
        <f>IF(BR29&gt;90,"4.00",IF(BR29&gt;80,"3.50",IF(BR29&gt;69,"3.00",IF(BR29&gt;64,"2.50",IF(BR29&gt;59,"2.00",IF(BR29&gt;54,"1.50",IF(BR29&gt;49,"1.00","0.00")))))))</f>
        <v>0.00</v>
      </c>
      <c r="BT29" s="40" t="str">
        <f>IF(BR29&gt;90,"A",IF(BR29&gt;80,"B+",IF(BR29&gt;69,"B",IF(BR29&gt;64,"C+",IF(BR29&gt;59,"C",IF(BR29&gt;54,"D+",IF(BR29&gt;49,"D",IF(BR29&gt;=0,"F"))))))))</f>
        <v>F</v>
      </c>
      <c r="BU29" s="49"/>
      <c r="BV29" s="49" t="str">
        <f>IF(BU29&gt;90,"4.00",IF(BU29&gt;80,"3.50",IF(BU29&gt;69,"3.00",IF(BU29&gt;64,"2.50",IF(BU29&gt;59,"2.00",IF(BU29&gt;54,"1.50",IF(BU29&gt;49,"1.00","0.00")))))))</f>
        <v>0.00</v>
      </c>
      <c r="BW29" s="40" t="str">
        <f>IF(BU29&gt;90,"A",IF(BU29&gt;80,"B+",IF(BU29&gt;69,"B",IF(BU29&gt;64,"C+",IF(BU29&gt;59,"C",IF(BU29&gt;54,"D+",IF(BU29&gt;49,"D",IF(BU29&gt;=0,"F"))))))))</f>
        <v>F</v>
      </c>
      <c r="BX29" s="49"/>
      <c r="BY29" s="49" t="str">
        <f>IF(BX29&gt;90,"4.00",IF(BX29&gt;80,"3.50",IF(BX29&gt;69,"3.00",IF(BX29&gt;64,"2.50",IF(BX29&gt;59,"2.00",IF(BX29&gt;54,"1.50",IF(BX29&gt;49,"1.00","0.00")))))))</f>
        <v>0.00</v>
      </c>
      <c r="BZ29" s="40" t="str">
        <f>IF(BX29&gt;90,"A",IF(BX29&gt;80,"B+",IF(BX29&gt;69,"B",IF(BX29&gt;64,"C+",IF(BX29&gt;59,"C",IF(BX29&gt;54,"D+",IF(BX29&gt;49,"D",IF(BX29&gt;=0,"F"))))))))</f>
        <v>F</v>
      </c>
      <c r="CA29" s="49"/>
      <c r="CB29" s="49" t="str">
        <f>IF(CA29&gt;90,"4.00",IF(CA29&gt;80,"3.50",IF(CA29&gt;69,"3.00",IF(CA29&gt;64,"2.50",IF(CA29&gt;59,"2.00",IF(CA29&gt;54,"1.50",IF(CA29&gt;49,"1.00","0.00")))))))</f>
        <v>0.00</v>
      </c>
      <c r="CC29" s="40" t="str">
        <f>IF(CA29&gt;90,"A",IF(CA29&gt;80,"B+",IF(CA29&gt;69,"B",IF(CA29&gt;64,"C+",IF(CA29&gt;59,"C",IF(CA29&gt;54,"D+",IF(CA29&gt;49,"D",IF(CA29&gt;=0,"F"))))))))</f>
        <v>F</v>
      </c>
      <c r="CD29" s="50">
        <f>(BD29*3+BG29*2+BJ29*1+BM29*2+BP29*1+BS29*1+BV29*2+BY29*2+CB29*2)/(3+2+1+2+1+1+2+2+2)</f>
        <v>0</v>
      </c>
      <c r="CE29" s="50">
        <f>(AR29+CD29)/2</f>
        <v>0</v>
      </c>
      <c r="CF29" s="51">
        <f>RANK(CE29,$CE$7:CE58)</f>
        <v>1</v>
      </c>
      <c r="CG29" s="67"/>
      <c r="CH29" s="52"/>
      <c r="CI29" s="52"/>
      <c r="CJ29" s="52"/>
      <c r="CK29" s="52"/>
    </row>
    <row r="30" ht="20" customHeight="1" spans="1:88" s="53" customFormat="1" x14ac:dyDescent="0.25">
      <c r="A30" s="40">
        <v>24</v>
      </c>
      <c r="B30" s="40" t="s">
        <v>129</v>
      </c>
      <c r="C30" s="40" t="s">
        <v>51</v>
      </c>
      <c r="D30" s="40" t="s">
        <v>182</v>
      </c>
      <c r="E30" s="40" t="s">
        <v>302</v>
      </c>
      <c r="F30" s="40" t="s">
        <v>303</v>
      </c>
      <c r="G30" s="40" t="s">
        <v>185</v>
      </c>
      <c r="H30" s="44"/>
      <c r="I30" s="112"/>
      <c r="J30" s="40">
        <v>1</v>
      </c>
      <c r="K30" s="42">
        <v>92</v>
      </c>
      <c r="L30" s="40">
        <f>IF(K30&gt;=91, 4.00, IF(K30&gt;=81, 3.50, IF(K30&gt;=70, 3.00, IF(K30&gt;=65, 2.50, IF(K30&gt;=60, 2.00, IF(K30&gt;=55, 1.50, IF(K30&gt;=50, 1.00, 0.00)))))))</f>
      </c>
      <c r="M30" s="40">
        <f>IF(K30&gt;=91,"A",IF(K30&gt;=81,"B+",IF(K30&gt;=70,"B",IF(K30&gt;=65,"C+",IF(K30&gt;=60,"C",IF(K30&gt;=55,"D+",IF(K30&gt;=50,"D","F")))))))</f>
      </c>
      <c r="N30" s="42">
        <v>95</v>
      </c>
      <c r="O30" s="40">
        <f>IF(N30&gt;=91, 4.00, IF(N30&gt;=81, 3.50, IF(N30&gt;=70, 3.00, IF(N30&gt;=65, 2.50, IF(N30&gt;=60, 2.00, IF(N30&gt;=55, 1.50, IF(N30&gt;=50, 1.00, 0.00)))))))</f>
      </c>
      <c r="P30" s="40">
        <f>IF(N30&gt;=91,"A",IF(N30&gt;=81,"B+",IF(N30&gt;=70,"B",IF(N30&gt;=65,"C+",IF(N30&gt;=60,"C",IF(N30&gt;=55,"D+",IF(N30&gt;=50,"D","F")))))))</f>
      </c>
      <c r="Q30" s="42">
        <v>77</v>
      </c>
      <c r="R30" s="40">
        <f>IF(Q30&gt;=91, 4.00, IF(Q30&gt;=81, 3.50, IF(Q30&gt;=70, 3.00, IF(Q30&gt;=65, 2.50, IF(Q30&gt;=60, 2.00, IF(Q30&gt;=55, 1.50, IF(Q30&gt;=50, 1.00, 0.00)))))))</f>
      </c>
      <c r="S30" s="40">
        <f>IF(Q30&gt;=91,"A",IF(Q30&gt;=81,"B+",IF(Q30&gt;=70,"B",IF(Q30&gt;=65,"C+",IF(Q30&gt;=60,"C",IF(Q30&gt;=55,"D+",IF(Q30&gt;=50,"D","F")))))))</f>
      </c>
      <c r="T30" s="40">
        <v>80</v>
      </c>
      <c r="U30" s="40">
        <f>IF(T30&gt;=91, 4.00, IF(T30&gt;=81, 3.50, IF(T30&gt;=70, 3.00, IF(T30&gt;=65, 2.50, IF(T30&gt;=60, 2.00, IF(T30&gt;=55, 1.50, IF(T30&gt;=50, 1.00, 0.00)))))))</f>
      </c>
      <c r="V30" s="40">
        <f>IF(T30&gt;=91,"A",IF(T30&gt;=81,"B+",IF(T30&gt;=70,"B",IF(T30&gt;=65,"C+",IF(T30&gt;=60,"C",IF(T30&gt;=55,"D+",IF(T30&gt;=50,"D","F")))))))</f>
      </c>
      <c r="W30" s="42">
        <v>83</v>
      </c>
      <c r="X30" s="40">
        <f>IF(W30&gt;=91, 4.00, IF(W30&gt;=81, 3.50, IF(W30&gt;=70, 3.00, IF(W30&gt;=65, 2.50, IF(W30&gt;=60, 2.00, IF(W30&gt;=55, 1.50, IF(W30&gt;=50, 1.00, 0.00)))))))</f>
      </c>
      <c r="Y30" s="40">
        <f>IF(W30&gt;=91,"A",IF(W30&gt;=81,"B+",IF(W30&gt;=70,"B",IF(W30&gt;=65,"C+",IF(W30&gt;=60,"C",IF(W30&gt;=55,"D+",IF(W30&gt;=50,"D","F")))))))</f>
      </c>
      <c r="Z30" s="40">
        <v>86</v>
      </c>
      <c r="AA30" s="40">
        <f>IF(Z30&gt;=91, 4.00, IF(Z30&gt;=81, 3.50, IF(Z30&gt;=70, 3.00, IF(Z30&gt;=65, 2.50, IF(Z30&gt;=60, 2.00, IF(Z30&gt;=55, 1.50, IF(Z30&gt;=50, 1.00, 0.00)))))))</f>
      </c>
      <c r="AB30" s="40">
        <f>IF(Z30&gt;=91,"A",IF(Z30&gt;=81,"B+",IF(Z30&gt;=70,"B",IF(Z30&gt;=65,"C+",IF(Z30&gt;=60,"C",IF(Z30&gt;=55,"D+",IF(Z30&gt;=50,"D","F")))))))</f>
      </c>
      <c r="AC30" s="40">
        <v>89</v>
      </c>
      <c r="AD30" s="40">
        <f>IF(AC30&gt;=91, 4.00, IF(AC30&gt;=81, 3.50, IF(AC30&gt;=70, 3.00, IF(AC30&gt;=65, 2.50, IF(AC30&gt;=60, 2.00, IF(AC30&gt;=55, 1.50, IF(AC30&gt;=50, 1.00, 0.00)))))))</f>
      </c>
      <c r="AE30" s="40">
        <f>IF(AC30&gt;=91,"A",IF(AC30&gt;=81,"B+",IF(AC30&gt;=70,"B",IF(AC30&gt;=65,"C+",IF(AC30&gt;=60,"C",IF(AC30&gt;=55,"D+",IF(AC30&gt;=50,"D","F")))))))</f>
      </c>
      <c r="AF30" s="40">
        <v>92</v>
      </c>
      <c r="AG30" s="40">
        <f>IF(AF30&gt;=91, 4.00, IF(AF30&gt;=81, 3.50, IF(AF30&gt;=70, 3.00, IF(AF30&gt;=65, 2.50, IF(AF30&gt;=60, 2.00, IF(AF30&gt;=55, 1.50, IF(AF30&gt;=50, 1.00, 0.00)))))))</f>
      </c>
      <c r="AH30" s="40">
        <f>IF(AF30&gt;=91,"A",IF(AF30&gt;=81,"B+",IF(AF30&gt;=70,"B",IF(AF30&gt;=65,"C+",IF(AF30&gt;=60,"C",IF(AF30&gt;=55,"D+",IF(AF30&gt;=50,"D","F")))))))</f>
      </c>
      <c r="AI30" s="40">
        <v>95</v>
      </c>
      <c r="AJ30" s="40">
        <f>IF(AI30&gt;=91, 4.00, IF(AI30&gt;=81, 3.50, IF(AI30&gt;=70, 3.00, IF(AI30&gt;=65, 2.50, IF(AI30&gt;=60, 2.00, IF(AI30&gt;=55, 1.50, IF(AI30&gt;=50, 1.00, 0.00)))))))</f>
      </c>
      <c r="AK30" s="40">
        <f>IF(AI30&gt;=91,"A",IF(AI30&gt;=81,"B+",IF(AI30&gt;=70,"B",IF(AI30&gt;=65,"C+",IF(AI30&gt;=60,"C",IF(AI30&gt;=55,"D+",IF(AI30&gt;=50,"D","F")))))))</f>
      </c>
      <c r="AL30" s="40">
        <f>ROUND((L30*3+O30*2+R30*1+U30*1+X30*1+AA30*2+AD30*2+AG30*1+AJ30*2)/15, 2)</f>
      </c>
      <c r="AM30" s="40" t="str">
        <f>IF(AL30&gt;90,"4.00",IF(AL30&gt;80,"3.50",IF(AL30&gt;69,"3.00",IF(AL30&gt;64,"2.50",IF(AL30&gt;59,"2.00",IF(AL30&gt;54,"1.50",IF(AL30&gt;49,"1.00","0.00")))))))</f>
        <v>0.00</v>
      </c>
      <c r="AN30" s="40">
        <f>IF(AM30&gt;=91, 4.00, IF(AM30&gt;=81, 3.50, IF(AM30&gt;=70, 3.00, IF(AM30&gt;=65, 2.50, IF(AM30&gt;=60, 2.00, IF(AM30&gt;=55, 1.50, IF(AM30&gt;=50, 1.00, 0.00)))))))</f>
      </c>
      <c r="AO30" s="40">
        <f>IF(AM30&gt;=91,"A",IF(AM30&gt;=81,"B+",IF(AM30&gt;=70,"B",IF(AM30&gt;=65,"C+",IF(AM30&gt;=60,"C",IF(AM30&gt;=55,"D+",IF(AM30&gt;=50,"D","F")))))))</f>
      </c>
      <c r="AP30" s="40" t="str">
        <f>IF(AO30&gt;90,"4.00",IF(AO30&gt;80,"3.50",IF(AO30&gt;69,"3.00",IF(AO30&gt;64,"2.50",IF(AO30&gt;59,"2.00",IF(AO30&gt;54,"1.50",IF(AO30&gt;49,"1.00","0.00")))))))</f>
        <v>0.00</v>
      </c>
      <c r="AQ30" s="40">
        <f>IF(AP30&gt;=91, 4.00, IF(AP30&gt;=81, 3.50, IF(AP30&gt;=70, 3.00, IF(AP30&gt;=65, 2.50, IF(AP30&gt;=60, 2.00, IF(AP30&gt;=55, 1.50, IF(AP30&gt;=50, 1.00, 0.00)))))))</f>
      </c>
      <c r="AR30" s="40">
        <f>IF(AP30&gt;=91,"A",IF(AP30&gt;=81,"B+",IF(AP30&gt;=70,"B",IF(AP30&gt;=65,"C+",IF(AP30&gt;=60,"C",IF(AP30&gt;=55,"D+",IF(AP30&gt;=50,"D","F")))))))</f>
      </c>
      <c r="AS30" s="52">
        <v>84</v>
      </c>
      <c r="AT30" s="40">
        <f>IF(AS30&gt;=91, 4.00, IF(AS30&gt;=81, 3.50, IF(AS30&gt;=70, 3.00, IF(AS30&gt;=65, 2.50, IF(AS30&gt;=60, 2.00, IF(AS30&gt;=55, 1.50, IF(AS30&gt;=50, 1.00, 0.00)))))))</f>
      </c>
      <c r="AU30" s="40">
        <f>IF(AS30&gt;=91,"A",IF(AS30&gt;=81,"B+",IF(AS30&gt;=70,"B",IF(AS30&gt;=65,"C+",IF(AS30&gt;=60,"C",IF(AS30&gt;=55,"D+",IF(AS30&gt;=50,"D","F")))))))</f>
      </c>
      <c r="AV30" s="40" t="s">
        <v>51</v>
      </c>
      <c r="AW30" s="40">
        <f>IF(AV30&gt;=91, 4.00, IF(AV30&gt;=81, 3.50, IF(AV30&gt;=70, 3.00, IF(AV30&gt;=65, 2.50, IF(AV30&gt;=60, 2.00, IF(AV30&gt;=55, 1.50, IF(AV30&gt;=50, 1.00, 0.00)))))))</f>
      </c>
      <c r="AX30" s="40">
        <f>IF(AV30&gt;=91,"A",IF(AV30&gt;=81,"B+",IF(AV30&gt;=70,"B",IF(AV30&gt;=65,"C+",IF(AV30&gt;=60,"C",IF(AV30&gt;=55,"D+",IF(AV30&gt;=50,"D","F")))))))</f>
      </c>
      <c r="AY30" s="40" t="s">
        <v>303</v>
      </c>
      <c r="AZ30" s="40">
        <f>IF(AY30&gt;=91, 4.00, IF(AY30&gt;=81, 3.50, IF(AY30&gt;=70, 3.00, IF(AY30&gt;=65, 2.50, IF(AY30&gt;=60, 2.00, IF(AY30&gt;=55, 1.50, IF(AY30&gt;=50, 1.00, 0.00)))))))</f>
      </c>
      <c r="BA30" s="44">
        <f>IF(AY30&gt;=91,"A",IF(AY30&gt;=81,"B+",IF(AY30&gt;=70,"B",IF(AY30&gt;=65,"C+",IF(AY30&gt;=60,"C",IF(AY30&gt;=55,"D+",IF(AY30&gt;=50,"D","F")))))))</f>
      </c>
      <c r="BB30" s="112">
        <v>93</v>
      </c>
      <c r="BC30" s="49">
        <f>IF(BB30&gt;=91, 4.00, IF(BB30&gt;=81, 3.50, IF(BB30&gt;=70, 3.00, IF(BB30&gt;=65, 2.50, IF(BB30&gt;=60, 2.00, IF(BB30&gt;=55, 1.50, IF(BB30&gt;=50, 1.00, 0.00)))))))</f>
      </c>
      <c r="BD30" s="49">
        <f>IF(BB30&gt;=91,"A",IF(BB30&gt;=81,"B+",IF(BB30&gt;=70,"B",IF(BB30&gt;=65,"C+",IF(BB30&gt;=60,"C",IF(BB30&gt;=55,"D+",IF(BB30&gt;=50,"D","F")))))))</f>
      </c>
      <c r="BE30" s="40" t="str">
        <f>IF(BC30&gt;90,"A",IF(BC30&gt;80,"B+",IF(BC30&gt;69,"B",IF(BC30&gt;64,"C+",IF(BC30&gt;59,"C",IF(BC30&gt;54,"D+",IF(BC30&gt;49,"D",IF(BC30&gt;=0,"F"))))))))</f>
        <v>F</v>
      </c>
      <c r="BF30" s="49">
        <f>IF(BE30&gt;=91, 4.00, IF(BE30&gt;=81, 3.50, IF(BE30&gt;=70, 3.00, IF(BE30&gt;=65, 2.50, IF(BE30&gt;=60, 2.00, IF(BE30&gt;=55, 1.50, IF(BE30&gt;=50, 1.00, 0.00)))))))</f>
      </c>
      <c r="BG30" s="49">
        <f>IF(BE30&gt;=91,"A",IF(BE30&gt;=81,"B+",IF(BE30&gt;=70,"B",IF(BE30&gt;=65,"C+",IF(BE30&gt;=60,"C",IF(BE30&gt;=55,"D+",IF(BE30&gt;=50,"D","F")))))))</f>
      </c>
      <c r="BH30" s="40" t="str">
        <f>IF(BF30&gt;90,"A",IF(BF30&gt;80,"B+",IF(BF30&gt;69,"B",IF(BF30&gt;64,"C+",IF(BF30&gt;59,"C",IF(BF30&gt;54,"D+",IF(BF30&gt;49,"D",IF(BF30&gt;=0,"F"))))))))</f>
        <v>F</v>
      </c>
      <c r="BI30" s="49">
        <f>IF(BH30&gt;=91, 4.00, IF(BH30&gt;=81, 3.50, IF(BH30&gt;=70, 3.00, IF(BH30&gt;=65, 2.50, IF(BH30&gt;=60, 2.00, IF(BH30&gt;=55, 1.50, IF(BH30&gt;=50, 1.00, 0.00)))))))</f>
      </c>
      <c r="BJ30" s="49">
        <f>IF(BH30&gt;=91,"A",IF(BH30&gt;=81,"B+",IF(BH30&gt;=70,"B",IF(BH30&gt;=65,"C+",IF(BH30&gt;=60,"C",IF(BH30&gt;=55,"D+",IF(BH30&gt;=50,"D","F")))))))</f>
      </c>
      <c r="BK30" s="40" t="str">
        <f>IF(BI30&gt;90,"A",IF(BI30&gt;80,"B+",IF(BI30&gt;69,"B",IF(BI30&gt;64,"C+",IF(BI30&gt;59,"C",IF(BI30&gt;54,"D+",IF(BI30&gt;49,"D",IF(BI30&gt;=0,"F"))))))))</f>
        <v>F</v>
      </c>
      <c r="BL30" s="49">
        <f>IF(BK30&gt;=91, 4.00, IF(BK30&gt;=81, 3.50, IF(BK30&gt;=70, 3.00, IF(BK30&gt;=65, 2.50, IF(BK30&gt;=60, 2.00, IF(BK30&gt;=55, 1.50, IF(BK30&gt;=50, 1.00, 0.00)))))))</f>
      </c>
      <c r="BM30" s="49">
        <f>IF(BK30&gt;=91,"A",IF(BK30&gt;=81,"B+",IF(BK30&gt;=70,"B",IF(BK30&gt;=65,"C+",IF(BK30&gt;=60,"C",IF(BK30&gt;=55,"D+",IF(BK30&gt;=50,"D","F")))))))</f>
      </c>
      <c r="BN30" s="40">
        <f>ROUND((AN30*3+AQ30*2+AT30*1+AW30*1+AZ30*1+BC30*2+BF30*2+BI30*1+BL30*2)/15, 2)</f>
      </c>
      <c r="BO30" s="49"/>
      <c r="BP30" s="49" t="str">
        <f>IF(BO30&gt;90,"4.00",IF(BO30&gt;80,"3.50",IF(BO30&gt;69,"3.00",IF(BO30&gt;64,"2.50",IF(BO30&gt;59,"2.00",IF(BO30&gt;54,"1.50",IF(BO30&gt;49,"1.00","0.00")))))))</f>
        <v>0.00</v>
      </c>
      <c r="BQ30" s="40" t="str">
        <f>IF(BO30&gt;90,"A",IF(BO30&gt;80,"B+",IF(BO30&gt;69,"B",IF(BO30&gt;64,"C+",IF(BO30&gt;59,"C",IF(BO30&gt;54,"D+",IF(BO30&gt;49,"D",IF(BO30&gt;=0,"F"))))))))</f>
        <v>F</v>
      </c>
      <c r="BR30" s="49"/>
      <c r="BS30" s="49" t="str">
        <f>IF(BR30&gt;90,"4.00",IF(BR30&gt;80,"3.50",IF(BR30&gt;69,"3.00",IF(BR30&gt;64,"2.50",IF(BR30&gt;59,"2.00",IF(BR30&gt;54,"1.50",IF(BR30&gt;49,"1.00","0.00")))))))</f>
        <v>0.00</v>
      </c>
      <c r="BT30" s="40" t="str">
        <f>IF(BR30&gt;90,"A",IF(BR30&gt;80,"B+",IF(BR30&gt;69,"B",IF(BR30&gt;64,"C+",IF(BR30&gt;59,"C",IF(BR30&gt;54,"D+",IF(BR30&gt;49,"D",IF(BR30&gt;=0,"F"))))))))</f>
        <v>F</v>
      </c>
      <c r="BU30" s="49"/>
      <c r="BV30" s="49" t="str">
        <f>IF(BU30&gt;90,"4.00",IF(BU30&gt;80,"3.50",IF(BU30&gt;69,"3.00",IF(BU30&gt;64,"2.50",IF(BU30&gt;59,"2.00",IF(BU30&gt;54,"1.50",IF(BU30&gt;49,"1.00","0.00")))))))</f>
        <v>0.00</v>
      </c>
      <c r="BW30" s="40" t="str">
        <f>IF(BU30&gt;90,"A",IF(BU30&gt;80,"B+",IF(BU30&gt;69,"B",IF(BU30&gt;64,"C+",IF(BU30&gt;59,"C",IF(BU30&gt;54,"D+",IF(BU30&gt;49,"D",IF(BU30&gt;=0,"F"))))))))</f>
        <v>F</v>
      </c>
      <c r="BX30" s="49"/>
      <c r="BY30" s="49" t="str">
        <f>IF(BX30&gt;90,"4.00",IF(BX30&gt;80,"3.50",IF(BX30&gt;69,"3.00",IF(BX30&gt;64,"2.50",IF(BX30&gt;59,"2.00",IF(BX30&gt;54,"1.50",IF(BX30&gt;49,"1.00","0.00")))))))</f>
        <v>0.00</v>
      </c>
      <c r="BZ30" s="40" t="str">
        <f>IF(BX30&gt;90,"A",IF(BX30&gt;80,"B+",IF(BX30&gt;69,"B",IF(BX30&gt;64,"C+",IF(BX30&gt;59,"C",IF(BX30&gt;54,"D+",IF(BX30&gt;49,"D",IF(BX30&gt;=0,"F"))))))))</f>
        <v>F</v>
      </c>
      <c r="CA30" s="49"/>
      <c r="CB30" s="49" t="str">
        <f>IF(CA30&gt;90,"4.00",IF(CA30&gt;80,"3.50",IF(CA30&gt;69,"3.00",IF(CA30&gt;64,"2.50",IF(CA30&gt;59,"2.00",IF(CA30&gt;54,"1.50",IF(CA30&gt;49,"1.00","0.00")))))))</f>
        <v>0.00</v>
      </c>
      <c r="CC30" s="40" t="str">
        <f>IF(CA30&gt;90,"A",IF(CA30&gt;80,"B+",IF(CA30&gt;69,"B",IF(CA30&gt;64,"C+",IF(CA30&gt;59,"C",IF(CA30&gt;54,"D+",IF(CA30&gt;49,"D",IF(CA30&gt;=0,"F"))))))))</f>
        <v>F</v>
      </c>
      <c r="CD30" s="50">
        <f>(BD30*3+BG30*2+BJ30*1+BM30*2+BP30*1+BS30*1+BV30*2+BY30*2+CB30*2)/(3+2+1+2+1+1+2+2+2)</f>
        <v>0</v>
      </c>
      <c r="CE30" s="50">
        <f>(AR30+CD30)/2</f>
        <v>0</v>
      </c>
      <c r="CF30" s="51">
        <f>RANK(CE30,$CE$7:CE59)</f>
        <v>1</v>
      </c>
      <c r="CG30" s="67"/>
      <c r="CH30" s="52"/>
      <c r="CI30" s="52"/>
      <c r="CJ30" s="52"/>
    </row>
    <row r="31" ht="20" customHeight="1" spans="1:88" s="53" customFormat="1" x14ac:dyDescent="0.25">
      <c r="A31" s="40">
        <v>25</v>
      </c>
      <c r="B31" s="40" t="s">
        <v>304</v>
      </c>
      <c r="C31" s="40" t="s">
        <v>51</v>
      </c>
      <c r="D31" s="40" t="s">
        <v>188</v>
      </c>
      <c r="E31" s="40" t="s">
        <v>305</v>
      </c>
      <c r="F31" s="40" t="s">
        <v>306</v>
      </c>
      <c r="G31" s="40" t="s">
        <v>191</v>
      </c>
      <c r="H31" s="111"/>
      <c r="I31" s="112"/>
      <c r="J31" s="40">
        <v>1</v>
      </c>
      <c r="K31" s="42">
        <v>95</v>
      </c>
      <c r="L31" s="40">
        <f>IF(K31&gt;=91, 4.00, IF(K31&gt;=81, 3.50, IF(K31&gt;=70, 3.00, IF(K31&gt;=65, 2.50, IF(K31&gt;=60, 2.00, IF(K31&gt;=55, 1.50, IF(K31&gt;=50, 1.00, 0.00)))))))</f>
      </c>
      <c r="M31" s="40">
        <f>IF(K31&gt;=91,"A",IF(K31&gt;=81,"B+",IF(K31&gt;=70,"B",IF(K31&gt;=65,"C+",IF(K31&gt;=60,"C",IF(K31&gt;=55,"D+",IF(K31&gt;=50,"D","F")))))))</f>
      </c>
      <c r="N31" s="42">
        <v>77</v>
      </c>
      <c r="O31" s="40">
        <f>IF(N31&gt;=91, 4.00, IF(N31&gt;=81, 3.50, IF(N31&gt;=70, 3.00, IF(N31&gt;=65, 2.50, IF(N31&gt;=60, 2.00, IF(N31&gt;=55, 1.50, IF(N31&gt;=50, 1.00, 0.00)))))))</f>
      </c>
      <c r="P31" s="40">
        <f>IF(N31&gt;=91,"A",IF(N31&gt;=81,"B+",IF(N31&gt;=70,"B",IF(N31&gt;=65,"C+",IF(N31&gt;=60,"C",IF(N31&gt;=55,"D+",IF(N31&gt;=50,"D","F")))))))</f>
      </c>
      <c r="Q31" s="42">
        <v>80</v>
      </c>
      <c r="R31" s="40">
        <f>IF(Q31&gt;=91, 4.00, IF(Q31&gt;=81, 3.50, IF(Q31&gt;=70, 3.00, IF(Q31&gt;=65, 2.50, IF(Q31&gt;=60, 2.00, IF(Q31&gt;=55, 1.50, IF(Q31&gt;=50, 1.00, 0.00)))))))</f>
      </c>
      <c r="S31" s="40">
        <f>IF(Q31&gt;=91,"A",IF(Q31&gt;=81,"B+",IF(Q31&gt;=70,"B",IF(Q31&gt;=65,"C+",IF(Q31&gt;=60,"C",IF(Q31&gt;=55,"D+",IF(Q31&gt;=50,"D","F")))))))</f>
      </c>
      <c r="T31" s="40">
        <v>83</v>
      </c>
      <c r="U31" s="40">
        <f>IF(T31&gt;=91, 4.00, IF(T31&gt;=81, 3.50, IF(T31&gt;=70, 3.00, IF(T31&gt;=65, 2.50, IF(T31&gt;=60, 2.00, IF(T31&gt;=55, 1.50, IF(T31&gt;=50, 1.00, 0.00)))))))</f>
      </c>
      <c r="V31" s="40">
        <f>IF(T31&gt;=91,"A",IF(T31&gt;=81,"B+",IF(T31&gt;=70,"B",IF(T31&gt;=65,"C+",IF(T31&gt;=60,"C",IF(T31&gt;=55,"D+",IF(T31&gt;=50,"D","F")))))))</f>
      </c>
      <c r="W31" s="42">
        <v>86</v>
      </c>
      <c r="X31" s="40">
        <f>IF(W31&gt;=91, 4.00, IF(W31&gt;=81, 3.50, IF(W31&gt;=70, 3.00, IF(W31&gt;=65, 2.50, IF(W31&gt;=60, 2.00, IF(W31&gt;=55, 1.50, IF(W31&gt;=50, 1.00, 0.00)))))))</f>
      </c>
      <c r="Y31" s="40">
        <f>IF(W31&gt;=91,"A",IF(W31&gt;=81,"B+",IF(W31&gt;=70,"B",IF(W31&gt;=65,"C+",IF(W31&gt;=60,"C",IF(W31&gt;=55,"D+",IF(W31&gt;=50,"D","F")))))))</f>
      </c>
      <c r="Z31" s="40">
        <v>89</v>
      </c>
      <c r="AA31" s="40">
        <f>IF(Z31&gt;=91, 4.00, IF(Z31&gt;=81, 3.50, IF(Z31&gt;=70, 3.00, IF(Z31&gt;=65, 2.50, IF(Z31&gt;=60, 2.00, IF(Z31&gt;=55, 1.50, IF(Z31&gt;=50, 1.00, 0.00)))))))</f>
      </c>
      <c r="AB31" s="40">
        <f>IF(Z31&gt;=91,"A",IF(Z31&gt;=81,"B+",IF(Z31&gt;=70,"B",IF(Z31&gt;=65,"C+",IF(Z31&gt;=60,"C",IF(Z31&gt;=55,"D+",IF(Z31&gt;=50,"D","F")))))))</f>
      </c>
      <c r="AC31" s="42">
        <v>92</v>
      </c>
      <c r="AD31" s="40">
        <f>IF(AC31&gt;=91, 4.00, IF(AC31&gt;=81, 3.50, IF(AC31&gt;=70, 3.00, IF(AC31&gt;=65, 2.50, IF(AC31&gt;=60, 2.00, IF(AC31&gt;=55, 1.50, IF(AC31&gt;=50, 1.00, 0.00)))))))</f>
      </c>
      <c r="AE31" s="40">
        <f>IF(AC31&gt;=91,"A",IF(AC31&gt;=81,"B+",IF(AC31&gt;=70,"B",IF(AC31&gt;=65,"C+",IF(AC31&gt;=60,"C",IF(AC31&gt;=55,"D+",IF(AC31&gt;=50,"D","F")))))))</f>
      </c>
      <c r="AF31" s="40">
        <v>95</v>
      </c>
      <c r="AG31" s="40">
        <f>IF(AF31&gt;=91, 4.00, IF(AF31&gt;=81, 3.50, IF(AF31&gt;=70, 3.00, IF(AF31&gt;=65, 2.50, IF(AF31&gt;=60, 2.00, IF(AF31&gt;=55, 1.50, IF(AF31&gt;=50, 1.00, 0.00)))))))</f>
      </c>
      <c r="AH31" s="40">
        <f>IF(AF31&gt;=91,"A",IF(AF31&gt;=81,"B+",IF(AF31&gt;=70,"B",IF(AF31&gt;=65,"C+",IF(AF31&gt;=60,"C",IF(AF31&gt;=55,"D+",IF(AF31&gt;=50,"D","F")))))))</f>
      </c>
      <c r="AI31" s="40">
        <v>77</v>
      </c>
      <c r="AJ31" s="40">
        <f>IF(AI31&gt;=91, 4.00, IF(AI31&gt;=81, 3.50, IF(AI31&gt;=70, 3.00, IF(AI31&gt;=65, 2.50, IF(AI31&gt;=60, 2.00, IF(AI31&gt;=55, 1.50, IF(AI31&gt;=50, 1.00, 0.00)))))))</f>
      </c>
      <c r="AK31" s="40">
        <f>IF(AI31&gt;=91,"A",IF(AI31&gt;=81,"B+",IF(AI31&gt;=70,"B",IF(AI31&gt;=65,"C+",IF(AI31&gt;=60,"C",IF(AI31&gt;=55,"D+",IF(AI31&gt;=50,"D","F")))))))</f>
      </c>
      <c r="AL31" s="42">
        <f>ROUND((L31*3+O31*2+R31*1+U31*1+X31*1+AA31*2+AD31*2+AG31*1+AJ31*2)/15, 2)</f>
      </c>
      <c r="AM31" s="40" t="str">
        <f>IF(AL31&gt;90,"4.00",IF(AL31&gt;80,"3.50",IF(AL31&gt;69,"3.00",IF(AL31&gt;64,"2.50",IF(AL31&gt;59,"2.00",IF(AL31&gt;54,"1.50",IF(AL31&gt;49,"1.00","0.00")))))))</f>
        <v>0.00</v>
      </c>
      <c r="AN31" s="40">
        <f>IF(AM31&gt;=91, 4.00, IF(AM31&gt;=81, 3.50, IF(AM31&gt;=70, 3.00, IF(AM31&gt;=65, 2.50, IF(AM31&gt;=60, 2.00, IF(AM31&gt;=55, 1.50, IF(AM31&gt;=50, 1.00, 0.00)))))))</f>
      </c>
      <c r="AO31" s="40">
        <f>IF(AM31&gt;=91,"A",IF(AM31&gt;=81,"B+",IF(AM31&gt;=70,"B",IF(AM31&gt;=65,"C+",IF(AM31&gt;=60,"C",IF(AM31&gt;=55,"D+",IF(AM31&gt;=50,"D","F")))))))</f>
      </c>
      <c r="AP31" s="40" t="str">
        <f>IF(AO31&gt;90,"4.00",IF(AO31&gt;80,"3.50",IF(AO31&gt;69,"3.00",IF(AO31&gt;64,"2.50",IF(AO31&gt;59,"2.00",IF(AO31&gt;54,"1.50",IF(AO31&gt;49,"1.00","0.00")))))))</f>
        <v>0.00</v>
      </c>
      <c r="AQ31" s="40">
        <f>IF(AP31&gt;=91, 4.00, IF(AP31&gt;=81, 3.50, IF(AP31&gt;=70, 3.00, IF(AP31&gt;=65, 2.50, IF(AP31&gt;=60, 2.00, IF(AP31&gt;=55, 1.50, IF(AP31&gt;=50, 1.00, 0.00)))))))</f>
      </c>
      <c r="AR31" s="40">
        <f>IF(AP31&gt;=91,"A",IF(AP31&gt;=81,"B+",IF(AP31&gt;=70,"B",IF(AP31&gt;=65,"C+",IF(AP31&gt;=60,"C",IF(AP31&gt;=55,"D+",IF(AP31&gt;=50,"D","F")))))))</f>
      </c>
      <c r="AS31" s="52">
        <v>87</v>
      </c>
      <c r="AT31" s="40">
        <f>IF(AS31&gt;=91, 4.00, IF(AS31&gt;=81, 3.50, IF(AS31&gt;=70, 3.00, IF(AS31&gt;=65, 2.50, IF(AS31&gt;=60, 2.00, IF(AS31&gt;=55, 1.50, IF(AS31&gt;=50, 1.00, 0.00)))))))</f>
      </c>
      <c r="AU31" s="40">
        <f>IF(AS31&gt;=91,"A",IF(AS31&gt;=81,"B+",IF(AS31&gt;=70,"B",IF(AS31&gt;=65,"C+",IF(AS31&gt;=60,"C",IF(AS31&gt;=55,"D+",IF(AS31&gt;=50,"D","F")))))))</f>
      </c>
      <c r="AV31" s="40" t="s">
        <v>51</v>
      </c>
      <c r="AW31" s="40">
        <f>IF(AV31&gt;=91, 4.00, IF(AV31&gt;=81, 3.50, IF(AV31&gt;=70, 3.00, IF(AV31&gt;=65, 2.50, IF(AV31&gt;=60, 2.00, IF(AV31&gt;=55, 1.50, IF(AV31&gt;=50, 1.00, 0.00)))))))</f>
      </c>
      <c r="AX31" s="40">
        <f>IF(AV31&gt;=91,"A",IF(AV31&gt;=81,"B+",IF(AV31&gt;=70,"B",IF(AV31&gt;=65,"C+",IF(AV31&gt;=60,"C",IF(AV31&gt;=55,"D+",IF(AV31&gt;=50,"D","F")))))))</f>
      </c>
      <c r="AY31" s="40" t="s">
        <v>306</v>
      </c>
      <c r="AZ31" s="40">
        <f>IF(AY31&gt;=91, 4.00, IF(AY31&gt;=81, 3.50, IF(AY31&gt;=70, 3.00, IF(AY31&gt;=65, 2.50, IF(AY31&gt;=60, 2.00, IF(AY31&gt;=55, 1.50, IF(AY31&gt;=50, 1.00, 0.00)))))))</f>
      </c>
      <c r="BA31" s="111">
        <f>IF(AY31&gt;=91,"A",IF(AY31&gt;=81,"B+",IF(AY31&gt;=70,"B",IF(AY31&gt;=65,"C+",IF(AY31&gt;=60,"C",IF(AY31&gt;=55,"D+",IF(AY31&gt;=50,"D","F")))))))</f>
      </c>
      <c r="BB31" s="112">
        <v>75</v>
      </c>
      <c r="BC31" s="49">
        <f>IF(BB31&gt;=91, 4.00, IF(BB31&gt;=81, 3.50, IF(BB31&gt;=70, 3.00, IF(BB31&gt;=65, 2.50, IF(BB31&gt;=60, 2.00, IF(BB31&gt;=55, 1.50, IF(BB31&gt;=50, 1.00, 0.00)))))))</f>
      </c>
      <c r="BD31" s="49">
        <f>IF(BB31&gt;=91,"A",IF(BB31&gt;=81,"B+",IF(BB31&gt;=70,"B",IF(BB31&gt;=65,"C+",IF(BB31&gt;=60,"C",IF(BB31&gt;=55,"D+",IF(BB31&gt;=50,"D","F")))))))</f>
      </c>
      <c r="BE31" s="40" t="str">
        <f>IF(BC31&gt;90,"A",IF(BC31&gt;80,"B+",IF(BC31&gt;69,"B",IF(BC31&gt;64,"C+",IF(BC31&gt;59,"C",IF(BC31&gt;54,"D+",IF(BC31&gt;49,"D",IF(BC31&gt;=0,"F"))))))))</f>
        <v>F</v>
      </c>
      <c r="BF31" s="49">
        <f>IF(BE31&gt;=91, 4.00, IF(BE31&gt;=81, 3.50, IF(BE31&gt;=70, 3.00, IF(BE31&gt;=65, 2.50, IF(BE31&gt;=60, 2.00, IF(BE31&gt;=55, 1.50, IF(BE31&gt;=50, 1.00, 0.00)))))))</f>
      </c>
      <c r="BG31" s="49">
        <f>IF(BE31&gt;=91,"A",IF(BE31&gt;=81,"B+",IF(BE31&gt;=70,"B",IF(BE31&gt;=65,"C+",IF(BE31&gt;=60,"C",IF(BE31&gt;=55,"D+",IF(BE31&gt;=50,"D","F")))))))</f>
      </c>
      <c r="BH31" s="40" t="str">
        <f>IF(BF31&gt;90,"A",IF(BF31&gt;80,"B+",IF(BF31&gt;69,"B",IF(BF31&gt;64,"C+",IF(BF31&gt;59,"C",IF(BF31&gt;54,"D+",IF(BF31&gt;49,"D",IF(BF31&gt;=0,"F"))))))))</f>
        <v>F</v>
      </c>
      <c r="BI31" s="49">
        <f>IF(BH31&gt;=91, 4.00, IF(BH31&gt;=81, 3.50, IF(BH31&gt;=70, 3.00, IF(BH31&gt;=65, 2.50, IF(BH31&gt;=60, 2.00, IF(BH31&gt;=55, 1.50, IF(BH31&gt;=50, 1.00, 0.00)))))))</f>
      </c>
      <c r="BJ31" s="49">
        <f>IF(BH31&gt;=91,"A",IF(BH31&gt;=81,"B+",IF(BH31&gt;=70,"B",IF(BH31&gt;=65,"C+",IF(BH31&gt;=60,"C",IF(BH31&gt;=55,"D+",IF(BH31&gt;=50,"D","F")))))))</f>
      </c>
      <c r="BK31" s="40" t="str">
        <f>IF(BI31&gt;90,"A",IF(BI31&gt;80,"B+",IF(BI31&gt;69,"B",IF(BI31&gt;64,"C+",IF(BI31&gt;59,"C",IF(BI31&gt;54,"D+",IF(BI31&gt;49,"D",IF(BI31&gt;=0,"F"))))))))</f>
        <v>F</v>
      </c>
      <c r="BL31" s="49">
        <f>IF(BK31&gt;=91, 4.00, IF(BK31&gt;=81, 3.50, IF(BK31&gt;=70, 3.00, IF(BK31&gt;=65, 2.50, IF(BK31&gt;=60, 2.00, IF(BK31&gt;=55, 1.50, IF(BK31&gt;=50, 1.00, 0.00)))))))</f>
      </c>
      <c r="BM31" s="49">
        <f>IF(BK31&gt;=91,"A",IF(BK31&gt;=81,"B+",IF(BK31&gt;=70,"B",IF(BK31&gt;=65,"C+",IF(BK31&gt;=60,"C",IF(BK31&gt;=55,"D+",IF(BK31&gt;=50,"D","F")))))))</f>
      </c>
      <c r="BN31" s="40">
        <f>ROUND((AN31*3+AQ31*2+AT31*1+AW31*1+AZ31*1+BC31*2+BF31*2+BI31*1+BL31*2)/15, 2)</f>
      </c>
      <c r="BO31" s="49"/>
      <c r="BP31" s="49" t="str">
        <f>IF(BO31&gt;90,"4.00",IF(BO31&gt;80,"3.50",IF(BO31&gt;69,"3.00",IF(BO31&gt;64,"2.50",IF(BO31&gt;59,"2.00",IF(BO31&gt;54,"1.50",IF(BO31&gt;49,"1.00","0.00")))))))</f>
        <v>0.00</v>
      </c>
      <c r="BQ31" s="40" t="str">
        <f>IF(BO31&gt;90,"A",IF(BO31&gt;80,"B+",IF(BO31&gt;69,"B",IF(BO31&gt;64,"C+",IF(BO31&gt;59,"C",IF(BO31&gt;54,"D+",IF(BO31&gt;49,"D",IF(BO31&gt;=0,"F"))))))))</f>
        <v>F</v>
      </c>
      <c r="BR31" s="49"/>
      <c r="BS31" s="49" t="str">
        <f>IF(BR31&gt;90,"4.00",IF(BR31&gt;80,"3.50",IF(BR31&gt;69,"3.00",IF(BR31&gt;64,"2.50",IF(BR31&gt;59,"2.00",IF(BR31&gt;54,"1.50",IF(BR31&gt;49,"1.00","0.00")))))))</f>
        <v>0.00</v>
      </c>
      <c r="BT31" s="40" t="str">
        <f>IF(BR31&gt;90,"A",IF(BR31&gt;80,"B+",IF(BR31&gt;69,"B",IF(BR31&gt;64,"C+",IF(BR31&gt;59,"C",IF(BR31&gt;54,"D+",IF(BR31&gt;49,"D",IF(BR31&gt;=0,"F"))))))))</f>
        <v>F</v>
      </c>
      <c r="BU31" s="49"/>
      <c r="BV31" s="49" t="str">
        <f>IF(BU31&gt;90,"4.00",IF(BU31&gt;80,"3.50",IF(BU31&gt;69,"3.00",IF(BU31&gt;64,"2.50",IF(BU31&gt;59,"2.00",IF(BU31&gt;54,"1.50",IF(BU31&gt;49,"1.00","0.00")))))))</f>
        <v>0.00</v>
      </c>
      <c r="BW31" s="40" t="str">
        <f>IF(BU31&gt;90,"A",IF(BU31&gt;80,"B+",IF(BU31&gt;69,"B",IF(BU31&gt;64,"C+",IF(BU31&gt;59,"C",IF(BU31&gt;54,"D+",IF(BU31&gt;49,"D",IF(BU31&gt;=0,"F"))))))))</f>
        <v>F</v>
      </c>
      <c r="BX31" s="49"/>
      <c r="BY31" s="49" t="str">
        <f>IF(BX31&gt;90,"4.00",IF(BX31&gt;80,"3.50",IF(BX31&gt;69,"3.00",IF(BX31&gt;64,"2.50",IF(BX31&gt;59,"2.00",IF(BX31&gt;54,"1.50",IF(BX31&gt;49,"1.00","0.00")))))))</f>
        <v>0.00</v>
      </c>
      <c r="BZ31" s="40" t="str">
        <f>IF(BX31&gt;90,"A",IF(BX31&gt;80,"B+",IF(BX31&gt;69,"B",IF(BX31&gt;64,"C+",IF(BX31&gt;59,"C",IF(BX31&gt;54,"D+",IF(BX31&gt;49,"D",IF(BX31&gt;=0,"F"))))))))</f>
        <v>F</v>
      </c>
      <c r="CA31" s="49"/>
      <c r="CB31" s="49" t="str">
        <f>IF(CA31&gt;90,"4.00",IF(CA31&gt;80,"3.50",IF(CA31&gt;69,"3.00",IF(CA31&gt;64,"2.50",IF(CA31&gt;59,"2.00",IF(CA31&gt;54,"1.50",IF(CA31&gt;49,"1.00","0.00")))))))</f>
        <v>0.00</v>
      </c>
      <c r="CC31" s="40" t="str">
        <f>IF(CA31&gt;90,"A",IF(CA31&gt;80,"B+",IF(CA31&gt;69,"B",IF(CA31&gt;64,"C+",IF(CA31&gt;59,"C",IF(CA31&gt;54,"D+",IF(CA31&gt;49,"D",IF(CA31&gt;=0,"F"))))))))</f>
        <v>F</v>
      </c>
      <c r="CD31" s="50">
        <f>(BD31*3+BG31*2+BJ31*1+BM31*2+BP31*1+BS31*1+BV31*2+BY31*2+CB31*2)/(3+2+1+2+1+1+2+2+2)</f>
        <v>0</v>
      </c>
      <c r="CE31" s="50">
        <f>(AR31+CD31)/2</f>
        <v>0</v>
      </c>
      <c r="CF31" s="51">
        <f>RANK(CE31,$CE$7:CE60)</f>
        <v>1</v>
      </c>
      <c r="CG31" s="67"/>
      <c r="CH31" s="52"/>
      <c r="CI31" s="52"/>
      <c r="CJ31" s="52"/>
    </row>
    <row r="32" ht="20" customHeight="1" spans="1:88" s="53" customFormat="1" x14ac:dyDescent="0.25">
      <c r="A32" s="40">
        <v>26</v>
      </c>
      <c r="B32" s="40" t="s">
        <v>307</v>
      </c>
      <c r="C32" s="40" t="s">
        <v>43</v>
      </c>
      <c r="D32" s="40" t="s">
        <v>193</v>
      </c>
      <c r="E32" s="40" t="s">
        <v>194</v>
      </c>
      <c r="F32" s="40" t="s">
        <v>308</v>
      </c>
      <c r="G32" s="40" t="s">
        <v>196</v>
      </c>
      <c r="H32" s="44"/>
      <c r="I32" s="112"/>
      <c r="J32" s="40">
        <v>1</v>
      </c>
      <c r="K32" s="42">
        <v>77</v>
      </c>
      <c r="L32" s="40">
        <f>IF(K32&gt;=91, 4.00, IF(K32&gt;=81, 3.50, IF(K32&gt;=70, 3.00, IF(K32&gt;=65, 2.50, IF(K32&gt;=60, 2.00, IF(K32&gt;=55, 1.50, IF(K32&gt;=50, 1.00, 0.00)))))))</f>
      </c>
      <c r="M32" s="40">
        <f>IF(K32&gt;=91,"A",IF(K32&gt;=81,"B+",IF(K32&gt;=70,"B",IF(K32&gt;=65,"C+",IF(K32&gt;=60,"C",IF(K32&gt;=55,"D+",IF(K32&gt;=50,"D","F")))))))</f>
      </c>
      <c r="N32" s="42">
        <v>80</v>
      </c>
      <c r="O32" s="40">
        <f>IF(N32&gt;=91, 4.00, IF(N32&gt;=81, 3.50, IF(N32&gt;=70, 3.00, IF(N32&gt;=65, 2.50, IF(N32&gt;=60, 2.00, IF(N32&gt;=55, 1.50, IF(N32&gt;=50, 1.00, 0.00)))))))</f>
      </c>
      <c r="P32" s="40">
        <f>IF(N32&gt;=91,"A",IF(N32&gt;=81,"B+",IF(N32&gt;=70,"B",IF(N32&gt;=65,"C+",IF(N32&gt;=60,"C",IF(N32&gt;=55,"D+",IF(N32&gt;=50,"D","F")))))))</f>
      </c>
      <c r="Q32" s="42">
        <v>83</v>
      </c>
      <c r="R32" s="40">
        <f>IF(Q32&gt;=91, 4.00, IF(Q32&gt;=81, 3.50, IF(Q32&gt;=70, 3.00, IF(Q32&gt;=65, 2.50, IF(Q32&gt;=60, 2.00, IF(Q32&gt;=55, 1.50, IF(Q32&gt;=50, 1.00, 0.00)))))))</f>
      </c>
      <c r="S32" s="40">
        <f>IF(Q32&gt;=91,"A",IF(Q32&gt;=81,"B+",IF(Q32&gt;=70,"B",IF(Q32&gt;=65,"C+",IF(Q32&gt;=60,"C",IF(Q32&gt;=55,"D+",IF(Q32&gt;=50,"D","F")))))))</f>
      </c>
      <c r="T32" s="40">
        <v>86</v>
      </c>
      <c r="U32" s="40">
        <f>IF(T32&gt;=91, 4.00, IF(T32&gt;=81, 3.50, IF(T32&gt;=70, 3.00, IF(T32&gt;=65, 2.50, IF(T32&gt;=60, 2.00, IF(T32&gt;=55, 1.50, IF(T32&gt;=50, 1.00, 0.00)))))))</f>
      </c>
      <c r="V32" s="40">
        <f>IF(T32&gt;=91,"A",IF(T32&gt;=81,"B+",IF(T32&gt;=70,"B",IF(T32&gt;=65,"C+",IF(T32&gt;=60,"C",IF(T32&gt;=55,"D+",IF(T32&gt;=50,"D","F")))))))</f>
      </c>
      <c r="W32" s="42">
        <v>89</v>
      </c>
      <c r="X32" s="40">
        <f>IF(W32&gt;=91, 4.00, IF(W32&gt;=81, 3.50, IF(W32&gt;=70, 3.00, IF(W32&gt;=65, 2.50, IF(W32&gt;=60, 2.00, IF(W32&gt;=55, 1.50, IF(W32&gt;=50, 1.00, 0.00)))))))</f>
      </c>
      <c r="Y32" s="40">
        <f>IF(W32&gt;=91,"A",IF(W32&gt;=81,"B+",IF(W32&gt;=70,"B",IF(W32&gt;=65,"C+",IF(W32&gt;=60,"C",IF(W32&gt;=55,"D+",IF(W32&gt;=50,"D","F")))))))</f>
      </c>
      <c r="Z32" s="40">
        <v>92</v>
      </c>
      <c r="AA32" s="40">
        <f>IF(Z32&gt;=91, 4.00, IF(Z32&gt;=81, 3.50, IF(Z32&gt;=70, 3.00, IF(Z32&gt;=65, 2.50, IF(Z32&gt;=60, 2.00, IF(Z32&gt;=55, 1.50, IF(Z32&gt;=50, 1.00, 0.00)))))))</f>
      </c>
      <c r="AB32" s="40">
        <f>IF(Z32&gt;=91,"A",IF(Z32&gt;=81,"B+",IF(Z32&gt;=70,"B",IF(Z32&gt;=65,"C+",IF(Z32&gt;=60,"C",IF(Z32&gt;=55,"D+",IF(Z32&gt;=50,"D","F")))))))</f>
      </c>
      <c r="AC32" s="42">
        <v>95</v>
      </c>
      <c r="AD32" s="40">
        <f>IF(AC32&gt;=91, 4.00, IF(AC32&gt;=81, 3.50, IF(AC32&gt;=70, 3.00, IF(AC32&gt;=65, 2.50, IF(AC32&gt;=60, 2.00, IF(AC32&gt;=55, 1.50, IF(AC32&gt;=50, 1.00, 0.00)))))))</f>
      </c>
      <c r="AE32" s="40">
        <f>IF(AC32&gt;=91,"A",IF(AC32&gt;=81,"B+",IF(AC32&gt;=70,"B",IF(AC32&gt;=65,"C+",IF(AC32&gt;=60,"C",IF(AC32&gt;=55,"D+",IF(AC32&gt;=50,"D","F")))))))</f>
      </c>
      <c r="AF32" s="40">
        <v>77</v>
      </c>
      <c r="AG32" s="40">
        <f>IF(AF32&gt;=91, 4.00, IF(AF32&gt;=81, 3.50, IF(AF32&gt;=70, 3.00, IF(AF32&gt;=65, 2.50, IF(AF32&gt;=60, 2.00, IF(AF32&gt;=55, 1.50, IF(AF32&gt;=50, 1.00, 0.00)))))))</f>
      </c>
      <c r="AH32" s="40">
        <f>IF(AF32&gt;=91,"A",IF(AF32&gt;=81,"B+",IF(AF32&gt;=70,"B",IF(AF32&gt;=65,"C+",IF(AF32&gt;=60,"C",IF(AF32&gt;=55,"D+",IF(AF32&gt;=50,"D","F")))))))</f>
      </c>
      <c r="AI32" s="40">
        <v>80</v>
      </c>
      <c r="AJ32" s="40">
        <f>IF(AI32&gt;=91, 4.00, IF(AI32&gt;=81, 3.50, IF(AI32&gt;=70, 3.00, IF(AI32&gt;=65, 2.50, IF(AI32&gt;=60, 2.00, IF(AI32&gt;=55, 1.50, IF(AI32&gt;=50, 1.00, 0.00)))))))</f>
      </c>
      <c r="AK32" s="40">
        <f>IF(AI32&gt;=91,"A",IF(AI32&gt;=81,"B+",IF(AI32&gt;=70,"B",IF(AI32&gt;=65,"C+",IF(AI32&gt;=60,"C",IF(AI32&gt;=55,"D+",IF(AI32&gt;=50,"D","F")))))))</f>
      </c>
      <c r="AL32" s="42">
        <f>ROUND((L32*3+O32*2+R32*1+U32*1+X32*1+AA32*2+AD32*2+AG32*1+AJ32*2)/15, 2)</f>
      </c>
      <c r="AM32" s="40" t="str">
        <f>IF(AL32&gt;90,"4.00",IF(AL32&gt;80,"3.50",IF(AL32&gt;69,"3.00",IF(AL32&gt;64,"2.50",IF(AL32&gt;59,"2.00",IF(AL32&gt;54,"1.50",IF(AL32&gt;49,"1.00","0.00")))))))</f>
        <v>0.00</v>
      </c>
      <c r="AN32" s="40">
        <f>IF(AM32&gt;=91, 4.00, IF(AM32&gt;=81, 3.50, IF(AM32&gt;=70, 3.00, IF(AM32&gt;=65, 2.50, IF(AM32&gt;=60, 2.00, IF(AM32&gt;=55, 1.50, IF(AM32&gt;=50, 1.00, 0.00)))))))</f>
      </c>
      <c r="AO32" s="40">
        <f>IF(AM32&gt;=91,"A",IF(AM32&gt;=81,"B+",IF(AM32&gt;=70,"B",IF(AM32&gt;=65,"C+",IF(AM32&gt;=60,"C",IF(AM32&gt;=55,"D+",IF(AM32&gt;=50,"D","F")))))))</f>
      </c>
      <c r="AP32" s="40" t="str">
        <f>IF(AO32&gt;90,"4.00",IF(AO32&gt;80,"3.50",IF(AO32&gt;69,"3.00",IF(AO32&gt;64,"2.50",IF(AO32&gt;59,"2.00",IF(AO32&gt;54,"1.50",IF(AO32&gt;49,"1.00","0.00")))))))</f>
        <v>0.00</v>
      </c>
      <c r="AQ32" s="40">
        <f>IF(AP32&gt;=91, 4.00, IF(AP32&gt;=81, 3.50, IF(AP32&gt;=70, 3.00, IF(AP32&gt;=65, 2.50, IF(AP32&gt;=60, 2.00, IF(AP32&gt;=55, 1.50, IF(AP32&gt;=50, 1.00, 0.00)))))))</f>
      </c>
      <c r="AR32" s="40">
        <f>IF(AP32&gt;=91,"A",IF(AP32&gt;=81,"B+",IF(AP32&gt;=70,"B",IF(AP32&gt;=65,"C+",IF(AP32&gt;=60,"C",IF(AP32&gt;=55,"D+",IF(AP32&gt;=50,"D","F")))))))</f>
      </c>
      <c r="AS32" s="52">
        <v>90</v>
      </c>
      <c r="AT32" s="40">
        <f>IF(AS32&gt;=91, 4.00, IF(AS32&gt;=81, 3.50, IF(AS32&gt;=70, 3.00, IF(AS32&gt;=65, 2.50, IF(AS32&gt;=60, 2.00, IF(AS32&gt;=55, 1.50, IF(AS32&gt;=50, 1.00, 0.00)))))))</f>
      </c>
      <c r="AU32" s="40">
        <f>IF(AS32&gt;=91,"A",IF(AS32&gt;=81,"B+",IF(AS32&gt;=70,"B",IF(AS32&gt;=65,"C+",IF(AS32&gt;=60,"C",IF(AS32&gt;=55,"D+",IF(AS32&gt;=50,"D","F")))))))</f>
      </c>
      <c r="AV32" s="40" t="s">
        <v>43</v>
      </c>
      <c r="AW32" s="40">
        <f>IF(AV32&gt;=91, 4.00, IF(AV32&gt;=81, 3.50, IF(AV32&gt;=70, 3.00, IF(AV32&gt;=65, 2.50, IF(AV32&gt;=60, 2.00, IF(AV32&gt;=55, 1.50, IF(AV32&gt;=50, 1.00, 0.00)))))))</f>
      </c>
      <c r="AX32" s="40">
        <f>IF(AV32&gt;=91,"A",IF(AV32&gt;=81,"B+",IF(AV32&gt;=70,"B",IF(AV32&gt;=65,"C+",IF(AV32&gt;=60,"C",IF(AV32&gt;=55,"D+",IF(AV32&gt;=50,"D","F")))))))</f>
      </c>
      <c r="AY32" s="40" t="s">
        <v>308</v>
      </c>
      <c r="AZ32" s="40">
        <f>IF(AY32&gt;=91, 4.00, IF(AY32&gt;=81, 3.50, IF(AY32&gt;=70, 3.00, IF(AY32&gt;=65, 2.50, IF(AY32&gt;=60, 2.00, IF(AY32&gt;=55, 1.50, IF(AY32&gt;=50, 1.00, 0.00)))))))</f>
      </c>
      <c r="BA32" s="44">
        <f>IF(AY32&gt;=91,"A",IF(AY32&gt;=81,"B+",IF(AY32&gt;=70,"B",IF(AY32&gt;=65,"C+",IF(AY32&gt;=60,"C",IF(AY32&gt;=55,"D+",IF(AY32&gt;=50,"D","F")))))))</f>
      </c>
      <c r="BB32" s="112">
        <v>78</v>
      </c>
      <c r="BC32" s="40">
        <f>IF(BB32&gt;=91, 4.00, IF(BB32&gt;=81, 3.50, IF(BB32&gt;=70, 3.00, IF(BB32&gt;=65, 2.50, IF(BB32&gt;=60, 2.00, IF(BB32&gt;=55, 1.50, IF(BB32&gt;=50, 1.00, 0.00)))))))</f>
      </c>
      <c r="BD32" s="49">
        <f>IF(BB32&gt;=91,"A",IF(BB32&gt;=81,"B+",IF(BB32&gt;=70,"B",IF(BB32&gt;=65,"C+",IF(BB32&gt;=60,"C",IF(BB32&gt;=55,"D+",IF(BB32&gt;=50,"D","F")))))))</f>
      </c>
      <c r="BE32" s="40" t="str">
        <f>IF(BC32&gt;90,"A",IF(BC32&gt;80,"B+",IF(BC32&gt;69,"B",IF(BC32&gt;64,"C+",IF(BC32&gt;59,"C",IF(BC32&gt;54,"D+",IF(BC32&gt;49,"D",IF(BC32&gt;=0,"F"))))))))</f>
        <v>F</v>
      </c>
      <c r="BF32" s="49">
        <f>IF(BE32&gt;=91, 4.00, IF(BE32&gt;=81, 3.50, IF(BE32&gt;=70, 3.00, IF(BE32&gt;=65, 2.50, IF(BE32&gt;=60, 2.00, IF(BE32&gt;=55, 1.50, IF(BE32&gt;=50, 1.00, 0.00)))))))</f>
      </c>
      <c r="BG32" s="49">
        <f>IF(BE32&gt;=91,"A",IF(BE32&gt;=81,"B+",IF(BE32&gt;=70,"B",IF(BE32&gt;=65,"C+",IF(BE32&gt;=60,"C",IF(BE32&gt;=55,"D+",IF(BE32&gt;=50,"D","F")))))))</f>
      </c>
      <c r="BH32" s="40" t="str">
        <f>IF(BF32&gt;90,"A",IF(BF32&gt;80,"B+",IF(BF32&gt;69,"B",IF(BF32&gt;64,"C+",IF(BF32&gt;59,"C",IF(BF32&gt;54,"D+",IF(BF32&gt;49,"D",IF(BF32&gt;=0,"F"))))))))</f>
        <v>F</v>
      </c>
      <c r="BI32" s="49">
        <f>IF(BH32&gt;=91, 4.00, IF(BH32&gt;=81, 3.50, IF(BH32&gt;=70, 3.00, IF(BH32&gt;=65, 2.50, IF(BH32&gt;=60, 2.00, IF(BH32&gt;=55, 1.50, IF(BH32&gt;=50, 1.00, 0.00)))))))</f>
      </c>
      <c r="BJ32" s="49">
        <f>IF(BH32&gt;=91,"A",IF(BH32&gt;=81,"B+",IF(BH32&gt;=70,"B",IF(BH32&gt;=65,"C+",IF(BH32&gt;=60,"C",IF(BH32&gt;=55,"D+",IF(BH32&gt;=50,"D","F")))))))</f>
      </c>
      <c r="BK32" s="40" t="str">
        <f>IF(BI32&gt;90,"A",IF(BI32&gt;80,"B+",IF(BI32&gt;69,"B",IF(BI32&gt;64,"C+",IF(BI32&gt;59,"C",IF(BI32&gt;54,"D+",IF(BI32&gt;49,"D",IF(BI32&gt;=0,"F"))))))))</f>
        <v>F</v>
      </c>
      <c r="BL32" s="49">
        <f>IF(BK32&gt;=91, 4.00, IF(BK32&gt;=81, 3.50, IF(BK32&gt;=70, 3.00, IF(BK32&gt;=65, 2.50, IF(BK32&gt;=60, 2.00, IF(BK32&gt;=55, 1.50, IF(BK32&gt;=50, 1.00, 0.00)))))))</f>
      </c>
      <c r="BM32" s="49">
        <f>IF(BK32&gt;=91,"A",IF(BK32&gt;=81,"B+",IF(BK32&gt;=70,"B",IF(BK32&gt;=65,"C+",IF(BK32&gt;=60,"C",IF(BK32&gt;=55,"D+",IF(BK32&gt;=50,"D","F")))))))</f>
      </c>
      <c r="BN32" s="40">
        <f>ROUND((AN32*3+AQ32*2+AT32*1+AW32*1+AZ32*1+BC32*2+BF32*2+BI32*1+BL32*2)/15, 2)</f>
      </c>
      <c r="BO32" s="49"/>
      <c r="BP32" s="49" t="str">
        <f>IF(BO32&gt;90,"4.00",IF(BO32&gt;80,"3.50",IF(BO32&gt;69,"3.00",IF(BO32&gt;64,"2.50",IF(BO32&gt;59,"2.00",IF(BO32&gt;54,"1.50",IF(BO32&gt;49,"1.00","0.00")))))))</f>
        <v>0.00</v>
      </c>
      <c r="BQ32" s="40" t="str">
        <f>IF(BO32&gt;90,"A",IF(BO32&gt;80,"B+",IF(BO32&gt;69,"B",IF(BO32&gt;64,"C+",IF(BO32&gt;59,"C",IF(BO32&gt;54,"D+",IF(BO32&gt;49,"D",IF(BO32&gt;=0,"F"))))))))</f>
        <v>F</v>
      </c>
      <c r="BR32" s="49"/>
      <c r="BS32" s="49" t="str">
        <f>IF(BR32&gt;90,"4.00",IF(BR32&gt;80,"3.50",IF(BR32&gt;69,"3.00",IF(BR32&gt;64,"2.50",IF(BR32&gt;59,"2.00",IF(BR32&gt;54,"1.50",IF(BR32&gt;49,"1.00","0.00")))))))</f>
        <v>0.00</v>
      </c>
      <c r="BT32" s="40" t="str">
        <f>IF(BR32&gt;90,"A",IF(BR32&gt;80,"B+",IF(BR32&gt;69,"B",IF(BR32&gt;64,"C+",IF(BR32&gt;59,"C",IF(BR32&gt;54,"D+",IF(BR32&gt;49,"D",IF(BR32&gt;=0,"F"))))))))</f>
        <v>F</v>
      </c>
      <c r="BU32" s="49"/>
      <c r="BV32" s="49" t="str">
        <f>IF(BU32&gt;90,"4.00",IF(BU32&gt;80,"3.50",IF(BU32&gt;69,"3.00",IF(BU32&gt;64,"2.50",IF(BU32&gt;59,"2.00",IF(BU32&gt;54,"1.50",IF(BU32&gt;49,"1.00","0.00")))))))</f>
        <v>0.00</v>
      </c>
      <c r="BW32" s="40" t="str">
        <f>IF(BU32&gt;90,"A",IF(BU32&gt;80,"B+",IF(BU32&gt;69,"B",IF(BU32&gt;64,"C+",IF(BU32&gt;59,"C",IF(BU32&gt;54,"D+",IF(BU32&gt;49,"D",IF(BU32&gt;=0,"F"))))))))</f>
        <v>F</v>
      </c>
      <c r="BX32" s="49"/>
      <c r="BY32" s="49" t="str">
        <f>IF(BX32&gt;90,"4.00",IF(BX32&gt;80,"3.50",IF(BX32&gt;69,"3.00",IF(BX32&gt;64,"2.50",IF(BX32&gt;59,"2.00",IF(BX32&gt;54,"1.50",IF(BX32&gt;49,"1.00","0.00")))))))</f>
        <v>0.00</v>
      </c>
      <c r="BZ32" s="40" t="str">
        <f>IF(BX32&gt;90,"A",IF(BX32&gt;80,"B+",IF(BX32&gt;69,"B",IF(BX32&gt;64,"C+",IF(BX32&gt;59,"C",IF(BX32&gt;54,"D+",IF(BX32&gt;49,"D",IF(BX32&gt;=0,"F"))))))))</f>
        <v>F</v>
      </c>
      <c r="CA32" s="49"/>
      <c r="CB32" s="49" t="str">
        <f>IF(CA32&gt;90,"4.00",IF(CA32&gt;80,"3.50",IF(CA32&gt;69,"3.00",IF(CA32&gt;64,"2.50",IF(CA32&gt;59,"2.00",IF(CA32&gt;54,"1.50",IF(CA32&gt;49,"1.00","0.00")))))))</f>
        <v>0.00</v>
      </c>
      <c r="CC32" s="40" t="str">
        <f>IF(CA32&gt;90,"A",IF(CA32&gt;80,"B+",IF(CA32&gt;69,"B",IF(CA32&gt;64,"C+",IF(CA32&gt;59,"C",IF(CA32&gt;54,"D+",IF(CA32&gt;49,"D",IF(CA32&gt;=0,"F"))))))))</f>
        <v>F</v>
      </c>
      <c r="CD32" s="50">
        <f>(BD32*3+BG32*2+BJ32*1+BM32*2+BP32*1+BS32*1+BV32*2+BY32*2+CB32*2)/(3+2+1+2+1+1+2+2+2)</f>
        <v>0</v>
      </c>
      <c r="CE32" s="50">
        <f>(AR32+CD32)/2</f>
        <v>0</v>
      </c>
      <c r="CF32" s="51">
        <f>RANK(CE32,$CE$7:CE61)</f>
        <v>1</v>
      </c>
      <c r="CG32" s="67"/>
      <c r="CH32" s="52"/>
      <c r="CI32" s="52"/>
      <c r="CJ32" s="52"/>
    </row>
    <row r="33" ht="20" customHeight="1" spans="1:88" s="53" customFormat="1" x14ac:dyDescent="0.25">
      <c r="A33" s="40">
        <v>27</v>
      </c>
      <c r="B33" s="40" t="s">
        <v>135</v>
      </c>
      <c r="C33" s="40" t="s">
        <v>43</v>
      </c>
      <c r="D33" s="40" t="s">
        <v>199</v>
      </c>
      <c r="E33" s="40" t="s">
        <v>309</v>
      </c>
      <c r="F33" s="40" t="s">
        <v>310</v>
      </c>
      <c r="G33" s="40" t="s">
        <v>202</v>
      </c>
      <c r="H33" s="111"/>
      <c r="I33" s="112"/>
      <c r="J33" s="40">
        <v>1</v>
      </c>
      <c r="K33" s="42">
        <v>80</v>
      </c>
      <c r="L33" s="40">
        <f>IF(K33&gt;=91, 4.00, IF(K33&gt;=81, 3.50, IF(K33&gt;=70, 3.00, IF(K33&gt;=65, 2.50, IF(K33&gt;=60, 2.00, IF(K33&gt;=55, 1.50, IF(K33&gt;=50, 1.00, 0.00)))))))</f>
      </c>
      <c r="M33" s="40">
        <f>IF(K33&gt;=91,"A",IF(K33&gt;=81,"B+",IF(K33&gt;=70,"B",IF(K33&gt;=65,"C+",IF(K33&gt;=60,"C",IF(K33&gt;=55,"D+",IF(K33&gt;=50,"D","F")))))))</f>
      </c>
      <c r="N33" s="42">
        <v>83</v>
      </c>
      <c r="O33" s="40">
        <f>IF(N33&gt;=91, 4.00, IF(N33&gt;=81, 3.50, IF(N33&gt;=70, 3.00, IF(N33&gt;=65, 2.50, IF(N33&gt;=60, 2.00, IF(N33&gt;=55, 1.50, IF(N33&gt;=50, 1.00, 0.00)))))))</f>
      </c>
      <c r="P33" s="40">
        <f>IF(N33&gt;=91,"A",IF(N33&gt;=81,"B+",IF(N33&gt;=70,"B",IF(N33&gt;=65,"C+",IF(N33&gt;=60,"C",IF(N33&gt;=55,"D+",IF(N33&gt;=50,"D","F")))))))</f>
      </c>
      <c r="Q33" s="42">
        <v>86</v>
      </c>
      <c r="R33" s="40">
        <f>IF(Q33&gt;=91, 4.00, IF(Q33&gt;=81, 3.50, IF(Q33&gt;=70, 3.00, IF(Q33&gt;=65, 2.50, IF(Q33&gt;=60, 2.00, IF(Q33&gt;=55, 1.50, IF(Q33&gt;=50, 1.00, 0.00)))))))</f>
      </c>
      <c r="S33" s="40">
        <f>IF(Q33&gt;=91,"A",IF(Q33&gt;=81,"B+",IF(Q33&gt;=70,"B",IF(Q33&gt;=65,"C+",IF(Q33&gt;=60,"C",IF(Q33&gt;=55,"D+",IF(Q33&gt;=50,"D","F")))))))</f>
      </c>
      <c r="T33" s="40">
        <v>89</v>
      </c>
      <c r="U33" s="40">
        <f>IF(T33&gt;=91, 4.00, IF(T33&gt;=81, 3.50, IF(T33&gt;=70, 3.00, IF(T33&gt;=65, 2.50, IF(T33&gt;=60, 2.00, IF(T33&gt;=55, 1.50, IF(T33&gt;=50, 1.00, 0.00)))))))</f>
      </c>
      <c r="V33" s="40">
        <f>IF(T33&gt;=91,"A",IF(T33&gt;=81,"B+",IF(T33&gt;=70,"B",IF(T33&gt;=65,"C+",IF(T33&gt;=60,"C",IF(T33&gt;=55,"D+",IF(T33&gt;=50,"D","F")))))))</f>
      </c>
      <c r="W33" s="42">
        <v>92</v>
      </c>
      <c r="X33" s="40">
        <f>IF(W33&gt;=91, 4.00, IF(W33&gt;=81, 3.50, IF(W33&gt;=70, 3.00, IF(W33&gt;=65, 2.50, IF(W33&gt;=60, 2.00, IF(W33&gt;=55, 1.50, IF(W33&gt;=50, 1.00, 0.00)))))))</f>
      </c>
      <c r="Y33" s="40">
        <f>IF(W33&gt;=91,"A",IF(W33&gt;=81,"B+",IF(W33&gt;=70,"B",IF(W33&gt;=65,"C+",IF(W33&gt;=60,"C",IF(W33&gt;=55,"D+",IF(W33&gt;=50,"D","F")))))))</f>
      </c>
      <c r="Z33" s="40">
        <v>95</v>
      </c>
      <c r="AA33" s="40">
        <f>IF(Z33&gt;=91, 4.00, IF(Z33&gt;=81, 3.50, IF(Z33&gt;=70, 3.00, IF(Z33&gt;=65, 2.50, IF(Z33&gt;=60, 2.00, IF(Z33&gt;=55, 1.50, IF(Z33&gt;=50, 1.00, 0.00)))))))</f>
      </c>
      <c r="AB33" s="40">
        <f>IF(Z33&gt;=91,"A",IF(Z33&gt;=81,"B+",IF(Z33&gt;=70,"B",IF(Z33&gt;=65,"C+",IF(Z33&gt;=60,"C",IF(Z33&gt;=55,"D+",IF(Z33&gt;=50,"D","F")))))))</f>
      </c>
      <c r="AC33" s="40">
        <v>77</v>
      </c>
      <c r="AD33" s="40">
        <f>IF(AC33&gt;=91, 4.00, IF(AC33&gt;=81, 3.50, IF(AC33&gt;=70, 3.00, IF(AC33&gt;=65, 2.50, IF(AC33&gt;=60, 2.00, IF(AC33&gt;=55, 1.50, IF(AC33&gt;=50, 1.00, 0.00)))))))</f>
      </c>
      <c r="AE33" s="40">
        <f>IF(AC33&gt;=91,"A",IF(AC33&gt;=81,"B+",IF(AC33&gt;=70,"B",IF(AC33&gt;=65,"C+",IF(AC33&gt;=60,"C",IF(AC33&gt;=55,"D+",IF(AC33&gt;=50,"D","F")))))))</f>
      </c>
      <c r="AF33" s="40">
        <v>80</v>
      </c>
      <c r="AG33" s="40">
        <f>IF(AF33&gt;=91, 4.00, IF(AF33&gt;=81, 3.50, IF(AF33&gt;=70, 3.00, IF(AF33&gt;=65, 2.50, IF(AF33&gt;=60, 2.00, IF(AF33&gt;=55, 1.50, IF(AF33&gt;=50, 1.00, 0.00)))))))</f>
      </c>
      <c r="AH33" s="40">
        <f>IF(AF33&gt;=91,"A",IF(AF33&gt;=81,"B+",IF(AF33&gt;=70,"B",IF(AF33&gt;=65,"C+",IF(AF33&gt;=60,"C",IF(AF33&gt;=55,"D+",IF(AF33&gt;=50,"D","F")))))))</f>
      </c>
      <c r="AI33" s="40">
        <v>83</v>
      </c>
      <c r="AJ33" s="40">
        <f>IF(AI33&gt;=91, 4.00, IF(AI33&gt;=81, 3.50, IF(AI33&gt;=70, 3.00, IF(AI33&gt;=65, 2.50, IF(AI33&gt;=60, 2.00, IF(AI33&gt;=55, 1.50, IF(AI33&gt;=50, 1.00, 0.00)))))))</f>
      </c>
      <c r="AK33" s="40">
        <f>IF(AI33&gt;=91,"A",IF(AI33&gt;=81,"B+",IF(AI33&gt;=70,"B",IF(AI33&gt;=65,"C+",IF(AI33&gt;=60,"C",IF(AI33&gt;=55,"D+",IF(AI33&gt;=50,"D","F")))))))</f>
      </c>
      <c r="AL33" s="40">
        <f>ROUND((L33*3+O33*2+R33*1+U33*1+X33*1+AA33*2+AD33*2+AG33*1+AJ33*2)/15, 2)</f>
      </c>
      <c r="AM33" s="40" t="str">
        <f>IF(AL33&gt;90,"4.00",IF(AL33&gt;80,"3.50",IF(AL33&gt;69,"3.00",IF(AL33&gt;64,"2.50",IF(AL33&gt;59,"2.00",IF(AL33&gt;54,"1.50",IF(AL33&gt;49,"1.00","0.00")))))))</f>
        <v>0.00</v>
      </c>
      <c r="AN33" s="40">
        <f>IF(AM33&gt;=91, 4.00, IF(AM33&gt;=81, 3.50, IF(AM33&gt;=70, 3.00, IF(AM33&gt;=65, 2.50, IF(AM33&gt;=60, 2.00, IF(AM33&gt;=55, 1.50, IF(AM33&gt;=50, 1.00, 0.00)))))))</f>
      </c>
      <c r="AO33" s="40">
        <f>IF(AM33&gt;=91,"A",IF(AM33&gt;=81,"B+",IF(AM33&gt;=70,"B",IF(AM33&gt;=65,"C+",IF(AM33&gt;=60,"C",IF(AM33&gt;=55,"D+",IF(AM33&gt;=50,"D","F")))))))</f>
      </c>
      <c r="AP33" s="40" t="str">
        <f>IF(AO33&gt;90,"4.00",IF(AO33&gt;80,"3.50",IF(AO33&gt;69,"3.00",IF(AO33&gt;64,"2.50",IF(AO33&gt;59,"2.00",IF(AO33&gt;54,"1.50",IF(AO33&gt;49,"1.00","0.00")))))))</f>
        <v>0.00</v>
      </c>
      <c r="AQ33" s="40">
        <f>IF(AP33&gt;=91, 4.00, IF(AP33&gt;=81, 3.50, IF(AP33&gt;=70, 3.00, IF(AP33&gt;=65, 2.50, IF(AP33&gt;=60, 2.00, IF(AP33&gt;=55, 1.50, IF(AP33&gt;=50, 1.00, 0.00)))))))</f>
      </c>
      <c r="AR33" s="40">
        <f>IF(AP33&gt;=91,"A",IF(AP33&gt;=81,"B+",IF(AP33&gt;=70,"B",IF(AP33&gt;=65,"C+",IF(AP33&gt;=60,"C",IF(AP33&gt;=55,"D+",IF(AP33&gt;=50,"D","F")))))))</f>
      </c>
      <c r="AS33" s="52">
        <v>93</v>
      </c>
      <c r="AT33" s="40">
        <f>IF(AS33&gt;=91, 4.00, IF(AS33&gt;=81, 3.50, IF(AS33&gt;=70, 3.00, IF(AS33&gt;=65, 2.50, IF(AS33&gt;=60, 2.00, IF(AS33&gt;=55, 1.50, IF(AS33&gt;=50, 1.00, 0.00)))))))</f>
      </c>
      <c r="AU33" s="40">
        <f>IF(AS33&gt;=91,"A",IF(AS33&gt;=81,"B+",IF(AS33&gt;=70,"B",IF(AS33&gt;=65,"C+",IF(AS33&gt;=60,"C",IF(AS33&gt;=55,"D+",IF(AS33&gt;=50,"D","F")))))))</f>
      </c>
      <c r="AV33" s="40" t="s">
        <v>43</v>
      </c>
      <c r="AW33" s="40">
        <f>IF(AV33&gt;=91, 4.00, IF(AV33&gt;=81, 3.50, IF(AV33&gt;=70, 3.00, IF(AV33&gt;=65, 2.50, IF(AV33&gt;=60, 2.00, IF(AV33&gt;=55, 1.50, IF(AV33&gt;=50, 1.00, 0.00)))))))</f>
      </c>
      <c r="AX33" s="40">
        <f>IF(AV33&gt;=91,"A",IF(AV33&gt;=81,"B+",IF(AV33&gt;=70,"B",IF(AV33&gt;=65,"C+",IF(AV33&gt;=60,"C",IF(AV33&gt;=55,"D+",IF(AV33&gt;=50,"D","F")))))))</f>
      </c>
      <c r="AY33" s="40" t="s">
        <v>310</v>
      </c>
      <c r="AZ33" s="40">
        <f>IF(AY33&gt;=91, 4.00, IF(AY33&gt;=81, 3.50, IF(AY33&gt;=70, 3.00, IF(AY33&gt;=65, 2.50, IF(AY33&gt;=60, 2.00, IF(AY33&gt;=55, 1.50, IF(AY33&gt;=50, 1.00, 0.00)))))))</f>
      </c>
      <c r="BA33" s="111">
        <f>IF(AY33&gt;=91,"A",IF(AY33&gt;=81,"B+",IF(AY33&gt;=70,"B",IF(AY33&gt;=65,"C+",IF(AY33&gt;=60,"C",IF(AY33&gt;=55,"D+",IF(AY33&gt;=50,"D","F")))))))</f>
      </c>
      <c r="BB33" s="112">
        <v>81</v>
      </c>
      <c r="BC33" s="40">
        <f>IF(BB33&gt;=91, 4.00, IF(BB33&gt;=81, 3.50, IF(BB33&gt;=70, 3.00, IF(BB33&gt;=65, 2.50, IF(BB33&gt;=60, 2.00, IF(BB33&gt;=55, 1.50, IF(BB33&gt;=50, 1.00, 0.00)))))))</f>
      </c>
      <c r="BD33" s="49">
        <f>IF(BB33&gt;=91,"A",IF(BB33&gt;=81,"B+",IF(BB33&gt;=70,"B",IF(BB33&gt;=65,"C+",IF(BB33&gt;=60,"C",IF(BB33&gt;=55,"D+",IF(BB33&gt;=50,"D","F")))))))</f>
      </c>
      <c r="BE33" s="40" t="str">
        <f>IF(BC33&gt;90,"A",IF(BC33&gt;80,"B+",IF(BC33&gt;69,"B",IF(BC33&gt;64,"C+",IF(BC33&gt;59,"C",IF(BC33&gt;54,"D+",IF(BC33&gt;49,"D",IF(BC33&gt;=0,"F"))))))))</f>
        <v>F</v>
      </c>
      <c r="BF33" s="49">
        <f>IF(BE33&gt;=91, 4.00, IF(BE33&gt;=81, 3.50, IF(BE33&gt;=70, 3.00, IF(BE33&gt;=65, 2.50, IF(BE33&gt;=60, 2.00, IF(BE33&gt;=55, 1.50, IF(BE33&gt;=50, 1.00, 0.00)))))))</f>
      </c>
      <c r="BG33" s="49">
        <f>IF(BE33&gt;=91,"A",IF(BE33&gt;=81,"B+",IF(BE33&gt;=70,"B",IF(BE33&gt;=65,"C+",IF(BE33&gt;=60,"C",IF(BE33&gt;=55,"D+",IF(BE33&gt;=50,"D","F")))))))</f>
      </c>
      <c r="BH33" s="40" t="str">
        <f>IF(BF33&gt;90,"A",IF(BF33&gt;80,"B+",IF(BF33&gt;69,"B",IF(BF33&gt;64,"C+",IF(BF33&gt;59,"C",IF(BF33&gt;54,"D+",IF(BF33&gt;49,"D",IF(BF33&gt;=0,"F"))))))))</f>
        <v>F</v>
      </c>
      <c r="BI33" s="49">
        <f>IF(BH33&gt;=91, 4.00, IF(BH33&gt;=81, 3.50, IF(BH33&gt;=70, 3.00, IF(BH33&gt;=65, 2.50, IF(BH33&gt;=60, 2.00, IF(BH33&gt;=55, 1.50, IF(BH33&gt;=50, 1.00, 0.00)))))))</f>
      </c>
      <c r="BJ33" s="49">
        <f>IF(BH33&gt;=91,"A",IF(BH33&gt;=81,"B+",IF(BH33&gt;=70,"B",IF(BH33&gt;=65,"C+",IF(BH33&gt;=60,"C",IF(BH33&gt;=55,"D+",IF(BH33&gt;=50,"D","F")))))))</f>
      </c>
      <c r="BK33" s="40" t="str">
        <f>IF(BI33&gt;90,"A",IF(BI33&gt;80,"B+",IF(BI33&gt;69,"B",IF(BI33&gt;64,"C+",IF(BI33&gt;59,"C",IF(BI33&gt;54,"D+",IF(BI33&gt;49,"D",IF(BI33&gt;=0,"F"))))))))</f>
        <v>F</v>
      </c>
      <c r="BL33" s="49">
        <f>IF(BK33&gt;=91, 4.00, IF(BK33&gt;=81, 3.50, IF(BK33&gt;=70, 3.00, IF(BK33&gt;=65, 2.50, IF(BK33&gt;=60, 2.00, IF(BK33&gt;=55, 1.50, IF(BK33&gt;=50, 1.00, 0.00)))))))</f>
      </c>
      <c r="BM33" s="49">
        <f>IF(BK33&gt;=91,"A",IF(BK33&gt;=81,"B+",IF(BK33&gt;=70,"B",IF(BK33&gt;=65,"C+",IF(BK33&gt;=60,"C",IF(BK33&gt;=55,"D+",IF(BK33&gt;=50,"D","F")))))))</f>
      </c>
      <c r="BN33" s="40">
        <f>ROUND((AN33*3+AQ33*2+AT33*1+AW33*1+AZ33*1+BC33*2+BF33*2+BI33*1+BL33*2)/15, 2)</f>
      </c>
      <c r="BO33" s="49"/>
      <c r="BP33" s="49" t="str">
        <f>IF(BO33&gt;90,"4.00",IF(BO33&gt;80,"3.50",IF(BO33&gt;69,"3.00",IF(BO33&gt;64,"2.50",IF(BO33&gt;59,"2.00",IF(BO33&gt;54,"1.50",IF(BO33&gt;49,"1.00","0.00")))))))</f>
        <v>0.00</v>
      </c>
      <c r="BQ33" s="40" t="str">
        <f>IF(BO33&gt;90,"A",IF(BO33&gt;80,"B+",IF(BO33&gt;69,"B",IF(BO33&gt;64,"C+",IF(BO33&gt;59,"C",IF(BO33&gt;54,"D+",IF(BO33&gt;49,"D",IF(BO33&gt;=0,"F"))))))))</f>
        <v>F</v>
      </c>
      <c r="BR33" s="49"/>
      <c r="BS33" s="49" t="str">
        <f>IF(BR33&gt;90,"4.00",IF(BR33&gt;80,"3.50",IF(BR33&gt;69,"3.00",IF(BR33&gt;64,"2.50",IF(BR33&gt;59,"2.00",IF(BR33&gt;54,"1.50",IF(BR33&gt;49,"1.00","0.00")))))))</f>
        <v>0.00</v>
      </c>
      <c r="BT33" s="40" t="str">
        <f>IF(BR33&gt;90,"A",IF(BR33&gt;80,"B+",IF(BR33&gt;69,"B",IF(BR33&gt;64,"C+",IF(BR33&gt;59,"C",IF(BR33&gt;54,"D+",IF(BR33&gt;49,"D",IF(BR33&gt;=0,"F"))))))))</f>
        <v>F</v>
      </c>
      <c r="BU33" s="49"/>
      <c r="BV33" s="49" t="str">
        <f>IF(BU33&gt;90,"4.00",IF(BU33&gt;80,"3.50",IF(BU33&gt;69,"3.00",IF(BU33&gt;64,"2.50",IF(BU33&gt;59,"2.00",IF(BU33&gt;54,"1.50",IF(BU33&gt;49,"1.00","0.00")))))))</f>
        <v>0.00</v>
      </c>
      <c r="BW33" s="40" t="str">
        <f>IF(BU33&gt;90,"A",IF(BU33&gt;80,"B+",IF(BU33&gt;69,"B",IF(BU33&gt;64,"C+",IF(BU33&gt;59,"C",IF(BU33&gt;54,"D+",IF(BU33&gt;49,"D",IF(BU33&gt;=0,"F"))))))))</f>
        <v>F</v>
      </c>
      <c r="BX33" s="49"/>
      <c r="BY33" s="49" t="str">
        <f>IF(BX33&gt;90,"4.00",IF(BX33&gt;80,"3.50",IF(BX33&gt;69,"3.00",IF(BX33&gt;64,"2.50",IF(BX33&gt;59,"2.00",IF(BX33&gt;54,"1.50",IF(BX33&gt;49,"1.00","0.00")))))))</f>
        <v>0.00</v>
      </c>
      <c r="BZ33" s="40" t="str">
        <f>IF(BX33&gt;90,"A",IF(BX33&gt;80,"B+",IF(BX33&gt;69,"B",IF(BX33&gt;64,"C+",IF(BX33&gt;59,"C",IF(BX33&gt;54,"D+",IF(BX33&gt;49,"D",IF(BX33&gt;=0,"F"))))))))</f>
        <v>F</v>
      </c>
      <c r="CA33" s="49"/>
      <c r="CB33" s="49" t="str">
        <f>IF(CA33&gt;90,"4.00",IF(CA33&gt;80,"3.50",IF(CA33&gt;69,"3.00",IF(CA33&gt;64,"2.50",IF(CA33&gt;59,"2.00",IF(CA33&gt;54,"1.50",IF(CA33&gt;49,"1.00","0.00")))))))</f>
        <v>0.00</v>
      </c>
      <c r="CC33" s="40" t="str">
        <f>IF(CA33&gt;90,"A",IF(CA33&gt;80,"B+",IF(CA33&gt;69,"B",IF(CA33&gt;64,"C+",IF(CA33&gt;59,"C",IF(CA33&gt;54,"D+",IF(CA33&gt;49,"D",IF(CA33&gt;=0,"F"))))))))</f>
        <v>F</v>
      </c>
      <c r="CD33" s="50">
        <f>(BD33*3+BG33*2+BJ33*1+BM33*2+BP33*1+BS33*1+BV33*2+BY33*2+CB33*2)/(3+2+1+2+1+1+2+2+2)</f>
        <v>0</v>
      </c>
      <c r="CE33" s="50">
        <f>(AR33+CD33)/2</f>
        <v>0</v>
      </c>
      <c r="CF33" s="51">
        <f>RANK(CE33,$CE$7:CE62)</f>
        <v>1</v>
      </c>
      <c r="CG33" s="67"/>
      <c r="CH33" s="52"/>
      <c r="CI33" s="52"/>
      <c r="CJ33" s="52"/>
    </row>
    <row r="34" ht="20" customHeight="1" spans="1:88" s="53" customFormat="1" x14ac:dyDescent="0.25">
      <c r="A34" s="40">
        <v>28</v>
      </c>
      <c r="B34" s="40" t="s">
        <v>311</v>
      </c>
      <c r="C34" s="40" t="s">
        <v>43</v>
      </c>
      <c r="D34" s="40" t="s">
        <v>204</v>
      </c>
      <c r="E34" s="40" t="s">
        <v>205</v>
      </c>
      <c r="F34" s="40" t="s">
        <v>312</v>
      </c>
      <c r="G34" s="40" t="s">
        <v>207</v>
      </c>
      <c r="H34" s="44"/>
      <c r="I34" s="112"/>
      <c r="J34" s="40">
        <v>1</v>
      </c>
      <c r="K34" s="42">
        <v>83</v>
      </c>
      <c r="L34" s="40">
        <f>IF(K34&gt;=91, 4.00, IF(K34&gt;=81, 3.50, IF(K34&gt;=70, 3.00, IF(K34&gt;=65, 2.50, IF(K34&gt;=60, 2.00, IF(K34&gt;=55, 1.50, IF(K34&gt;=50, 1.00, 0.00)))))))</f>
      </c>
      <c r="M34" s="40">
        <f>IF(K34&gt;=91,"A",IF(K34&gt;=81,"B+",IF(K34&gt;=70,"B",IF(K34&gt;=65,"C+",IF(K34&gt;=60,"C",IF(K34&gt;=55,"D+",IF(K34&gt;=50,"D","F")))))))</f>
      </c>
      <c r="N34" s="42">
        <v>86</v>
      </c>
      <c r="O34" s="40">
        <f>IF(N34&gt;=91, 4.00, IF(N34&gt;=81, 3.50, IF(N34&gt;=70, 3.00, IF(N34&gt;=65, 2.50, IF(N34&gt;=60, 2.00, IF(N34&gt;=55, 1.50, IF(N34&gt;=50, 1.00, 0.00)))))))</f>
      </c>
      <c r="P34" s="40">
        <f>IF(N34&gt;=91,"A",IF(N34&gt;=81,"B+",IF(N34&gt;=70,"B",IF(N34&gt;=65,"C+",IF(N34&gt;=60,"C",IF(N34&gt;=55,"D+",IF(N34&gt;=50,"D","F")))))))</f>
      </c>
      <c r="Q34" s="42">
        <v>89</v>
      </c>
      <c r="R34" s="40">
        <f>IF(Q34&gt;=91, 4.00, IF(Q34&gt;=81, 3.50, IF(Q34&gt;=70, 3.00, IF(Q34&gt;=65, 2.50, IF(Q34&gt;=60, 2.00, IF(Q34&gt;=55, 1.50, IF(Q34&gt;=50, 1.00, 0.00)))))))</f>
      </c>
      <c r="S34" s="40">
        <f>IF(Q34&gt;=91,"A",IF(Q34&gt;=81,"B+",IF(Q34&gt;=70,"B",IF(Q34&gt;=65,"C+",IF(Q34&gt;=60,"C",IF(Q34&gt;=55,"D+",IF(Q34&gt;=50,"D","F")))))))</f>
      </c>
      <c r="T34" s="40">
        <v>92</v>
      </c>
      <c r="U34" s="40">
        <f>IF(T34&gt;=91, 4.00, IF(T34&gt;=81, 3.50, IF(T34&gt;=70, 3.00, IF(T34&gt;=65, 2.50, IF(T34&gt;=60, 2.00, IF(T34&gt;=55, 1.50, IF(T34&gt;=50, 1.00, 0.00)))))))</f>
      </c>
      <c r="V34" s="40">
        <f>IF(T34&gt;=91,"A",IF(T34&gt;=81,"B+",IF(T34&gt;=70,"B",IF(T34&gt;=65,"C+",IF(T34&gt;=60,"C",IF(T34&gt;=55,"D+",IF(T34&gt;=50,"D","F")))))))</f>
      </c>
      <c r="W34" s="42">
        <v>95</v>
      </c>
      <c r="X34" s="40">
        <f>IF(W34&gt;=91, 4.00, IF(W34&gt;=81, 3.50, IF(W34&gt;=70, 3.00, IF(W34&gt;=65, 2.50, IF(W34&gt;=60, 2.00, IF(W34&gt;=55, 1.50, IF(W34&gt;=50, 1.00, 0.00)))))))</f>
      </c>
      <c r="Y34" s="40">
        <f>IF(W34&gt;=91,"A",IF(W34&gt;=81,"B+",IF(W34&gt;=70,"B",IF(W34&gt;=65,"C+",IF(W34&gt;=60,"C",IF(W34&gt;=55,"D+",IF(W34&gt;=50,"D","F")))))))</f>
      </c>
      <c r="Z34" s="40">
        <v>77</v>
      </c>
      <c r="AA34" s="40">
        <f>IF(Z34&gt;=91, 4.00, IF(Z34&gt;=81, 3.50, IF(Z34&gt;=70, 3.00, IF(Z34&gt;=65, 2.50, IF(Z34&gt;=60, 2.00, IF(Z34&gt;=55, 1.50, IF(Z34&gt;=50, 1.00, 0.00)))))))</f>
      </c>
      <c r="AB34" s="40">
        <f>IF(Z34&gt;=91,"A",IF(Z34&gt;=81,"B+",IF(Z34&gt;=70,"B",IF(Z34&gt;=65,"C+",IF(Z34&gt;=60,"C",IF(Z34&gt;=55,"D+",IF(Z34&gt;=50,"D","F")))))))</f>
      </c>
      <c r="AC34" s="40">
        <v>80</v>
      </c>
      <c r="AD34" s="40">
        <f>IF(AC34&gt;=91, 4.00, IF(AC34&gt;=81, 3.50, IF(AC34&gt;=70, 3.00, IF(AC34&gt;=65, 2.50, IF(AC34&gt;=60, 2.00, IF(AC34&gt;=55, 1.50, IF(AC34&gt;=50, 1.00, 0.00)))))))</f>
      </c>
      <c r="AE34" s="40">
        <f>IF(AC34&gt;=91,"A",IF(AC34&gt;=81,"B+",IF(AC34&gt;=70,"B",IF(AC34&gt;=65,"C+",IF(AC34&gt;=60,"C",IF(AC34&gt;=55,"D+",IF(AC34&gt;=50,"D","F")))))))</f>
      </c>
      <c r="AF34" s="40">
        <v>83</v>
      </c>
      <c r="AG34" s="40">
        <f>IF(AF34&gt;=91, 4.00, IF(AF34&gt;=81, 3.50, IF(AF34&gt;=70, 3.00, IF(AF34&gt;=65, 2.50, IF(AF34&gt;=60, 2.00, IF(AF34&gt;=55, 1.50, IF(AF34&gt;=50, 1.00, 0.00)))))))</f>
      </c>
      <c r="AH34" s="40">
        <f>IF(AF34&gt;=91,"A",IF(AF34&gt;=81,"B+",IF(AF34&gt;=70,"B",IF(AF34&gt;=65,"C+",IF(AF34&gt;=60,"C",IF(AF34&gt;=55,"D+",IF(AF34&gt;=50,"D","F")))))))</f>
      </c>
      <c r="AI34" s="40">
        <v>86</v>
      </c>
      <c r="AJ34" s="40">
        <f>IF(AI34&gt;=91, 4.00, IF(AI34&gt;=81, 3.50, IF(AI34&gt;=70, 3.00, IF(AI34&gt;=65, 2.50, IF(AI34&gt;=60, 2.00, IF(AI34&gt;=55, 1.50, IF(AI34&gt;=50, 1.00, 0.00)))))))</f>
      </c>
      <c r="AK34" s="40">
        <f>IF(AI34&gt;=91,"A",IF(AI34&gt;=81,"B+",IF(AI34&gt;=70,"B",IF(AI34&gt;=65,"C+",IF(AI34&gt;=60,"C",IF(AI34&gt;=55,"D+",IF(AI34&gt;=50,"D","F")))))))</f>
      </c>
      <c r="AL34" s="40">
        <f>ROUND((L34*3+O34*2+R34*1+U34*1+X34*1+AA34*2+AD34*2+AG34*1+AJ34*2)/15, 2)</f>
      </c>
      <c r="AM34" s="40" t="str">
        <f>IF(AL34&gt;90,"4.00",IF(AL34&gt;80,"3.50",IF(AL34&gt;69,"3.00",IF(AL34&gt;64,"2.50",IF(AL34&gt;59,"2.00",IF(AL34&gt;54,"1.50",IF(AL34&gt;49,"1.00","0.00")))))))</f>
        <v>0.00</v>
      </c>
      <c r="AN34" s="40">
        <f>IF(AM34&gt;=91, 4.00, IF(AM34&gt;=81, 3.50, IF(AM34&gt;=70, 3.00, IF(AM34&gt;=65, 2.50, IF(AM34&gt;=60, 2.00, IF(AM34&gt;=55, 1.50, IF(AM34&gt;=50, 1.00, 0.00)))))))</f>
      </c>
      <c r="AO34" s="40">
        <f>IF(AM34&gt;=91,"A",IF(AM34&gt;=81,"B+",IF(AM34&gt;=70,"B",IF(AM34&gt;=65,"C+",IF(AM34&gt;=60,"C",IF(AM34&gt;=55,"D+",IF(AM34&gt;=50,"D","F")))))))</f>
      </c>
      <c r="AP34" s="40" t="str">
        <f>IF(AO34&gt;90,"4.00",IF(AO34&gt;80,"3.50",IF(AO34&gt;69,"3.00",IF(AO34&gt;64,"2.50",IF(AO34&gt;59,"2.00",IF(AO34&gt;54,"1.50",IF(AO34&gt;49,"1.00","0.00")))))))</f>
        <v>0.00</v>
      </c>
      <c r="AQ34" s="40">
        <f>IF(AP34&gt;=91, 4.00, IF(AP34&gt;=81, 3.50, IF(AP34&gt;=70, 3.00, IF(AP34&gt;=65, 2.50, IF(AP34&gt;=60, 2.00, IF(AP34&gt;=55, 1.50, IF(AP34&gt;=50, 1.00, 0.00)))))))</f>
      </c>
      <c r="AR34" s="40">
        <f>IF(AP34&gt;=91,"A",IF(AP34&gt;=81,"B+",IF(AP34&gt;=70,"B",IF(AP34&gt;=65,"C+",IF(AP34&gt;=60,"C",IF(AP34&gt;=55,"D+",IF(AP34&gt;=50,"D","F")))))))</f>
      </c>
      <c r="AS34" s="52">
        <v>75</v>
      </c>
      <c r="AT34" s="40">
        <f>IF(AS34&gt;=91, 4.00, IF(AS34&gt;=81, 3.50, IF(AS34&gt;=70, 3.00, IF(AS34&gt;=65, 2.50, IF(AS34&gt;=60, 2.00, IF(AS34&gt;=55, 1.50, IF(AS34&gt;=50, 1.00, 0.00)))))))</f>
      </c>
      <c r="AU34" s="40">
        <f>IF(AS34&gt;=91,"A",IF(AS34&gt;=81,"B+",IF(AS34&gt;=70,"B",IF(AS34&gt;=65,"C+",IF(AS34&gt;=60,"C",IF(AS34&gt;=55,"D+",IF(AS34&gt;=50,"D","F")))))))</f>
      </c>
      <c r="AV34" s="40" t="s">
        <v>43</v>
      </c>
      <c r="AW34" s="40">
        <f>IF(AV34&gt;=91, 4.00, IF(AV34&gt;=81, 3.50, IF(AV34&gt;=70, 3.00, IF(AV34&gt;=65, 2.50, IF(AV34&gt;=60, 2.00, IF(AV34&gt;=55, 1.50, IF(AV34&gt;=50, 1.00, 0.00)))))))</f>
      </c>
      <c r="AX34" s="40">
        <f>IF(AV34&gt;=91,"A",IF(AV34&gt;=81,"B+",IF(AV34&gt;=70,"B",IF(AV34&gt;=65,"C+",IF(AV34&gt;=60,"C",IF(AV34&gt;=55,"D+",IF(AV34&gt;=50,"D","F")))))))</f>
      </c>
      <c r="AY34" s="40" t="s">
        <v>312</v>
      </c>
      <c r="AZ34" s="40">
        <f>IF(AY34&gt;=91, 4.00, IF(AY34&gt;=81, 3.50, IF(AY34&gt;=70, 3.00, IF(AY34&gt;=65, 2.50, IF(AY34&gt;=60, 2.00, IF(AY34&gt;=55, 1.50, IF(AY34&gt;=50, 1.00, 0.00)))))))</f>
      </c>
      <c r="BA34" s="44">
        <f>IF(AY34&gt;=91,"A",IF(AY34&gt;=81,"B+",IF(AY34&gt;=70,"B",IF(AY34&gt;=65,"C+",IF(AY34&gt;=60,"C",IF(AY34&gt;=55,"D+",IF(AY34&gt;=50,"D","F")))))))</f>
      </c>
      <c r="BB34" s="112">
        <v>84</v>
      </c>
      <c r="BC34" s="49">
        <f>IF(BB34&gt;=91, 4.00, IF(BB34&gt;=81, 3.50, IF(BB34&gt;=70, 3.00, IF(BB34&gt;=65, 2.50, IF(BB34&gt;=60, 2.00, IF(BB34&gt;=55, 1.50, IF(BB34&gt;=50, 1.00, 0.00)))))))</f>
      </c>
      <c r="BD34" s="49">
        <f>IF(BB34&gt;=91,"A",IF(BB34&gt;=81,"B+",IF(BB34&gt;=70,"B",IF(BB34&gt;=65,"C+",IF(BB34&gt;=60,"C",IF(BB34&gt;=55,"D+",IF(BB34&gt;=50,"D","F")))))))</f>
      </c>
      <c r="BE34" s="40" t="str">
        <f>IF(BC34&gt;90,"A",IF(BC34&gt;80,"B+",IF(BC34&gt;69,"B",IF(BC34&gt;64,"C+",IF(BC34&gt;59,"C",IF(BC34&gt;54,"D+",IF(BC34&gt;49,"D",IF(BC34&gt;=0,"F"))))))))</f>
        <v>F</v>
      </c>
      <c r="BF34" s="49">
        <f>IF(BE34&gt;=91, 4.00, IF(BE34&gt;=81, 3.50, IF(BE34&gt;=70, 3.00, IF(BE34&gt;=65, 2.50, IF(BE34&gt;=60, 2.00, IF(BE34&gt;=55, 1.50, IF(BE34&gt;=50, 1.00, 0.00)))))))</f>
      </c>
      <c r="BG34" s="49">
        <f>IF(BE34&gt;=91,"A",IF(BE34&gt;=81,"B+",IF(BE34&gt;=70,"B",IF(BE34&gt;=65,"C+",IF(BE34&gt;=60,"C",IF(BE34&gt;=55,"D+",IF(BE34&gt;=50,"D","F")))))))</f>
      </c>
      <c r="BH34" s="40" t="str">
        <f>IF(BF34&gt;90,"A",IF(BF34&gt;80,"B+",IF(BF34&gt;69,"B",IF(BF34&gt;64,"C+",IF(BF34&gt;59,"C",IF(BF34&gt;54,"D+",IF(BF34&gt;49,"D",IF(BF34&gt;=0,"F"))))))))</f>
        <v>F</v>
      </c>
      <c r="BI34" s="49">
        <f>IF(BH34&gt;=91, 4.00, IF(BH34&gt;=81, 3.50, IF(BH34&gt;=70, 3.00, IF(BH34&gt;=65, 2.50, IF(BH34&gt;=60, 2.00, IF(BH34&gt;=55, 1.50, IF(BH34&gt;=50, 1.00, 0.00)))))))</f>
      </c>
      <c r="BJ34" s="49">
        <f>IF(BH34&gt;=91,"A",IF(BH34&gt;=81,"B+",IF(BH34&gt;=70,"B",IF(BH34&gt;=65,"C+",IF(BH34&gt;=60,"C",IF(BH34&gt;=55,"D+",IF(BH34&gt;=50,"D","F")))))))</f>
      </c>
      <c r="BK34" s="40" t="str">
        <f>IF(BI34&gt;90,"A",IF(BI34&gt;80,"B+",IF(BI34&gt;69,"B",IF(BI34&gt;64,"C+",IF(BI34&gt;59,"C",IF(BI34&gt;54,"D+",IF(BI34&gt;49,"D",IF(BI34&gt;=0,"F"))))))))</f>
        <v>F</v>
      </c>
      <c r="BL34" s="49">
        <f>IF(BK34&gt;=91, 4.00, IF(BK34&gt;=81, 3.50, IF(BK34&gt;=70, 3.00, IF(BK34&gt;=65, 2.50, IF(BK34&gt;=60, 2.00, IF(BK34&gt;=55, 1.50, IF(BK34&gt;=50, 1.00, 0.00)))))))</f>
      </c>
      <c r="BM34" s="49">
        <f>IF(BK34&gt;=91,"A",IF(BK34&gt;=81,"B+",IF(BK34&gt;=70,"B",IF(BK34&gt;=65,"C+",IF(BK34&gt;=60,"C",IF(BK34&gt;=55,"D+",IF(BK34&gt;=50,"D","F")))))))</f>
      </c>
      <c r="BN34" s="40">
        <f>ROUND((AN34*3+AQ34*2+AT34*1+AW34*1+AZ34*1+BC34*2+BF34*2+BI34*1+BL34*2)/15, 2)</f>
      </c>
      <c r="BO34" s="49"/>
      <c r="BP34" s="49" t="str">
        <f>IF(BO34&gt;90,"4.00",IF(BO34&gt;80,"3.50",IF(BO34&gt;69,"3.00",IF(BO34&gt;64,"2.50",IF(BO34&gt;59,"2.00",IF(BO34&gt;54,"1.50",IF(BO34&gt;49,"1.00","0.00")))))))</f>
        <v>0.00</v>
      </c>
      <c r="BQ34" s="40" t="str">
        <f>IF(BO34&gt;90,"A",IF(BO34&gt;80,"B+",IF(BO34&gt;69,"B",IF(BO34&gt;64,"C+",IF(BO34&gt;59,"C",IF(BO34&gt;54,"D+",IF(BO34&gt;49,"D",IF(BO34&gt;=0,"F"))))))))</f>
        <v>F</v>
      </c>
      <c r="BR34" s="49"/>
      <c r="BS34" s="49" t="str">
        <f>IF(BR34&gt;90,"4.00",IF(BR34&gt;80,"3.50",IF(BR34&gt;69,"3.00",IF(BR34&gt;64,"2.50",IF(BR34&gt;59,"2.00",IF(BR34&gt;54,"1.50",IF(BR34&gt;49,"1.00","0.00")))))))</f>
        <v>0.00</v>
      </c>
      <c r="BT34" s="40" t="str">
        <f>IF(BR34&gt;90,"A",IF(BR34&gt;80,"B+",IF(BR34&gt;69,"B",IF(BR34&gt;64,"C+",IF(BR34&gt;59,"C",IF(BR34&gt;54,"D+",IF(BR34&gt;49,"D",IF(BR34&gt;=0,"F"))))))))</f>
        <v>F</v>
      </c>
      <c r="BU34" s="49"/>
      <c r="BV34" s="49" t="str">
        <f>IF(BU34&gt;90,"4.00",IF(BU34&gt;80,"3.50",IF(BU34&gt;69,"3.00",IF(BU34&gt;64,"2.50",IF(BU34&gt;59,"2.00",IF(BU34&gt;54,"1.50",IF(BU34&gt;49,"1.00","0.00")))))))</f>
        <v>0.00</v>
      </c>
      <c r="BW34" s="40" t="str">
        <f>IF(BU34&gt;90,"A",IF(BU34&gt;80,"B+",IF(BU34&gt;69,"B",IF(BU34&gt;64,"C+",IF(BU34&gt;59,"C",IF(BU34&gt;54,"D+",IF(BU34&gt;49,"D",IF(BU34&gt;=0,"F"))))))))</f>
        <v>F</v>
      </c>
      <c r="BX34" s="49"/>
      <c r="BY34" s="49" t="str">
        <f>IF(BX34&gt;90,"4.00",IF(BX34&gt;80,"3.50",IF(BX34&gt;69,"3.00",IF(BX34&gt;64,"2.50",IF(BX34&gt;59,"2.00",IF(BX34&gt;54,"1.50",IF(BX34&gt;49,"1.00","0.00")))))))</f>
        <v>0.00</v>
      </c>
      <c r="BZ34" s="40" t="str">
        <f>IF(BX34&gt;90,"A",IF(BX34&gt;80,"B+",IF(BX34&gt;69,"B",IF(BX34&gt;64,"C+",IF(BX34&gt;59,"C",IF(BX34&gt;54,"D+",IF(BX34&gt;49,"D",IF(BX34&gt;=0,"F"))))))))</f>
        <v>F</v>
      </c>
      <c r="CA34" s="49"/>
      <c r="CB34" s="49" t="str">
        <f>IF(CA34&gt;90,"4.00",IF(CA34&gt;80,"3.50",IF(CA34&gt;69,"3.00",IF(CA34&gt;64,"2.50",IF(CA34&gt;59,"2.00",IF(CA34&gt;54,"1.50",IF(CA34&gt;49,"1.00","0.00")))))))</f>
        <v>0.00</v>
      </c>
      <c r="CC34" s="40" t="str">
        <f>IF(CA34&gt;90,"A",IF(CA34&gt;80,"B+",IF(CA34&gt;69,"B",IF(CA34&gt;64,"C+",IF(CA34&gt;59,"C",IF(CA34&gt;54,"D+",IF(CA34&gt;49,"D",IF(CA34&gt;=0,"F"))))))))</f>
        <v>F</v>
      </c>
      <c r="CD34" s="50">
        <f>(BD34*3+BG34*2+BJ34*1+BM34*2+BP34*1+BS34*1+BV34*2+BY34*2+CB34*2)/(3+2+1+2+1+1+2+2+2)</f>
        <v>0</v>
      </c>
      <c r="CE34" s="50">
        <f>(AR34+CD34)/2</f>
        <v>0</v>
      </c>
      <c r="CF34" s="51">
        <f>RANK(CE34,$CE$7:CE63)</f>
        <v>1</v>
      </c>
      <c r="CG34" s="76"/>
      <c r="CH34" s="52"/>
      <c r="CI34" s="52"/>
      <c r="CJ34" s="52"/>
    </row>
    <row r="35" ht="20" customHeight="1" spans="1:88" s="53" customFormat="1" x14ac:dyDescent="0.25">
      <c r="A35" s="40">
        <v>29</v>
      </c>
      <c r="B35" s="40" t="s">
        <v>313</v>
      </c>
      <c r="C35" s="40" t="s">
        <v>43</v>
      </c>
      <c r="D35" s="40" t="s">
        <v>211</v>
      </c>
      <c r="E35" s="40" t="s">
        <v>212</v>
      </c>
      <c r="F35" s="40" t="s">
        <v>314</v>
      </c>
      <c r="G35" s="40" t="s">
        <v>214</v>
      </c>
      <c r="H35" s="111"/>
      <c r="I35" s="112"/>
      <c r="J35" s="40">
        <v>1</v>
      </c>
      <c r="K35" s="42">
        <v>86</v>
      </c>
      <c r="L35" s="40">
        <f>IF(K35&gt;=91, 4.00, IF(K35&gt;=81, 3.50, IF(K35&gt;=70, 3.00, IF(K35&gt;=65, 2.50, IF(K35&gt;=60, 2.00, IF(K35&gt;=55, 1.50, IF(K35&gt;=50, 1.00, 0.00)))))))</f>
      </c>
      <c r="M35" s="40">
        <f>IF(K35&gt;=91,"A",IF(K35&gt;=81,"B+",IF(K35&gt;=70,"B",IF(K35&gt;=65,"C+",IF(K35&gt;=60,"C",IF(K35&gt;=55,"D+",IF(K35&gt;=50,"D","F")))))))</f>
      </c>
      <c r="N35" s="42">
        <v>89</v>
      </c>
      <c r="O35" s="40">
        <f>IF(N35&gt;=91, 4.00, IF(N35&gt;=81, 3.50, IF(N35&gt;=70, 3.00, IF(N35&gt;=65, 2.50, IF(N35&gt;=60, 2.00, IF(N35&gt;=55, 1.50, IF(N35&gt;=50, 1.00, 0.00)))))))</f>
      </c>
      <c r="P35" s="40">
        <f>IF(N35&gt;=91,"A",IF(N35&gt;=81,"B+",IF(N35&gt;=70,"B",IF(N35&gt;=65,"C+",IF(N35&gt;=60,"C",IF(N35&gt;=55,"D+",IF(N35&gt;=50,"D","F")))))))</f>
      </c>
      <c r="Q35" s="42">
        <v>92</v>
      </c>
      <c r="R35" s="40">
        <f>IF(Q35&gt;=91, 4.00, IF(Q35&gt;=81, 3.50, IF(Q35&gt;=70, 3.00, IF(Q35&gt;=65, 2.50, IF(Q35&gt;=60, 2.00, IF(Q35&gt;=55, 1.50, IF(Q35&gt;=50, 1.00, 0.00)))))))</f>
      </c>
      <c r="S35" s="40">
        <f>IF(Q35&gt;=91,"A",IF(Q35&gt;=81,"B+",IF(Q35&gt;=70,"B",IF(Q35&gt;=65,"C+",IF(Q35&gt;=60,"C",IF(Q35&gt;=55,"D+",IF(Q35&gt;=50,"D","F")))))))</f>
      </c>
      <c r="T35" s="40">
        <v>95</v>
      </c>
      <c r="U35" s="40">
        <f>IF(T35&gt;=91, 4.00, IF(T35&gt;=81, 3.50, IF(T35&gt;=70, 3.00, IF(T35&gt;=65, 2.50, IF(T35&gt;=60, 2.00, IF(T35&gt;=55, 1.50, IF(T35&gt;=50, 1.00, 0.00)))))))</f>
      </c>
      <c r="V35" s="40">
        <f>IF(T35&gt;=91,"A",IF(T35&gt;=81,"B+",IF(T35&gt;=70,"B",IF(T35&gt;=65,"C+",IF(T35&gt;=60,"C",IF(T35&gt;=55,"D+",IF(T35&gt;=50,"D","F")))))))</f>
      </c>
      <c r="W35" s="42">
        <v>77</v>
      </c>
      <c r="X35" s="40">
        <f>IF(W35&gt;=91, 4.00, IF(W35&gt;=81, 3.50, IF(W35&gt;=70, 3.00, IF(W35&gt;=65, 2.50, IF(W35&gt;=60, 2.00, IF(W35&gt;=55, 1.50, IF(W35&gt;=50, 1.00, 0.00)))))))</f>
      </c>
      <c r="Y35" s="40">
        <f>IF(W35&gt;=91,"A",IF(W35&gt;=81,"B+",IF(W35&gt;=70,"B",IF(W35&gt;=65,"C+",IF(W35&gt;=60,"C",IF(W35&gt;=55,"D+",IF(W35&gt;=50,"D","F")))))))</f>
      </c>
      <c r="Z35" s="40">
        <v>80</v>
      </c>
      <c r="AA35" s="40">
        <f>IF(Z35&gt;=91, 4.00, IF(Z35&gt;=81, 3.50, IF(Z35&gt;=70, 3.00, IF(Z35&gt;=65, 2.50, IF(Z35&gt;=60, 2.00, IF(Z35&gt;=55, 1.50, IF(Z35&gt;=50, 1.00, 0.00)))))))</f>
      </c>
      <c r="AB35" s="40">
        <f>IF(Z35&gt;=91,"A",IF(Z35&gt;=81,"B+",IF(Z35&gt;=70,"B",IF(Z35&gt;=65,"C+",IF(Z35&gt;=60,"C",IF(Z35&gt;=55,"D+",IF(Z35&gt;=50,"D","F")))))))</f>
      </c>
      <c r="AC35" s="40">
        <v>83</v>
      </c>
      <c r="AD35" s="40">
        <f>IF(AC35&gt;=91, 4.00, IF(AC35&gt;=81, 3.50, IF(AC35&gt;=70, 3.00, IF(AC35&gt;=65, 2.50, IF(AC35&gt;=60, 2.00, IF(AC35&gt;=55, 1.50, IF(AC35&gt;=50, 1.00, 0.00)))))))</f>
      </c>
      <c r="AE35" s="40">
        <f>IF(AC35&gt;=91,"A",IF(AC35&gt;=81,"B+",IF(AC35&gt;=70,"B",IF(AC35&gt;=65,"C+",IF(AC35&gt;=60,"C",IF(AC35&gt;=55,"D+",IF(AC35&gt;=50,"D","F")))))))</f>
      </c>
      <c r="AF35" s="40">
        <v>86</v>
      </c>
      <c r="AG35" s="40">
        <f>IF(AF35&gt;=91, 4.00, IF(AF35&gt;=81, 3.50, IF(AF35&gt;=70, 3.00, IF(AF35&gt;=65, 2.50, IF(AF35&gt;=60, 2.00, IF(AF35&gt;=55, 1.50, IF(AF35&gt;=50, 1.00, 0.00)))))))</f>
      </c>
      <c r="AH35" s="40">
        <f>IF(AF35&gt;=91,"A",IF(AF35&gt;=81,"B+",IF(AF35&gt;=70,"B",IF(AF35&gt;=65,"C+",IF(AF35&gt;=60,"C",IF(AF35&gt;=55,"D+",IF(AF35&gt;=50,"D","F")))))))</f>
      </c>
      <c r="AI35" s="40">
        <v>89</v>
      </c>
      <c r="AJ35" s="40">
        <f>IF(AI35&gt;=91, 4.00, IF(AI35&gt;=81, 3.50, IF(AI35&gt;=70, 3.00, IF(AI35&gt;=65, 2.50, IF(AI35&gt;=60, 2.00, IF(AI35&gt;=55, 1.50, IF(AI35&gt;=50, 1.00, 0.00)))))))</f>
      </c>
      <c r="AK35" s="40">
        <f>IF(AI35&gt;=91,"A",IF(AI35&gt;=81,"B+",IF(AI35&gt;=70,"B",IF(AI35&gt;=65,"C+",IF(AI35&gt;=60,"C",IF(AI35&gt;=55,"D+",IF(AI35&gt;=50,"D","F")))))))</f>
      </c>
      <c r="AL35" s="40">
        <f>ROUND((L35*3+O35*2+R35*1+U35*1+X35*1+AA35*2+AD35*2+AG35*1+AJ35*2)/15, 2)</f>
      </c>
      <c r="AM35" s="40" t="str">
        <f>IF(AL35&gt;90,"4.00",IF(AL35&gt;80,"3.50",IF(AL35&gt;69,"3.00",IF(AL35&gt;64,"2.50",IF(AL35&gt;59,"2.00",IF(AL35&gt;54,"1.50",IF(AL35&gt;49,"1.00","0.00")))))))</f>
        <v>0.00</v>
      </c>
      <c r="AN35" s="40">
        <f>IF(AM35&gt;=91, 4.00, IF(AM35&gt;=81, 3.50, IF(AM35&gt;=70, 3.00, IF(AM35&gt;=65, 2.50, IF(AM35&gt;=60, 2.00, IF(AM35&gt;=55, 1.50, IF(AM35&gt;=50, 1.00, 0.00)))))))</f>
      </c>
      <c r="AO35" s="40">
        <f>IF(AM35&gt;=91,"A",IF(AM35&gt;=81,"B+",IF(AM35&gt;=70,"B",IF(AM35&gt;=65,"C+",IF(AM35&gt;=60,"C",IF(AM35&gt;=55,"D+",IF(AM35&gt;=50,"D","F")))))))</f>
      </c>
      <c r="AP35" s="40" t="str">
        <f>IF(AO35&gt;90,"4.00",IF(AO35&gt;80,"3.50",IF(AO35&gt;69,"3.00",IF(AO35&gt;64,"2.50",IF(AO35&gt;59,"2.00",IF(AO35&gt;54,"1.50",IF(AO35&gt;49,"1.00","0.00")))))))</f>
        <v>0.00</v>
      </c>
      <c r="AQ35" s="40">
        <f>IF(AP35&gt;=91, 4.00, IF(AP35&gt;=81, 3.50, IF(AP35&gt;=70, 3.00, IF(AP35&gt;=65, 2.50, IF(AP35&gt;=60, 2.00, IF(AP35&gt;=55, 1.50, IF(AP35&gt;=50, 1.00, 0.00)))))))</f>
      </c>
      <c r="AR35" s="40">
        <f>IF(AP35&gt;=91,"A",IF(AP35&gt;=81,"B+",IF(AP35&gt;=70,"B",IF(AP35&gt;=65,"C+",IF(AP35&gt;=60,"C",IF(AP35&gt;=55,"D+",IF(AP35&gt;=50,"D","F")))))))</f>
      </c>
      <c r="AS35" s="52">
        <v>78</v>
      </c>
      <c r="AT35" s="40">
        <f>IF(AS35&gt;=91, 4.00, IF(AS35&gt;=81, 3.50, IF(AS35&gt;=70, 3.00, IF(AS35&gt;=65, 2.50, IF(AS35&gt;=60, 2.00, IF(AS35&gt;=55, 1.50, IF(AS35&gt;=50, 1.00, 0.00)))))))</f>
      </c>
      <c r="AU35" s="40">
        <f>IF(AS35&gt;=91,"A",IF(AS35&gt;=81,"B+",IF(AS35&gt;=70,"B",IF(AS35&gt;=65,"C+",IF(AS35&gt;=60,"C",IF(AS35&gt;=55,"D+",IF(AS35&gt;=50,"D","F")))))))</f>
      </c>
      <c r="AV35" s="40" t="s">
        <v>43</v>
      </c>
      <c r="AW35" s="40">
        <f>IF(AV35&gt;=91, 4.00, IF(AV35&gt;=81, 3.50, IF(AV35&gt;=70, 3.00, IF(AV35&gt;=65, 2.50, IF(AV35&gt;=60, 2.00, IF(AV35&gt;=55, 1.50, IF(AV35&gt;=50, 1.00, 0.00)))))))</f>
      </c>
      <c r="AX35" s="40">
        <f>IF(AV35&gt;=91,"A",IF(AV35&gt;=81,"B+",IF(AV35&gt;=70,"B",IF(AV35&gt;=65,"C+",IF(AV35&gt;=60,"C",IF(AV35&gt;=55,"D+",IF(AV35&gt;=50,"D","F")))))))</f>
      </c>
      <c r="AY35" s="40" t="s">
        <v>314</v>
      </c>
      <c r="AZ35" s="40">
        <f>IF(AY35&gt;=91, 4.00, IF(AY35&gt;=81, 3.50, IF(AY35&gt;=70, 3.00, IF(AY35&gt;=65, 2.50, IF(AY35&gt;=60, 2.00, IF(AY35&gt;=55, 1.50, IF(AY35&gt;=50, 1.00, 0.00)))))))</f>
      </c>
      <c r="BA35" s="111">
        <f>IF(AY35&gt;=91,"A",IF(AY35&gt;=81,"B+",IF(AY35&gt;=70,"B",IF(AY35&gt;=65,"C+",IF(AY35&gt;=60,"C",IF(AY35&gt;=55,"D+",IF(AY35&gt;=50,"D","F")))))))</f>
      </c>
      <c r="BB35" s="112">
        <v>87</v>
      </c>
      <c r="BC35" s="49">
        <f>IF(BB35&gt;=91, 4.00, IF(BB35&gt;=81, 3.50, IF(BB35&gt;=70, 3.00, IF(BB35&gt;=65, 2.50, IF(BB35&gt;=60, 2.00, IF(BB35&gt;=55, 1.50, IF(BB35&gt;=50, 1.00, 0.00)))))))</f>
      </c>
      <c r="BD35" s="49">
        <f>IF(BB35&gt;=91,"A",IF(BB35&gt;=81,"B+",IF(BB35&gt;=70,"B",IF(BB35&gt;=65,"C+",IF(BB35&gt;=60,"C",IF(BB35&gt;=55,"D+",IF(BB35&gt;=50,"D","F")))))))</f>
      </c>
      <c r="BE35" s="40" t="str">
        <f>IF(BC35&gt;90,"A",IF(BC35&gt;80,"B+",IF(BC35&gt;69,"B",IF(BC35&gt;64,"C+",IF(BC35&gt;59,"C",IF(BC35&gt;54,"D+",IF(BC35&gt;49,"D",IF(BC35&gt;=0,"F"))))))))</f>
        <v>F</v>
      </c>
      <c r="BF35" s="49">
        <f>IF(BE35&gt;=91, 4.00, IF(BE35&gt;=81, 3.50, IF(BE35&gt;=70, 3.00, IF(BE35&gt;=65, 2.50, IF(BE35&gt;=60, 2.00, IF(BE35&gt;=55, 1.50, IF(BE35&gt;=50, 1.00, 0.00)))))))</f>
      </c>
      <c r="BG35" s="49">
        <f>IF(BE35&gt;=91,"A",IF(BE35&gt;=81,"B+",IF(BE35&gt;=70,"B",IF(BE35&gt;=65,"C+",IF(BE35&gt;=60,"C",IF(BE35&gt;=55,"D+",IF(BE35&gt;=50,"D","F")))))))</f>
      </c>
      <c r="BH35" s="40" t="str">
        <f>IF(BF35&gt;90,"A",IF(BF35&gt;80,"B+",IF(BF35&gt;69,"B",IF(BF35&gt;64,"C+",IF(BF35&gt;59,"C",IF(BF35&gt;54,"D+",IF(BF35&gt;49,"D",IF(BF35&gt;=0,"F"))))))))</f>
        <v>F</v>
      </c>
      <c r="BI35" s="49">
        <f>IF(BH35&gt;=91, 4.00, IF(BH35&gt;=81, 3.50, IF(BH35&gt;=70, 3.00, IF(BH35&gt;=65, 2.50, IF(BH35&gt;=60, 2.00, IF(BH35&gt;=55, 1.50, IF(BH35&gt;=50, 1.00, 0.00)))))))</f>
      </c>
      <c r="BJ35" s="49">
        <f>IF(BH35&gt;=91,"A",IF(BH35&gt;=81,"B+",IF(BH35&gt;=70,"B",IF(BH35&gt;=65,"C+",IF(BH35&gt;=60,"C",IF(BH35&gt;=55,"D+",IF(BH35&gt;=50,"D","F")))))))</f>
      </c>
      <c r="BK35" s="40" t="str">
        <f>IF(BI35&gt;90,"A",IF(BI35&gt;80,"B+",IF(BI35&gt;69,"B",IF(BI35&gt;64,"C+",IF(BI35&gt;59,"C",IF(BI35&gt;54,"D+",IF(BI35&gt;49,"D",IF(BI35&gt;=0,"F"))))))))</f>
        <v>F</v>
      </c>
      <c r="BL35" s="49">
        <f>IF(BK35&gt;=91, 4.00, IF(BK35&gt;=81, 3.50, IF(BK35&gt;=70, 3.00, IF(BK35&gt;=65, 2.50, IF(BK35&gt;=60, 2.00, IF(BK35&gt;=55, 1.50, IF(BK35&gt;=50, 1.00, 0.00)))))))</f>
      </c>
      <c r="BM35" s="49">
        <f>IF(BK35&gt;=91,"A",IF(BK35&gt;=81,"B+",IF(BK35&gt;=70,"B",IF(BK35&gt;=65,"C+",IF(BK35&gt;=60,"C",IF(BK35&gt;=55,"D+",IF(BK35&gt;=50,"D","F")))))))</f>
      </c>
      <c r="BN35" s="40">
        <f>ROUND((AN35*3+AQ35*2+AT35*1+AW35*1+AZ35*1+BC35*2+BF35*2+BI35*1+BL35*2)/15, 2)</f>
      </c>
      <c r="BO35" s="49"/>
      <c r="BP35" s="49" t="str">
        <f>IF(BO35&gt;90,"4.00",IF(BO35&gt;80,"3.50",IF(BO35&gt;69,"3.00",IF(BO35&gt;64,"2.50",IF(BO35&gt;59,"2.00",IF(BO35&gt;54,"1.50",IF(BO35&gt;49,"1.00","0.00")))))))</f>
        <v>0.00</v>
      </c>
      <c r="BQ35" s="40" t="str">
        <f>IF(BO35&gt;90,"A",IF(BO35&gt;80,"B+",IF(BO35&gt;69,"B",IF(BO35&gt;64,"C+",IF(BO35&gt;59,"C",IF(BO35&gt;54,"D+",IF(BO35&gt;49,"D",IF(BO35&gt;=0,"F"))))))))</f>
        <v>F</v>
      </c>
      <c r="BR35" s="49"/>
      <c r="BS35" s="49" t="str">
        <f>IF(BR35&gt;90,"4.00",IF(BR35&gt;80,"3.50",IF(BR35&gt;69,"3.00",IF(BR35&gt;64,"2.50",IF(BR35&gt;59,"2.00",IF(BR35&gt;54,"1.50",IF(BR35&gt;49,"1.00","0.00")))))))</f>
        <v>0.00</v>
      </c>
      <c r="BT35" s="40" t="str">
        <f>IF(BR35&gt;90,"A",IF(BR35&gt;80,"B+",IF(BR35&gt;69,"B",IF(BR35&gt;64,"C+",IF(BR35&gt;59,"C",IF(BR35&gt;54,"D+",IF(BR35&gt;49,"D",IF(BR35&gt;=0,"F"))))))))</f>
        <v>F</v>
      </c>
      <c r="BU35" s="49"/>
      <c r="BV35" s="49" t="str">
        <f>IF(BU35&gt;90,"4.00",IF(BU35&gt;80,"3.50",IF(BU35&gt;69,"3.00",IF(BU35&gt;64,"2.50",IF(BU35&gt;59,"2.00",IF(BU35&gt;54,"1.50",IF(BU35&gt;49,"1.00","0.00")))))))</f>
        <v>0.00</v>
      </c>
      <c r="BW35" s="40" t="str">
        <f>IF(BU35&gt;90,"A",IF(BU35&gt;80,"B+",IF(BU35&gt;69,"B",IF(BU35&gt;64,"C+",IF(BU35&gt;59,"C",IF(BU35&gt;54,"D+",IF(BU35&gt;49,"D",IF(BU35&gt;=0,"F"))))))))</f>
        <v>F</v>
      </c>
      <c r="BX35" s="49"/>
      <c r="BY35" s="49" t="str">
        <f>IF(BX35&gt;90,"4.00",IF(BX35&gt;80,"3.50",IF(BX35&gt;69,"3.00",IF(BX35&gt;64,"2.50",IF(BX35&gt;59,"2.00",IF(BX35&gt;54,"1.50",IF(BX35&gt;49,"1.00","0.00")))))))</f>
        <v>0.00</v>
      </c>
      <c r="BZ35" s="40" t="str">
        <f>IF(BX35&gt;90,"A",IF(BX35&gt;80,"B+",IF(BX35&gt;69,"B",IF(BX35&gt;64,"C+",IF(BX35&gt;59,"C",IF(BX35&gt;54,"D+",IF(BX35&gt;49,"D",IF(BX35&gt;=0,"F"))))))))</f>
        <v>F</v>
      </c>
      <c r="CA35" s="49"/>
      <c r="CB35" s="49" t="str">
        <f>IF(CA35&gt;90,"4.00",IF(CA35&gt;80,"3.50",IF(CA35&gt;69,"3.00",IF(CA35&gt;64,"2.50",IF(CA35&gt;59,"2.00",IF(CA35&gt;54,"1.50",IF(CA35&gt;49,"1.00","0.00")))))))</f>
        <v>0.00</v>
      </c>
      <c r="CC35" s="40" t="str">
        <f>IF(CA35&gt;90,"A",IF(CA35&gt;80,"B+",IF(CA35&gt;69,"B",IF(CA35&gt;64,"C+",IF(CA35&gt;59,"C",IF(CA35&gt;54,"D+",IF(CA35&gt;49,"D",IF(CA35&gt;=0,"F"))))))))</f>
        <v>F</v>
      </c>
      <c r="CD35" s="50">
        <f>(BD35*3+BG35*2+BJ35*1+BM35*2+BP35*1+BS35*1+BV35*2+BY35*2+CB35*2)/(3+2+1+2+1+1+2+2+2)</f>
        <v>0</v>
      </c>
      <c r="CE35" s="50">
        <f>(AR35+CD35)/2</f>
        <v>0</v>
      </c>
      <c r="CF35" s="51">
        <f>RANK(CE35,$CE$7:CE64)</f>
        <v>1</v>
      </c>
      <c r="CG35" s="67"/>
      <c r="CH35" s="52"/>
      <c r="CI35" s="52"/>
      <c r="CJ35" s="52"/>
    </row>
    <row r="36" ht="20" customHeight="1" spans="1:88" s="53" customFormat="1" x14ac:dyDescent="0.25">
      <c r="A36" s="40">
        <v>30</v>
      </c>
      <c r="B36" s="40" t="s">
        <v>141</v>
      </c>
      <c r="C36" s="40" t="s">
        <v>51</v>
      </c>
      <c r="D36" s="40" t="s">
        <v>218</v>
      </c>
      <c r="E36" s="40" t="s">
        <v>219</v>
      </c>
      <c r="F36" s="40" t="s">
        <v>315</v>
      </c>
      <c r="G36" s="40" t="s">
        <v>221</v>
      </c>
      <c r="H36" s="44"/>
      <c r="I36" s="112"/>
      <c r="J36" s="40">
        <v>1</v>
      </c>
      <c r="K36" s="42">
        <v>89</v>
      </c>
      <c r="L36" s="40">
        <f>IF(K36&gt;=91, 4.00, IF(K36&gt;=81, 3.50, IF(K36&gt;=70, 3.00, IF(K36&gt;=65, 2.50, IF(K36&gt;=60, 2.00, IF(K36&gt;=55, 1.50, IF(K36&gt;=50, 1.00, 0.00)))))))</f>
      </c>
      <c r="M36" s="40">
        <f>IF(K36&gt;=91,"A",IF(K36&gt;=81,"B+",IF(K36&gt;=70,"B",IF(K36&gt;=65,"C+",IF(K36&gt;=60,"C",IF(K36&gt;=55,"D+",IF(K36&gt;=50,"D","F")))))))</f>
      </c>
      <c r="N36" s="42">
        <v>92</v>
      </c>
      <c r="O36" s="40">
        <f>IF(N36&gt;=91, 4.00, IF(N36&gt;=81, 3.50, IF(N36&gt;=70, 3.00, IF(N36&gt;=65, 2.50, IF(N36&gt;=60, 2.00, IF(N36&gt;=55, 1.50, IF(N36&gt;=50, 1.00, 0.00)))))))</f>
      </c>
      <c r="P36" s="40">
        <f>IF(N36&gt;=91,"A",IF(N36&gt;=81,"B+",IF(N36&gt;=70,"B",IF(N36&gt;=65,"C+",IF(N36&gt;=60,"C",IF(N36&gt;=55,"D+",IF(N36&gt;=50,"D","F")))))))</f>
      </c>
      <c r="Q36" s="42">
        <v>95</v>
      </c>
      <c r="R36" s="40">
        <f>IF(Q36&gt;=91, 4.00, IF(Q36&gt;=81, 3.50, IF(Q36&gt;=70, 3.00, IF(Q36&gt;=65, 2.50, IF(Q36&gt;=60, 2.00, IF(Q36&gt;=55, 1.50, IF(Q36&gt;=50, 1.00, 0.00)))))))</f>
      </c>
      <c r="S36" s="40">
        <f>IF(Q36&gt;=91,"A",IF(Q36&gt;=81,"B+",IF(Q36&gt;=70,"B",IF(Q36&gt;=65,"C+",IF(Q36&gt;=60,"C",IF(Q36&gt;=55,"D+",IF(Q36&gt;=50,"D","F")))))))</f>
      </c>
      <c r="T36" s="40">
        <v>77</v>
      </c>
      <c r="U36" s="40">
        <f>IF(T36&gt;=91, 4.00, IF(T36&gt;=81, 3.50, IF(T36&gt;=70, 3.00, IF(T36&gt;=65, 2.50, IF(T36&gt;=60, 2.00, IF(T36&gt;=55, 1.50, IF(T36&gt;=50, 1.00, 0.00)))))))</f>
      </c>
      <c r="V36" s="40">
        <f>IF(T36&gt;=91,"A",IF(T36&gt;=81,"B+",IF(T36&gt;=70,"B",IF(T36&gt;=65,"C+",IF(T36&gt;=60,"C",IF(T36&gt;=55,"D+",IF(T36&gt;=50,"D","F")))))))</f>
      </c>
      <c r="W36" s="42">
        <v>80</v>
      </c>
      <c r="X36" s="40">
        <f>IF(W36&gt;=91, 4.00, IF(W36&gt;=81, 3.50, IF(W36&gt;=70, 3.00, IF(W36&gt;=65, 2.50, IF(W36&gt;=60, 2.00, IF(W36&gt;=55, 1.50, IF(W36&gt;=50, 1.00, 0.00)))))))</f>
      </c>
      <c r="Y36" s="40">
        <f>IF(W36&gt;=91,"A",IF(W36&gt;=81,"B+",IF(W36&gt;=70,"B",IF(W36&gt;=65,"C+",IF(W36&gt;=60,"C",IF(W36&gt;=55,"D+",IF(W36&gt;=50,"D","F")))))))</f>
      </c>
      <c r="Z36" s="40">
        <v>83</v>
      </c>
      <c r="AA36" s="40">
        <f>IF(Z36&gt;=91, 4.00, IF(Z36&gt;=81, 3.50, IF(Z36&gt;=70, 3.00, IF(Z36&gt;=65, 2.50, IF(Z36&gt;=60, 2.00, IF(Z36&gt;=55, 1.50, IF(Z36&gt;=50, 1.00, 0.00)))))))</f>
      </c>
      <c r="AB36" s="40">
        <f>IF(Z36&gt;=91,"A",IF(Z36&gt;=81,"B+",IF(Z36&gt;=70,"B",IF(Z36&gt;=65,"C+",IF(Z36&gt;=60,"C",IF(Z36&gt;=55,"D+",IF(Z36&gt;=50,"D","F")))))))</f>
      </c>
      <c r="AC36" s="40">
        <v>86</v>
      </c>
      <c r="AD36" s="40">
        <f>IF(AC36&gt;=91, 4.00, IF(AC36&gt;=81, 3.50, IF(AC36&gt;=70, 3.00, IF(AC36&gt;=65, 2.50, IF(AC36&gt;=60, 2.00, IF(AC36&gt;=55, 1.50, IF(AC36&gt;=50, 1.00, 0.00)))))))</f>
      </c>
      <c r="AE36" s="40">
        <f>IF(AC36&gt;=91,"A",IF(AC36&gt;=81,"B+",IF(AC36&gt;=70,"B",IF(AC36&gt;=65,"C+",IF(AC36&gt;=60,"C",IF(AC36&gt;=55,"D+",IF(AC36&gt;=50,"D","F")))))))</f>
      </c>
      <c r="AF36" s="40">
        <v>89</v>
      </c>
      <c r="AG36" s="40">
        <f>IF(AF36&gt;=91, 4.00, IF(AF36&gt;=81, 3.50, IF(AF36&gt;=70, 3.00, IF(AF36&gt;=65, 2.50, IF(AF36&gt;=60, 2.00, IF(AF36&gt;=55, 1.50, IF(AF36&gt;=50, 1.00, 0.00)))))))</f>
      </c>
      <c r="AH36" s="40">
        <f>IF(AF36&gt;=91,"A",IF(AF36&gt;=81,"B+",IF(AF36&gt;=70,"B",IF(AF36&gt;=65,"C+",IF(AF36&gt;=60,"C",IF(AF36&gt;=55,"D+",IF(AF36&gt;=50,"D","F")))))))</f>
      </c>
      <c r="AI36" s="40">
        <v>92</v>
      </c>
      <c r="AJ36" s="40">
        <f>IF(AI36&gt;=91, 4.00, IF(AI36&gt;=81, 3.50, IF(AI36&gt;=70, 3.00, IF(AI36&gt;=65, 2.50, IF(AI36&gt;=60, 2.00, IF(AI36&gt;=55, 1.50, IF(AI36&gt;=50, 1.00, 0.00)))))))</f>
      </c>
      <c r="AK36" s="40">
        <f>IF(AI36&gt;=91,"A",IF(AI36&gt;=81,"B+",IF(AI36&gt;=70,"B",IF(AI36&gt;=65,"C+",IF(AI36&gt;=60,"C",IF(AI36&gt;=55,"D+",IF(AI36&gt;=50,"D","F")))))))</f>
      </c>
      <c r="AL36" s="40">
        <f>ROUND((L36*3+O36*2+R36*1+U36*1+X36*1+AA36*2+AD36*2+AG36*1+AJ36*2)/15, 2)</f>
      </c>
      <c r="AM36" s="40" t="str">
        <f>IF(AL36&gt;90,"4.00",IF(AL36&gt;80,"3.50",IF(AL36&gt;69,"3.00",IF(AL36&gt;64,"2.50",IF(AL36&gt;59,"2.00",IF(AL36&gt;54,"1.50",IF(AL36&gt;49,"1.00","0.00")))))))</f>
        <v>0.00</v>
      </c>
      <c r="AN36" s="40">
        <f>IF(AM36&gt;=91, 4.00, IF(AM36&gt;=81, 3.50, IF(AM36&gt;=70, 3.00, IF(AM36&gt;=65, 2.50, IF(AM36&gt;=60, 2.00, IF(AM36&gt;=55, 1.50, IF(AM36&gt;=50, 1.00, 0.00)))))))</f>
      </c>
      <c r="AO36" s="40">
        <f>IF(AM36&gt;=91,"A",IF(AM36&gt;=81,"B+",IF(AM36&gt;=70,"B",IF(AM36&gt;=65,"C+",IF(AM36&gt;=60,"C",IF(AM36&gt;=55,"D+",IF(AM36&gt;=50,"D","F")))))))</f>
      </c>
      <c r="AP36" s="40" t="str">
        <f>IF(AO36&gt;90,"4.00",IF(AO36&gt;80,"3.50",IF(AO36&gt;69,"3.00",IF(AO36&gt;64,"2.50",IF(AO36&gt;59,"2.00",IF(AO36&gt;54,"1.50",IF(AO36&gt;49,"1.00","0.00")))))))</f>
        <v>0.00</v>
      </c>
      <c r="AQ36" s="40">
        <f>IF(AP36&gt;=91, 4.00, IF(AP36&gt;=81, 3.50, IF(AP36&gt;=70, 3.00, IF(AP36&gt;=65, 2.50, IF(AP36&gt;=60, 2.00, IF(AP36&gt;=55, 1.50, IF(AP36&gt;=50, 1.00, 0.00)))))))</f>
      </c>
      <c r="AR36" s="40">
        <f>IF(AP36&gt;=91,"A",IF(AP36&gt;=81,"B+",IF(AP36&gt;=70,"B",IF(AP36&gt;=65,"C+",IF(AP36&gt;=60,"C",IF(AP36&gt;=55,"D+",IF(AP36&gt;=50,"D","F")))))))</f>
      </c>
      <c r="AS36" s="52">
        <v>81</v>
      </c>
      <c r="AT36" s="40">
        <f>IF(AS36&gt;=91, 4.00, IF(AS36&gt;=81, 3.50, IF(AS36&gt;=70, 3.00, IF(AS36&gt;=65, 2.50, IF(AS36&gt;=60, 2.00, IF(AS36&gt;=55, 1.50, IF(AS36&gt;=50, 1.00, 0.00)))))))</f>
      </c>
      <c r="AU36" s="40">
        <f>IF(AS36&gt;=91,"A",IF(AS36&gt;=81,"B+",IF(AS36&gt;=70,"B",IF(AS36&gt;=65,"C+",IF(AS36&gt;=60,"C",IF(AS36&gt;=55,"D+",IF(AS36&gt;=50,"D","F")))))))</f>
      </c>
      <c r="AV36" s="40" t="s">
        <v>51</v>
      </c>
      <c r="AW36" s="40">
        <f>IF(AV36&gt;=91, 4.00, IF(AV36&gt;=81, 3.50, IF(AV36&gt;=70, 3.00, IF(AV36&gt;=65, 2.50, IF(AV36&gt;=60, 2.00, IF(AV36&gt;=55, 1.50, IF(AV36&gt;=50, 1.00, 0.00)))))))</f>
      </c>
      <c r="AX36" s="40">
        <f>IF(AV36&gt;=91,"A",IF(AV36&gt;=81,"B+",IF(AV36&gt;=70,"B",IF(AV36&gt;=65,"C+",IF(AV36&gt;=60,"C",IF(AV36&gt;=55,"D+",IF(AV36&gt;=50,"D","F")))))))</f>
      </c>
      <c r="AY36" s="40" t="s">
        <v>315</v>
      </c>
      <c r="AZ36" s="40">
        <f>IF(AY36&gt;=91, 4.00, IF(AY36&gt;=81, 3.50, IF(AY36&gt;=70, 3.00, IF(AY36&gt;=65, 2.50, IF(AY36&gt;=60, 2.00, IF(AY36&gt;=55, 1.50, IF(AY36&gt;=50, 1.00, 0.00)))))))</f>
      </c>
      <c r="BA36" s="44">
        <f>IF(AY36&gt;=91,"A",IF(AY36&gt;=81,"B+",IF(AY36&gt;=70,"B",IF(AY36&gt;=65,"C+",IF(AY36&gt;=60,"C",IF(AY36&gt;=55,"D+",IF(AY36&gt;=50,"D","F")))))))</f>
      </c>
      <c r="BB36" s="112">
        <v>90</v>
      </c>
      <c r="BC36" s="49">
        <f>IF(BB36&gt;=91, 4.00, IF(BB36&gt;=81, 3.50, IF(BB36&gt;=70, 3.00, IF(BB36&gt;=65, 2.50, IF(BB36&gt;=60, 2.00, IF(BB36&gt;=55, 1.50, IF(BB36&gt;=50, 1.00, 0.00)))))))</f>
      </c>
      <c r="BD36" s="49">
        <f>IF(BB36&gt;=91,"A",IF(BB36&gt;=81,"B+",IF(BB36&gt;=70,"B",IF(BB36&gt;=65,"C+",IF(BB36&gt;=60,"C",IF(BB36&gt;=55,"D+",IF(BB36&gt;=50,"D","F")))))))</f>
      </c>
      <c r="BE36" s="40" t="str">
        <f>IF(BC36&gt;90,"A",IF(BC36&gt;80,"B+",IF(BC36&gt;69,"B",IF(BC36&gt;64,"C+",IF(BC36&gt;59,"C",IF(BC36&gt;54,"D+",IF(BC36&gt;49,"D",IF(BC36&gt;=0,"F"))))))))</f>
        <v>F</v>
      </c>
      <c r="BF36" s="49">
        <f>IF(BE36&gt;=91, 4.00, IF(BE36&gt;=81, 3.50, IF(BE36&gt;=70, 3.00, IF(BE36&gt;=65, 2.50, IF(BE36&gt;=60, 2.00, IF(BE36&gt;=55, 1.50, IF(BE36&gt;=50, 1.00, 0.00)))))))</f>
      </c>
      <c r="BG36" s="49">
        <f>IF(BE36&gt;=91,"A",IF(BE36&gt;=81,"B+",IF(BE36&gt;=70,"B",IF(BE36&gt;=65,"C+",IF(BE36&gt;=60,"C",IF(BE36&gt;=55,"D+",IF(BE36&gt;=50,"D","F")))))))</f>
      </c>
      <c r="BH36" s="40" t="str">
        <f>IF(BF36&gt;90,"A",IF(BF36&gt;80,"B+",IF(BF36&gt;69,"B",IF(BF36&gt;64,"C+",IF(BF36&gt;59,"C",IF(BF36&gt;54,"D+",IF(BF36&gt;49,"D",IF(BF36&gt;=0,"F"))))))))</f>
        <v>F</v>
      </c>
      <c r="BI36" s="49">
        <f>IF(BH36&gt;=91, 4.00, IF(BH36&gt;=81, 3.50, IF(BH36&gt;=70, 3.00, IF(BH36&gt;=65, 2.50, IF(BH36&gt;=60, 2.00, IF(BH36&gt;=55, 1.50, IF(BH36&gt;=50, 1.00, 0.00)))))))</f>
      </c>
      <c r="BJ36" s="49">
        <f>IF(BH36&gt;=91,"A",IF(BH36&gt;=81,"B+",IF(BH36&gt;=70,"B",IF(BH36&gt;=65,"C+",IF(BH36&gt;=60,"C",IF(BH36&gt;=55,"D+",IF(BH36&gt;=50,"D","F")))))))</f>
      </c>
      <c r="BK36" s="40" t="str">
        <f>IF(BI36&gt;90,"A",IF(BI36&gt;80,"B+",IF(BI36&gt;69,"B",IF(BI36&gt;64,"C+",IF(BI36&gt;59,"C",IF(BI36&gt;54,"D+",IF(BI36&gt;49,"D",IF(BI36&gt;=0,"F"))))))))</f>
        <v>F</v>
      </c>
      <c r="BL36" s="49">
        <f>IF(BK36&gt;=91, 4.00, IF(BK36&gt;=81, 3.50, IF(BK36&gt;=70, 3.00, IF(BK36&gt;=65, 2.50, IF(BK36&gt;=60, 2.00, IF(BK36&gt;=55, 1.50, IF(BK36&gt;=50, 1.00, 0.00)))))))</f>
      </c>
      <c r="BM36" s="49">
        <f>IF(BK36&gt;=91,"A",IF(BK36&gt;=81,"B+",IF(BK36&gt;=70,"B",IF(BK36&gt;=65,"C+",IF(BK36&gt;=60,"C",IF(BK36&gt;=55,"D+",IF(BK36&gt;=50,"D","F")))))))</f>
      </c>
      <c r="BN36" s="40">
        <f>ROUND((AN36*3+AQ36*2+AT36*1+AW36*1+AZ36*1+BC36*2+BF36*2+BI36*1+BL36*2)/15, 2)</f>
      </c>
      <c r="BO36" s="49"/>
      <c r="BP36" s="49" t="str">
        <f>IF(BO36&gt;90,"4.00",IF(BO36&gt;80,"3.50",IF(BO36&gt;69,"3.00",IF(BO36&gt;64,"2.50",IF(BO36&gt;59,"2.00",IF(BO36&gt;54,"1.50",IF(BO36&gt;49,"1.00","0.00")))))))</f>
        <v>0.00</v>
      </c>
      <c r="BQ36" s="40" t="str">
        <f>IF(BO36&gt;90,"A",IF(BO36&gt;80,"B+",IF(BO36&gt;69,"B",IF(BO36&gt;64,"C+",IF(BO36&gt;59,"C",IF(BO36&gt;54,"D+",IF(BO36&gt;49,"D",IF(BO36&gt;=0,"F"))))))))</f>
        <v>F</v>
      </c>
      <c r="BR36" s="49"/>
      <c r="BS36" s="49" t="str">
        <f>IF(BR36&gt;90,"4.00",IF(BR36&gt;80,"3.50",IF(BR36&gt;69,"3.00",IF(BR36&gt;64,"2.50",IF(BR36&gt;59,"2.00",IF(BR36&gt;54,"1.50",IF(BR36&gt;49,"1.00","0.00")))))))</f>
        <v>0.00</v>
      </c>
      <c r="BT36" s="40" t="str">
        <f>IF(BR36&gt;90,"A",IF(BR36&gt;80,"B+",IF(BR36&gt;69,"B",IF(BR36&gt;64,"C+",IF(BR36&gt;59,"C",IF(BR36&gt;54,"D+",IF(BR36&gt;49,"D",IF(BR36&gt;=0,"F"))))))))</f>
        <v>F</v>
      </c>
      <c r="BU36" s="49"/>
      <c r="BV36" s="49" t="str">
        <f>IF(BU36&gt;90,"4.00",IF(BU36&gt;80,"3.50",IF(BU36&gt;69,"3.00",IF(BU36&gt;64,"2.50",IF(BU36&gt;59,"2.00",IF(BU36&gt;54,"1.50",IF(BU36&gt;49,"1.00","0.00")))))))</f>
        <v>0.00</v>
      </c>
      <c r="BW36" s="40" t="str">
        <f>IF(BU36&gt;90,"A",IF(BU36&gt;80,"B+",IF(BU36&gt;69,"B",IF(BU36&gt;64,"C+",IF(BU36&gt;59,"C",IF(BU36&gt;54,"D+",IF(BU36&gt;49,"D",IF(BU36&gt;=0,"F"))))))))</f>
        <v>F</v>
      </c>
      <c r="BX36" s="49"/>
      <c r="BY36" s="49" t="str">
        <f>IF(BX36&gt;90,"4.00",IF(BX36&gt;80,"3.50",IF(BX36&gt;69,"3.00",IF(BX36&gt;64,"2.50",IF(BX36&gt;59,"2.00",IF(BX36&gt;54,"1.50",IF(BX36&gt;49,"1.00","0.00")))))))</f>
        <v>0.00</v>
      </c>
      <c r="BZ36" s="40" t="str">
        <f>IF(BX36&gt;90,"A",IF(BX36&gt;80,"B+",IF(BX36&gt;69,"B",IF(BX36&gt;64,"C+",IF(BX36&gt;59,"C",IF(BX36&gt;54,"D+",IF(BX36&gt;49,"D",IF(BX36&gt;=0,"F"))))))))</f>
        <v>F</v>
      </c>
      <c r="CA36" s="49"/>
      <c r="CB36" s="49" t="str">
        <f>IF(CA36&gt;90,"4.00",IF(CA36&gt;80,"3.50",IF(CA36&gt;69,"3.00",IF(CA36&gt;64,"2.50",IF(CA36&gt;59,"2.00",IF(CA36&gt;54,"1.50",IF(CA36&gt;49,"1.00","0.00")))))))</f>
        <v>0.00</v>
      </c>
      <c r="CC36" s="40" t="str">
        <f>IF(CA36&gt;90,"A",IF(CA36&gt;80,"B+",IF(CA36&gt;69,"B",IF(CA36&gt;64,"C+",IF(CA36&gt;59,"C",IF(CA36&gt;54,"D+",IF(CA36&gt;49,"D",IF(CA36&gt;=0,"F"))))))))</f>
        <v>F</v>
      </c>
      <c r="CD36" s="50">
        <f>(BD36*3+BG36*2+BJ36*1+BM36*2+BP36*1+BS36*1+BV36*2+BY36*2+CB36*2)/(3+2+1+2+1+1+2+2+2)</f>
        <v>0</v>
      </c>
      <c r="CE36" s="50">
        <f>(AR36+CD36)/2</f>
        <v>0</v>
      </c>
      <c r="CF36" s="51">
        <f>RANK(CE36,$CE$7:CE65)</f>
        <v>1</v>
      </c>
      <c r="CG36" s="67"/>
      <c r="CH36" s="52"/>
      <c r="CI36" s="52"/>
      <c r="CJ36" s="52"/>
    </row>
    <row r="37" ht="20" customHeight="1" spans="1:82" x14ac:dyDescent="0.25">
      <c r="A37" s="98">
        <v>31</v>
      </c>
      <c r="B37" s="2" t="s">
        <v>146</v>
      </c>
      <c r="C37" s="2" t="s">
        <v>222</v>
      </c>
      <c r="D37" s="53"/>
      <c r="E37" s="53"/>
      <c r="F37" s="53"/>
      <c r="G37" s="53"/>
      <c r="H37" s="53"/>
      <c r="I37" s="53"/>
      <c r="J37" s="98"/>
      <c r="K37" s="116">
        <v>92</v>
      </c>
      <c r="L37" s="117">
        <f>IF(K37&gt;=91, 4.00, IF(K37&gt;=81, 3.50, IF(K37&gt;=70, 3.00, IF(K37&gt;=65, 2.50, IF(K37&gt;=60, 2.00, IF(K37&gt;=55, 1.50, IF(K37&gt;=50, 1.00, 0.00)))))))</f>
      </c>
      <c r="M37" s="79">
        <f>IF(K37&gt;=91,"A",IF(K37&gt;=81,"B+",IF(K37&gt;=70,"B",IF(K37&gt;=65,"C+",IF(K37&gt;=60,"C",IF(K37&gt;=55,"D+",IF(K37&gt;=50,"D","F")))))))</f>
      </c>
      <c r="N37" s="116">
        <v>95</v>
      </c>
      <c r="O37" s="117">
        <f>IF(N37&gt;=91, 4.00, IF(N37&gt;=81, 3.50, IF(N37&gt;=70, 3.00, IF(N37&gt;=65, 2.50, IF(N37&gt;=60, 2.00, IF(N37&gt;=55, 1.50, IF(N37&gt;=50, 1.00, 0.00)))))))</f>
      </c>
      <c r="P37" s="79">
        <f>IF(N37&gt;=91,"A",IF(N37&gt;=81,"B+",IF(N37&gt;=70,"B",IF(N37&gt;=65,"C+",IF(N37&gt;=60,"C",IF(N37&gt;=55,"D+",IF(N37&gt;=50,"D","F")))))))</f>
      </c>
      <c r="Q37" s="116">
        <v>77</v>
      </c>
      <c r="R37" s="117">
        <f>IF(Q37&gt;=91, 4.00, IF(Q37&gt;=81, 3.50, IF(Q37&gt;=70, 3.00, IF(Q37&gt;=65, 2.50, IF(Q37&gt;=60, 2.00, IF(Q37&gt;=55, 1.50, IF(Q37&gt;=50, 1.00, 0.00)))))))</f>
      </c>
      <c r="S37" s="79">
        <f>IF(Q37&gt;=91,"A",IF(Q37&gt;=81,"B+",IF(Q37&gt;=70,"B",IF(Q37&gt;=65,"C+",IF(Q37&gt;=60,"C",IF(Q37&gt;=55,"D+",IF(Q37&gt;=50,"D","F")))))))</f>
      </c>
      <c r="T37" s="116">
        <v>80</v>
      </c>
      <c r="U37" s="117">
        <f>IF(T37&gt;=91, 4.00, IF(T37&gt;=81, 3.50, IF(T37&gt;=70, 3.00, IF(T37&gt;=65, 2.50, IF(T37&gt;=60, 2.00, IF(T37&gt;=55, 1.50, IF(T37&gt;=50, 1.00, 0.00)))))))</f>
      </c>
      <c r="V37" s="79">
        <f>IF(T37&gt;=91,"A",IF(T37&gt;=81,"B+",IF(T37&gt;=70,"B",IF(T37&gt;=65,"C+",IF(T37&gt;=60,"C",IF(T37&gt;=55,"D+",IF(T37&gt;=50,"D","F")))))))</f>
      </c>
      <c r="W37" s="116">
        <v>83</v>
      </c>
      <c r="X37" s="117">
        <f>IF(W37&gt;=91, 4.00, IF(W37&gt;=81, 3.50, IF(W37&gt;=70, 3.00, IF(W37&gt;=65, 2.50, IF(W37&gt;=60, 2.00, IF(W37&gt;=55, 1.50, IF(W37&gt;=50, 1.00, 0.00)))))))</f>
      </c>
      <c r="Y37" s="79">
        <f>IF(W37&gt;=91,"A",IF(W37&gt;=81,"B+",IF(W37&gt;=70,"B",IF(W37&gt;=65,"C+",IF(W37&gt;=60,"C",IF(W37&gt;=55,"D+",IF(W37&gt;=50,"D","F")))))))</f>
      </c>
      <c r="Z37" s="116">
        <v>86</v>
      </c>
      <c r="AA37" s="117">
        <f>IF(Z37&gt;=91, 4.00, IF(Z37&gt;=81, 3.50, IF(Z37&gt;=70, 3.00, IF(Z37&gt;=65, 2.50, IF(Z37&gt;=60, 2.00, IF(Z37&gt;=55, 1.50, IF(Z37&gt;=50, 1.00, 0.00)))))))</f>
      </c>
      <c r="AB37" s="79">
        <f>IF(Z37&gt;=91,"A",IF(Z37&gt;=81,"B+",IF(Z37&gt;=70,"B",IF(Z37&gt;=65,"C+",IF(Z37&gt;=60,"C",IF(Z37&gt;=55,"D+",IF(Z37&gt;=50,"D","F")))))))</f>
      </c>
      <c r="AC37" s="116">
        <v>89</v>
      </c>
      <c r="AD37" s="117">
        <f>IF(AC37&gt;=91, 4.00, IF(AC37&gt;=81, 3.50, IF(AC37&gt;=70, 3.00, IF(AC37&gt;=65, 2.50, IF(AC37&gt;=60, 2.00, IF(AC37&gt;=55, 1.50, IF(AC37&gt;=50, 1.00, 0.00)))))))</f>
      </c>
      <c r="AE37" s="79">
        <f>IF(AC37&gt;=91,"A",IF(AC37&gt;=81,"B+",IF(AC37&gt;=70,"B",IF(AC37&gt;=65,"C+",IF(AC37&gt;=60,"C",IF(AC37&gt;=55,"D+",IF(AC37&gt;=50,"D","F")))))))</f>
      </c>
      <c r="AF37" s="116">
        <v>92</v>
      </c>
      <c r="AG37" s="117">
        <f>IF(AF37&gt;=91, 4.00, IF(AF37&gt;=81, 3.50, IF(AF37&gt;=70, 3.00, IF(AF37&gt;=65, 2.50, IF(AF37&gt;=60, 2.00, IF(AF37&gt;=55, 1.50, IF(AF37&gt;=50, 1.00, 0.00)))))))</f>
      </c>
      <c r="AH37" s="79">
        <f>IF(AF37&gt;=91,"A",IF(AF37&gt;=81,"B+",IF(AF37&gt;=70,"B",IF(AF37&gt;=65,"C+",IF(AF37&gt;=60,"C",IF(AF37&gt;=55,"D+",IF(AF37&gt;=50,"D","F")))))))</f>
      </c>
      <c r="AI37" s="116">
        <v>95</v>
      </c>
      <c r="AJ37" s="117">
        <f>IF(AI37&gt;=91, 4.00, IF(AI37&gt;=81, 3.50, IF(AI37&gt;=70, 3.00, IF(AI37&gt;=65, 2.50, IF(AI37&gt;=60, 2.00, IF(AI37&gt;=55, 1.50, IF(AI37&gt;=50, 1.00, 0.00)))))))</f>
      </c>
      <c r="AK37" s="79">
        <f>IF(AI37&gt;=91,"A",IF(AI37&gt;=81,"B+",IF(AI37&gt;=70,"B",IF(AI37&gt;=65,"C+",IF(AI37&gt;=60,"C",IF(AI37&gt;=55,"D+",IF(AI37&gt;=50,"D","F")))))))</f>
      </c>
      <c r="AL37" s="84">
        <f>ROUND((L37*3+O37*2+R37*1+U37*1+X37*1+AA37*2+AD37*2+AG37*1+AJ37*2)/15, 2)</f>
      </c>
      <c r="AM37" s="116">
        <v>78</v>
      </c>
      <c r="AN37" s="117">
        <f>IF(AM37&gt;=91, 4.00, IF(AM37&gt;=81, 3.50, IF(AM37&gt;=70, 3.00, IF(AM37&gt;=65, 2.50, IF(AM37&gt;=60, 2.00, IF(AM37&gt;=55, 1.50, IF(AM37&gt;=50, 1.00, 0.00)))))))</f>
      </c>
      <c r="AO37" s="79">
        <f>IF(AM37&gt;=91,"A",IF(AM37&gt;=81,"B+",IF(AM37&gt;=70,"B",IF(AM37&gt;=65,"C+",IF(AM37&gt;=60,"C",IF(AM37&gt;=55,"D+",IF(AM37&gt;=50,"D","F")))))))</f>
      </c>
      <c r="AP37" s="116">
        <v>81</v>
      </c>
      <c r="AQ37" s="117">
        <f>IF(AP37&gt;=91, 4.00, IF(AP37&gt;=81, 3.50, IF(AP37&gt;=70, 3.00, IF(AP37&gt;=65, 2.50, IF(AP37&gt;=60, 2.00, IF(AP37&gt;=55, 1.50, IF(AP37&gt;=50, 1.00, 0.00)))))))</f>
      </c>
      <c r="AR37" s="83">
        <f>IF(AP37&gt;=91,"A",IF(AP37&gt;=81,"B+",IF(AP37&gt;=70,"B",IF(AP37&gt;=65,"C+",IF(AP37&gt;=60,"C",IF(AP37&gt;=55,"D+",IF(AP37&gt;=50,"D","F")))))))</f>
      </c>
      <c r="AS37" s="118">
        <v>84</v>
      </c>
      <c r="AT37" s="119">
        <f>IF(AS37&gt;=91, 4.00, IF(AS37&gt;=81, 3.50, IF(AS37&gt;=70, 3.00, IF(AS37&gt;=65, 2.50, IF(AS37&gt;=60, 2.00, IF(AS37&gt;=55, 1.50, IF(AS37&gt;=50, 1.00, 0.00)))))))</f>
      </c>
      <c r="AU37" s="83">
        <f>IF(AS37&gt;=91,"A",IF(AS37&gt;=81,"B+",IF(AS37&gt;=70,"B",IF(AS37&gt;=65,"C+",IF(AS37&gt;=60,"C",IF(AS37&gt;=55,"D+",IF(AS37&gt;=50,"D","F")))))))</f>
      </c>
      <c r="AV37" s="118">
        <v>87</v>
      </c>
      <c r="AW37" s="119">
        <f>IF(AV37&gt;=91, 4.00, IF(AV37&gt;=81, 3.50, IF(AV37&gt;=70, 3.00, IF(AV37&gt;=65, 2.50, IF(AV37&gt;=60, 2.00, IF(AV37&gt;=55, 1.50, IF(AV37&gt;=50, 1.00, 0.00)))))))</f>
      </c>
      <c r="AX37" s="83">
        <f>IF(AV37&gt;=91,"A",IF(AV37&gt;=81,"B+",IF(AV37&gt;=70,"B",IF(AV37&gt;=65,"C+",IF(AV37&gt;=60,"C",IF(AV37&gt;=55,"D+",IF(AV37&gt;=50,"D","F")))))))</f>
      </c>
      <c r="AY37" s="118">
        <v>90</v>
      </c>
      <c r="AZ37" s="119">
        <f>IF(AY37&gt;=91, 4.00, IF(AY37&gt;=81, 3.50, IF(AY37&gt;=70, 3.00, IF(AY37&gt;=65, 2.50, IF(AY37&gt;=60, 2.00, IF(AY37&gt;=55, 1.50, IF(AY37&gt;=50, 1.00, 0.00)))))))</f>
      </c>
      <c r="BA37" s="83">
        <f>IF(AY37&gt;=91,"A",IF(AY37&gt;=81,"B+",IF(AY37&gt;=70,"B",IF(AY37&gt;=65,"C+",IF(AY37&gt;=60,"C",IF(AY37&gt;=55,"D+",IF(AY37&gt;=50,"D","F")))))))</f>
      </c>
      <c r="BB37" s="118">
        <v>93</v>
      </c>
      <c r="BC37" s="117">
        <f>IF(BB37&gt;=91, 4.00, IF(BB37&gt;=81, 3.50, IF(BB37&gt;=70, 3.00, IF(BB37&gt;=65, 2.50, IF(BB37&gt;=60, 2.00, IF(BB37&gt;=55, 1.50, IF(BB37&gt;=50, 1.00, 0.00)))))))</f>
      </c>
      <c r="BD37" s="79">
        <f>IF(BB37&gt;=91,"A",IF(BB37&gt;=81,"B+",IF(BB37&gt;=70,"B",IF(BB37&gt;=65,"C+",IF(BB37&gt;=60,"C",IF(BB37&gt;=55,"D+",IF(BB37&gt;=50,"D","F")))))))</f>
      </c>
      <c r="BE37" s="116">
        <v>75</v>
      </c>
      <c r="BF37" s="117">
        <f>IF(BE37&gt;=91, 4.00, IF(BE37&gt;=81, 3.50, IF(BE37&gt;=70, 3.00, IF(BE37&gt;=65, 2.50, IF(BE37&gt;=60, 2.00, IF(BE37&gt;=55, 1.50, IF(BE37&gt;=50, 1.00, 0.00)))))))</f>
      </c>
      <c r="BG37" s="79">
        <f>IF(BE37&gt;=91,"A",IF(BE37&gt;=81,"B+",IF(BE37&gt;=70,"B",IF(BE37&gt;=65,"C+",IF(BE37&gt;=60,"C",IF(BE37&gt;=55,"D+",IF(BE37&gt;=50,"D","F")))))))</f>
      </c>
      <c r="BH37" s="116">
        <v>78</v>
      </c>
      <c r="BI37" s="117">
        <f>IF(BH37&gt;=91, 4.00, IF(BH37&gt;=81, 3.50, IF(BH37&gt;=70, 3.00, IF(BH37&gt;=65, 2.50, IF(BH37&gt;=60, 2.00, IF(BH37&gt;=55, 1.50, IF(BH37&gt;=50, 1.00, 0.00)))))))</f>
      </c>
      <c r="BJ37" s="79">
        <f>IF(BH37&gt;=91,"A",IF(BH37&gt;=81,"B+",IF(BH37&gt;=70,"B",IF(BH37&gt;=65,"C+",IF(BH37&gt;=60,"C",IF(BH37&gt;=55,"D+",IF(BH37&gt;=50,"D","F")))))))</f>
      </c>
      <c r="BK37" s="116">
        <v>81</v>
      </c>
      <c r="BL37" s="117">
        <f>IF(BK37&gt;=91, 4.00, IF(BK37&gt;=81, 3.50, IF(BK37&gt;=70, 3.00, IF(BK37&gt;=65, 2.50, IF(BK37&gt;=60, 2.00, IF(BK37&gt;=55, 1.50, IF(BK37&gt;=50, 1.00, 0.00)))))))</f>
      </c>
      <c r="BM37" s="79">
        <f>IF(BK37&gt;=91,"A",IF(BK37&gt;=81,"B+",IF(BK37&gt;=70,"B",IF(BK37&gt;=65,"C+",IF(BK37&gt;=60,"C",IF(BK37&gt;=55,"D+",IF(BK37&gt;=50,"D","F")))))))</f>
      </c>
      <c r="BN37" s="84">
        <f>ROUND((AN37*3+AQ37*2+AT37*1+AW37*1+AZ37*1+BC37*2+BF37*2+BI37*1+BL37*2)/15, 2)</f>
      </c>
      <c r="BO37" s="53"/>
      <c r="BP37" s="53"/>
      <c r="BQ37" s="98"/>
      <c r="BR37" s="53"/>
      <c r="BS37" s="53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50"/>
    </row>
    <row r="38" ht="16" customHeight="1" spans="1:72" x14ac:dyDescent="0.25">
      <c r="A38" s="98"/>
      <c r="B38" s="2"/>
      <c r="C38" s="2"/>
      <c r="D38" s="53"/>
      <c r="E38" s="53"/>
      <c r="F38" s="53"/>
      <c r="G38" s="53"/>
      <c r="H38" s="53"/>
      <c r="I38" s="53"/>
      <c r="J38" s="98"/>
      <c r="K38" s="53"/>
      <c r="L38" s="53"/>
      <c r="M38" s="98"/>
      <c r="N38" s="53"/>
      <c r="O38" s="53"/>
      <c r="P38" s="98"/>
      <c r="Q38" s="53"/>
      <c r="R38" s="53"/>
      <c r="S38" s="98"/>
      <c r="T38" s="98"/>
      <c r="U38" s="120" t="s">
        <v>316</v>
      </c>
      <c r="V38" s="98"/>
      <c r="W38" s="53"/>
      <c r="X38" s="53"/>
      <c r="Y38" s="98"/>
      <c r="Z38" s="53"/>
      <c r="AA38" s="53"/>
      <c r="AB38" s="98"/>
      <c r="AC38" s="53"/>
      <c r="AD38" s="53"/>
      <c r="AE38" s="98"/>
      <c r="AF38" s="98"/>
      <c r="AG38" s="98"/>
      <c r="AH38" s="98"/>
      <c r="AI38" s="53"/>
      <c r="AJ38" s="53"/>
      <c r="AK38" s="98"/>
      <c r="AL38" s="53"/>
      <c r="AM38" s="53"/>
      <c r="AN38" s="98"/>
      <c r="AO38" s="98"/>
      <c r="AP38" s="98"/>
      <c r="AQ38" s="98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53"/>
      <c r="BD38" s="53"/>
      <c r="BE38" s="98"/>
      <c r="BF38" s="98"/>
      <c r="BG38" s="98"/>
      <c r="BH38" s="98"/>
      <c r="BI38" s="98"/>
      <c r="BJ38" s="98"/>
      <c r="BK38" s="98"/>
      <c r="BL38" s="53"/>
      <c r="BM38" s="53"/>
      <c r="BN38" s="98"/>
      <c r="BO38" s="53"/>
      <c r="BP38" s="53"/>
      <c r="BQ38" s="98"/>
      <c r="BR38" s="53"/>
      <c r="BS38" s="53"/>
      <c r="BT38" s="53"/>
    </row>
    <row r="39" spans="1:199" s="53" customFormat="1" x14ac:dyDescent="0.25">
      <c r="A39" s="98"/>
      <c r="B39" s="2"/>
      <c r="C39" s="2"/>
      <c r="D39" s="53"/>
      <c r="E39" s="53"/>
      <c r="F39" s="53"/>
      <c r="G39" s="53"/>
      <c r="H39" s="53"/>
      <c r="I39" s="53"/>
      <c r="J39" s="98"/>
      <c r="K39" s="53"/>
      <c r="L39" s="53"/>
      <c r="M39" s="98"/>
      <c r="N39" s="53"/>
      <c r="O39" s="53"/>
      <c r="P39" s="98"/>
      <c r="Q39" s="53"/>
      <c r="R39" s="53"/>
      <c r="S39" s="98"/>
      <c r="T39" s="98"/>
      <c r="U39" s="98"/>
      <c r="V39" s="98"/>
      <c r="W39" s="53"/>
      <c r="X39" s="53"/>
      <c r="Y39" s="98"/>
      <c r="Z39" s="53"/>
      <c r="AA39" s="53"/>
      <c r="AB39" s="98"/>
      <c r="AC39" s="53"/>
      <c r="AD39" s="53"/>
      <c r="AE39" s="98"/>
      <c r="AF39" s="98"/>
      <c r="AG39" s="98"/>
      <c r="AH39" s="98"/>
      <c r="AI39" s="53"/>
      <c r="AJ39" s="53"/>
      <c r="AK39" s="98"/>
      <c r="AL39" s="53"/>
      <c r="AM39" s="53"/>
      <c r="AN39" s="98"/>
      <c r="AO39" s="98"/>
      <c r="AP39" s="98"/>
      <c r="AQ39" s="98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53"/>
      <c r="BD39" s="53"/>
      <c r="BE39" s="98"/>
      <c r="BF39" s="98"/>
      <c r="BG39" s="98"/>
      <c r="BH39" s="98"/>
      <c r="BI39" s="98"/>
      <c r="BJ39" s="98"/>
      <c r="BK39" s="98"/>
      <c r="BL39" s="53"/>
      <c r="BM39" s="53"/>
      <c r="BN39" s="98"/>
      <c r="BO39" s="53"/>
      <c r="BP39" s="53"/>
      <c r="BQ39" s="98"/>
      <c r="BR39" s="53"/>
      <c r="BS39" s="53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9"/>
      <c r="CE39" s="99"/>
      <c r="CF39" s="99"/>
      <c r="CG39" s="100"/>
      <c r="CH39" s="99"/>
      <c r="CI39" s="99"/>
      <c r="CJ39" s="99"/>
      <c r="CK39" s="101"/>
      <c r="CL39" s="101"/>
      <c r="CM39" s="101"/>
      <c r="CN39" s="101"/>
      <c r="CO39" s="101"/>
      <c r="CP39" s="101"/>
      <c r="CQ39" s="101"/>
      <c r="CR39" s="101"/>
      <c r="CS39" s="101"/>
      <c r="CT39" s="101"/>
      <c r="CU39" s="101"/>
      <c r="CV39" s="101"/>
      <c r="CW39" s="101"/>
      <c r="CX39" s="101"/>
      <c r="CY39" s="101"/>
      <c r="CZ39" s="101"/>
      <c r="DA39" s="101"/>
      <c r="DB39" s="101"/>
      <c r="DC39" s="101"/>
      <c r="DD39" s="101"/>
      <c r="DE39" s="101"/>
      <c r="DF39" s="101"/>
      <c r="DG39" s="101"/>
      <c r="DH39" s="101"/>
      <c r="DI39" s="101"/>
      <c r="DJ39" s="101"/>
      <c r="DK39" s="101"/>
      <c r="DL39" s="101"/>
      <c r="DM39" s="101"/>
      <c r="DN39" s="101"/>
      <c r="DO39" s="101"/>
      <c r="DP39" s="101"/>
      <c r="DQ39" s="101"/>
      <c r="DR39" s="101"/>
      <c r="DS39" s="101"/>
      <c r="DT39" s="101"/>
      <c r="DU39" s="101"/>
      <c r="DV39" s="101"/>
      <c r="DW39" s="101"/>
      <c r="DX39" s="101"/>
      <c r="DY39" s="101"/>
      <c r="DZ39" s="101"/>
      <c r="EA39" s="101"/>
      <c r="EB39" s="101"/>
      <c r="EC39" s="101"/>
      <c r="ED39" s="101"/>
      <c r="EE39" s="101"/>
      <c r="EF39" s="101"/>
      <c r="EG39" s="101"/>
      <c r="EH39" s="101"/>
      <c r="EI39" s="101"/>
      <c r="EJ39" s="101"/>
      <c r="EK39" s="101"/>
      <c r="EL39" s="101"/>
      <c r="EM39" s="101"/>
      <c r="EN39" s="101"/>
      <c r="EO39" s="101"/>
      <c r="EP39" s="101"/>
      <c r="EQ39" s="101"/>
      <c r="ER39" s="101"/>
      <c r="ES39" s="101"/>
      <c r="ET39" s="101"/>
      <c r="EU39" s="101"/>
      <c r="EV39" s="101"/>
      <c r="EW39" s="101"/>
      <c r="EX39" s="101"/>
      <c r="EY39" s="101"/>
      <c r="EZ39" s="101"/>
      <c r="FA39" s="101"/>
      <c r="FB39" s="101"/>
      <c r="FC39" s="101"/>
      <c r="FD39" s="101"/>
      <c r="FE39" s="101"/>
      <c r="FF39" s="101"/>
      <c r="FG39" s="101"/>
      <c r="FH39" s="101"/>
      <c r="FI39" s="101"/>
      <c r="FJ39" s="101"/>
      <c r="FK39" s="101"/>
      <c r="FL39" s="101"/>
      <c r="FM39" s="101"/>
      <c r="FN39" s="101"/>
      <c r="FO39" s="101"/>
      <c r="FP39" s="101"/>
      <c r="FQ39" s="101"/>
      <c r="FR39" s="101"/>
      <c r="FS39" s="101"/>
      <c r="FT39" s="101"/>
      <c r="FU39" s="101"/>
      <c r="FV39" s="101"/>
      <c r="FW39" s="101"/>
      <c r="FX39" s="101"/>
      <c r="FY39" s="101"/>
      <c r="FZ39" s="101"/>
      <c r="GA39" s="101"/>
      <c r="GB39" s="101"/>
      <c r="GC39" s="101"/>
      <c r="GD39" s="101"/>
      <c r="GE39" s="101"/>
      <c r="GF39" s="101"/>
      <c r="GG39" s="101"/>
      <c r="GH39" s="101"/>
      <c r="GI39" s="101"/>
      <c r="GJ39" s="101"/>
      <c r="GK39" s="101"/>
      <c r="GL39" s="101"/>
      <c r="GM39" s="101"/>
      <c r="GN39" s="101"/>
      <c r="GO39" s="101"/>
      <c r="GP39" s="101"/>
      <c r="GQ39" s="101"/>
    </row>
    <row r="40" ht="16" customHeight="1" spans="1:199" s="53" customFormat="1" x14ac:dyDescent="0.25">
      <c r="A40" s="98"/>
      <c r="B40" s="2"/>
      <c r="C40" s="2"/>
      <c r="D40" s="53"/>
      <c r="E40" s="53"/>
      <c r="F40" s="53"/>
      <c r="G40" s="53"/>
      <c r="H40" s="53"/>
      <c r="I40" s="53"/>
      <c r="J40" s="98"/>
      <c r="K40" s="53"/>
      <c r="L40" s="53"/>
      <c r="M40" s="98"/>
      <c r="N40" s="53"/>
      <c r="O40" s="53"/>
      <c r="P40" s="98"/>
      <c r="Q40" s="53"/>
      <c r="R40" s="53"/>
      <c r="S40" s="98"/>
      <c r="T40" s="98"/>
      <c r="U40" s="121" t="s">
        <v>224</v>
      </c>
      <c r="V40" s="98"/>
      <c r="W40" s="53"/>
      <c r="X40" s="53"/>
      <c r="Y40" s="98"/>
      <c r="Z40" s="53"/>
      <c r="AA40" s="53"/>
      <c r="AB40" s="98"/>
      <c r="AC40" s="53"/>
      <c r="AD40" s="53"/>
      <c r="AE40" s="98"/>
      <c r="AF40" s="98"/>
      <c r="AG40" s="98"/>
      <c r="AH40" s="98"/>
      <c r="AI40" s="53"/>
      <c r="AJ40" s="53"/>
      <c r="AK40" s="98"/>
      <c r="AL40" s="53"/>
      <c r="AM40" s="53"/>
      <c r="AN40" s="98"/>
      <c r="AO40" s="98"/>
      <c r="AP40" s="98"/>
      <c r="AQ40" s="98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53"/>
      <c r="BD40" s="53"/>
      <c r="BE40" s="98"/>
      <c r="BF40" s="98"/>
      <c r="BG40" s="98"/>
      <c r="BH40" s="98"/>
      <c r="BI40" s="98"/>
      <c r="BJ40" s="98"/>
      <c r="BK40" s="98"/>
      <c r="BL40" s="53"/>
      <c r="BM40" s="53"/>
      <c r="BN40" s="98"/>
      <c r="BO40" s="53"/>
      <c r="BP40" s="53"/>
      <c r="BQ40" s="98"/>
      <c r="BR40" s="53"/>
      <c r="BS40" s="53"/>
      <c r="BT40" s="121" t="s">
        <v>317</v>
      </c>
      <c r="BU40" s="98"/>
      <c r="BV40" s="98"/>
      <c r="BW40" s="98"/>
      <c r="BX40" s="98"/>
      <c r="BY40" s="98"/>
      <c r="BZ40" s="98"/>
      <c r="CA40" s="98"/>
      <c r="CB40" s="98"/>
      <c r="CC40" s="98"/>
      <c r="CD40" s="99"/>
      <c r="CE40" s="99"/>
      <c r="CF40" s="99"/>
      <c r="CG40" s="100"/>
      <c r="CH40" s="99"/>
      <c r="CI40" s="99"/>
      <c r="CJ40" s="99"/>
      <c r="CK40" s="101"/>
      <c r="CL40" s="101"/>
      <c r="CM40" s="101"/>
      <c r="CN40" s="101"/>
      <c r="CO40" s="101"/>
      <c r="CP40" s="101"/>
      <c r="CQ40" s="101"/>
      <c r="CR40" s="101"/>
      <c r="CS40" s="101"/>
      <c r="CT40" s="101"/>
      <c r="CU40" s="101"/>
      <c r="CV40" s="101"/>
      <c r="CW40" s="101"/>
      <c r="CX40" s="101"/>
      <c r="CY40" s="101"/>
      <c r="CZ40" s="101"/>
      <c r="DA40" s="101"/>
      <c r="DB40" s="101"/>
      <c r="DC40" s="101"/>
      <c r="DD40" s="101"/>
      <c r="DE40" s="101"/>
      <c r="DF40" s="101"/>
      <c r="DG40" s="101"/>
      <c r="DH40" s="101"/>
      <c r="DI40" s="101"/>
      <c r="DJ40" s="101"/>
      <c r="DK40" s="101"/>
      <c r="DL40" s="101"/>
      <c r="DM40" s="101"/>
      <c r="DN40" s="101"/>
      <c r="DO40" s="101"/>
      <c r="DP40" s="101"/>
      <c r="DQ40" s="101"/>
      <c r="DR40" s="101"/>
      <c r="DS40" s="101"/>
      <c r="DT40" s="101"/>
      <c r="DU40" s="101"/>
      <c r="DV40" s="101"/>
      <c r="DW40" s="101"/>
      <c r="DX40" s="101"/>
      <c r="DY40" s="101"/>
      <c r="DZ40" s="101"/>
      <c r="EA40" s="101"/>
      <c r="EB40" s="101"/>
      <c r="EC40" s="101"/>
      <c r="ED40" s="101"/>
      <c r="EE40" s="101"/>
      <c r="EF40" s="101"/>
      <c r="EG40" s="101"/>
      <c r="EH40" s="101"/>
      <c r="EI40" s="101"/>
      <c r="EJ40" s="101"/>
      <c r="EK40" s="101"/>
      <c r="EL40" s="101"/>
      <c r="EM40" s="101"/>
      <c r="EN40" s="101"/>
      <c r="EO40" s="101"/>
      <c r="EP40" s="101"/>
      <c r="EQ40" s="101"/>
      <c r="ER40" s="101"/>
      <c r="ES40" s="101"/>
      <c r="ET40" s="101"/>
      <c r="EU40" s="101"/>
      <c r="EV40" s="101"/>
      <c r="EW40" s="101"/>
      <c r="EX40" s="101"/>
      <c r="EY40" s="101"/>
      <c r="EZ40" s="101"/>
      <c r="FA40" s="101"/>
      <c r="FB40" s="101"/>
      <c r="FC40" s="101"/>
      <c r="FD40" s="101"/>
      <c r="FE40" s="101"/>
      <c r="FF40" s="101"/>
      <c r="FG40" s="101"/>
      <c r="FH40" s="101"/>
      <c r="FI40" s="101"/>
      <c r="FJ40" s="101"/>
      <c r="FK40" s="101"/>
      <c r="FL40" s="101"/>
      <c r="FM40" s="101"/>
      <c r="FN40" s="101"/>
      <c r="FO40" s="101"/>
      <c r="FP40" s="101"/>
      <c r="FQ40" s="101"/>
      <c r="FR40" s="101"/>
      <c r="FS40" s="101"/>
      <c r="FT40" s="101"/>
      <c r="FU40" s="101"/>
      <c r="FV40" s="101"/>
      <c r="FW40" s="101"/>
      <c r="FX40" s="101"/>
      <c r="FY40" s="101"/>
      <c r="FZ40" s="101"/>
      <c r="GA40" s="101"/>
      <c r="GB40" s="101"/>
      <c r="GC40" s="101"/>
      <c r="GD40" s="101"/>
      <c r="GE40" s="101"/>
      <c r="GF40" s="101"/>
      <c r="GG40" s="101"/>
      <c r="GH40" s="101"/>
      <c r="GI40" s="101"/>
      <c r="GJ40" s="101"/>
      <c r="GK40" s="101"/>
      <c r="GL40" s="101"/>
      <c r="GM40" s="101"/>
      <c r="GN40" s="101"/>
      <c r="GO40" s="101"/>
      <c r="GP40" s="101"/>
      <c r="GQ40" s="101"/>
    </row>
  </sheetData>
  <mergeCells count="1">
    <mergeCell ref="A1:DA6"/>
  </mergeCells>
  <conditionalFormatting sqref="B11"/>
  <conditionalFormatting sqref="AU11"/>
  <pageMargins left="0.2" right="0.2" top="0.75" bottom="0.25" header="0.3" footer="0.3"/>
  <pageSetup orientation="landscape" horizontalDpi="4294967293" verticalDpi="0" scale="67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T40"/>
  <sheetViews>
    <sheetView workbookViewId="0">
      <selection activeCell="A1" sqref="A1"/>
    </sheetView>
  </sheetViews>
  <sheetFormatPr defaultRowHeight="15" outlineLevelRow="0" outlineLevelCol="0" x14ac:dyDescent="0" defaultColWidth="9"/>
  <cols>
    <col min="1" max="1" width="4.5" style="1" customWidth="1"/>
    <col min="2" max="2" width="16.1640625" style="2" customWidth="1"/>
    <col min="3" max="3" width="5.5" style="2" customWidth="1"/>
    <col min="4" max="4" width="13" customWidth="1"/>
    <col min="5" max="5" width="16.33203125" customWidth="1"/>
    <col min="6" max="6" width="15" customWidth="1"/>
    <col min="7" max="7" width="23.33203125" customWidth="1"/>
    <col min="8" max="8" width="14.1640625" customWidth="1"/>
    <col min="9" max="9" width="21" customWidth="1"/>
    <col min="10" max="10" width="4.33203125" style="1" customWidth="1"/>
    <col min="11" max="12" width="6.6640625" customWidth="1"/>
    <col min="13" max="13" width="6.6640625" style="1" customWidth="1"/>
    <col min="14" max="14" width="8.33203125" customWidth="1"/>
    <col min="15" max="15" width="8.1640625" customWidth="1"/>
    <col min="16" max="16" width="7.5" style="1" customWidth="1"/>
    <col min="17" max="17" width="9.1640625" customWidth="1"/>
    <col min="18" max="18" width="9.33203125" customWidth="1"/>
    <col min="19" max="19" width="8.1640625" style="1" customWidth="1"/>
    <col min="20" max="22" width="6.5" style="1" customWidth="1"/>
    <col min="23" max="24" width="6.33203125" customWidth="1"/>
    <col min="25" max="25" width="6.33203125" style="1" customWidth="1"/>
    <col min="26" max="27" width="6" customWidth="1"/>
    <col min="28" max="28" width="6" style="1" customWidth="1"/>
    <col min="29" max="30" width="6" customWidth="1"/>
    <col min="31" max="34" width="6" style="1" customWidth="1"/>
    <col min="35" max="36" width="6" customWidth="1"/>
    <col min="37" max="37" width="6" style="1" customWidth="1"/>
    <col min="38" max="39" width="6" customWidth="1"/>
    <col min="40" max="43" width="6" style="1" customWidth="1"/>
    <col min="44" max="44" width="5.5" style="3" customWidth="1"/>
    <col min="45" max="45" width="4.83203125" style="3" customWidth="1"/>
    <col min="46" max="46" width="5.33203125" style="3" customWidth="1"/>
    <col min="47" max="47" width="11.6640625" style="3" customWidth="1"/>
    <col min="48" max="48" width="8.1640625" style="3" customWidth="1"/>
    <col min="49" max="49" width="13.5" style="3" customWidth="1"/>
    <col min="50" max="50" width="20.5" style="3" customWidth="1"/>
    <col min="51" max="51" width="14.83203125" style="3" customWidth="1"/>
    <col min="52" max="52" width="23.83203125" style="3" customWidth="1"/>
    <col min="53" max="54" width="14.83203125" style="3" customWidth="1"/>
    <col min="55" max="56" width="6" customWidth="1"/>
    <col min="57" max="58" width="6" style="1" customWidth="1"/>
    <col min="59" max="59" width="8.5" style="1" customWidth="1"/>
    <col min="60" max="60" width="8.83203125" style="1" customWidth="1"/>
    <col min="61" max="61" width="6" style="1" customWidth="1"/>
    <col min="62" max="62" width="7.83203125" style="1" customWidth="1"/>
    <col min="63" max="63" width="8.83203125" style="1" customWidth="1"/>
    <col min="64" max="64" width="6" customWidth="1"/>
    <col min="65" max="65" width="7.1640625" customWidth="1"/>
    <col min="66" max="66" width="6" style="1" customWidth="1"/>
    <col min="67" max="68" width="6" customWidth="1"/>
    <col min="69" max="69" width="6" style="1" customWidth="1"/>
    <col min="70" max="71" width="6" customWidth="1"/>
    <col min="72" max="84" width="6" style="1" customWidth="1"/>
    <col min="85" max="87" width="6.83203125" style="3" customWidth="1"/>
    <col min="88" max="88" width="11" style="4" customWidth="1"/>
    <col min="89" max="91" width="9" style="3" customWidth="1"/>
    <col min="92" max="16384" width="9" style="5" customWidth="1"/>
  </cols>
  <sheetData>
    <row r="1" ht="32.25" customHeight="1" spans="1:88" x14ac:dyDescent="0.25">
      <c r="A1" s="6" t="s">
        <v>322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7"/>
      <c r="AT1" s="6" t="s">
        <v>322</v>
      </c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</row>
    <row r="2" ht="33.75" customHeight="1" spans="1:88" x14ac:dyDescent="0.25">
      <c r="A2" s="8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0" t="s">
        <v>10</v>
      </c>
      <c r="J2" s="12" t="s">
        <v>11</v>
      </c>
      <c r="K2" s="18" t="s">
        <v>323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6" t="s">
        <v>324</v>
      </c>
      <c r="AS2" s="17"/>
      <c r="AT2" s="8" t="s">
        <v>14</v>
      </c>
      <c r="AU2" s="9" t="s">
        <v>15</v>
      </c>
      <c r="AV2" s="9" t="s">
        <v>16</v>
      </c>
      <c r="AW2" s="10" t="s">
        <v>14</v>
      </c>
      <c r="AX2" s="10" t="s">
        <v>15</v>
      </c>
      <c r="AY2" s="10" t="s">
        <v>16</v>
      </c>
      <c r="AZ2" s="10" t="s">
        <v>14</v>
      </c>
      <c r="BA2" s="11" t="s">
        <v>15</v>
      </c>
      <c r="BB2" s="10" t="s">
        <v>16</v>
      </c>
      <c r="BC2" s="18" t="s">
        <v>325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6" t="s">
        <v>18</v>
      </c>
      <c r="CH2" s="19" t="s">
        <v>19</v>
      </c>
      <c r="CI2" s="19" t="s">
        <v>20</v>
      </c>
      <c r="CJ2" s="19" t="s">
        <v>21</v>
      </c>
    </row>
    <row r="3" ht="64.5" customHeight="1" spans="1:88" x14ac:dyDescent="0.25">
      <c r="A3" s="8"/>
      <c r="B3" s="9"/>
      <c r="C3" s="9"/>
      <c r="D3" s="10"/>
      <c r="E3" s="10"/>
      <c r="F3" s="10"/>
      <c r="G3" s="10"/>
      <c r="H3" s="11"/>
      <c r="I3" s="10"/>
      <c r="J3" s="12"/>
      <c r="K3" s="21" t="s">
        <v>326</v>
      </c>
      <c r="L3" s="21"/>
      <c r="M3" s="21"/>
      <c r="N3" s="20" t="s">
        <v>327</v>
      </c>
      <c r="O3" s="20"/>
      <c r="P3" s="20"/>
      <c r="Q3" s="20" t="s">
        <v>328</v>
      </c>
      <c r="R3" s="20"/>
      <c r="S3" s="20"/>
      <c r="T3" s="20" t="s">
        <v>329</v>
      </c>
      <c r="U3" s="20"/>
      <c r="V3" s="20"/>
      <c r="W3" s="131" t="s">
        <v>330</v>
      </c>
      <c r="X3" s="131"/>
      <c r="Y3" s="131"/>
      <c r="Z3" s="132" t="s">
        <v>331</v>
      </c>
      <c r="AA3" s="132"/>
      <c r="AB3" s="132"/>
      <c r="AC3" s="132" t="s">
        <v>332</v>
      </c>
      <c r="AD3" s="132"/>
      <c r="AE3" s="132"/>
      <c r="AF3" s="21" t="s">
        <v>333</v>
      </c>
      <c r="AG3" s="21"/>
      <c r="AH3" s="21"/>
      <c r="AI3" s="131" t="s">
        <v>334</v>
      </c>
      <c r="AJ3" s="131"/>
      <c r="AK3" s="131"/>
      <c r="AL3" s="21" t="s">
        <v>335</v>
      </c>
      <c r="AM3" s="21"/>
      <c r="AN3" s="21"/>
      <c r="AO3" s="21" t="s">
        <v>336</v>
      </c>
      <c r="AP3" s="21"/>
      <c r="AQ3" s="21"/>
      <c r="AR3" s="16"/>
      <c r="AS3" s="17"/>
      <c r="AT3" s="8"/>
      <c r="AU3" s="9"/>
      <c r="AV3" s="9"/>
      <c r="AW3" s="10"/>
      <c r="AX3" s="10"/>
      <c r="AY3" s="10"/>
      <c r="AZ3" s="10"/>
      <c r="BA3" s="11"/>
      <c r="BB3" s="10"/>
      <c r="BC3" s="133" t="s">
        <v>337</v>
      </c>
      <c r="BD3" s="133"/>
      <c r="BE3" s="133"/>
      <c r="BF3" s="131" t="s">
        <v>338</v>
      </c>
      <c r="BG3" s="131"/>
      <c r="BH3" s="131"/>
      <c r="BI3" s="20" t="s">
        <v>339</v>
      </c>
      <c r="BJ3" s="20"/>
      <c r="BK3" s="20"/>
      <c r="BL3" s="21" t="s">
        <v>340</v>
      </c>
      <c r="BM3" s="21"/>
      <c r="BN3" s="21"/>
      <c r="BO3" s="20" t="s">
        <v>341</v>
      </c>
      <c r="BP3" s="20"/>
      <c r="BQ3" s="20"/>
      <c r="BR3" s="131" t="s">
        <v>342</v>
      </c>
      <c r="BS3" s="131"/>
      <c r="BT3" s="131"/>
      <c r="BU3" s="21" t="s">
        <v>343</v>
      </c>
      <c r="BV3" s="21"/>
      <c r="BW3" s="21"/>
      <c r="BX3" s="131" t="s">
        <v>344</v>
      </c>
      <c r="BY3" s="131"/>
      <c r="BZ3" s="131"/>
      <c r="CA3" s="134" t="s">
        <v>345</v>
      </c>
      <c r="CB3" s="134"/>
      <c r="CC3" s="134"/>
      <c r="CD3" s="21" t="s">
        <v>346</v>
      </c>
      <c r="CE3" s="21"/>
      <c r="CF3" s="21"/>
      <c r="CG3" s="16"/>
      <c r="CH3" s="19"/>
      <c r="CI3" s="19"/>
      <c r="CJ3" s="19"/>
    </row>
    <row r="4" ht="24.75" customHeight="1" spans="1:202" s="28" customFormat="1" x14ac:dyDescent="0.25">
      <c r="A4" s="8"/>
      <c r="B4" s="9"/>
      <c r="C4" s="9"/>
      <c r="D4" s="10"/>
      <c r="E4" s="10"/>
      <c r="F4" s="10"/>
      <c r="G4" s="10"/>
      <c r="H4" s="11"/>
      <c r="I4" s="10"/>
      <c r="J4" s="12"/>
      <c r="K4" s="29" t="s">
        <v>16</v>
      </c>
      <c r="L4" s="29" t="s">
        <v>14</v>
      </c>
      <c r="M4" s="29" t="s">
        <v>15</v>
      </c>
      <c r="N4" s="29" t="s">
        <v>16</v>
      </c>
      <c r="O4" s="29" t="s">
        <v>14</v>
      </c>
      <c r="P4" s="29" t="s">
        <v>15</v>
      </c>
      <c r="Q4" s="29" t="s">
        <v>16</v>
      </c>
      <c r="R4" s="29" t="s">
        <v>14</v>
      </c>
      <c r="S4" s="29" t="s">
        <v>15</v>
      </c>
      <c r="T4" s="29" t="s">
        <v>16</v>
      </c>
      <c r="U4" s="29" t="s">
        <v>14</v>
      </c>
      <c r="V4" s="29" t="s">
        <v>15</v>
      </c>
      <c r="W4" s="29" t="s">
        <v>16</v>
      </c>
      <c r="X4" s="29" t="s">
        <v>14</v>
      </c>
      <c r="Y4" s="29" t="s">
        <v>15</v>
      </c>
      <c r="Z4" s="29" t="s">
        <v>16</v>
      </c>
      <c r="AA4" s="29" t="s">
        <v>14</v>
      </c>
      <c r="AB4" s="29" t="s">
        <v>15</v>
      </c>
      <c r="AC4" s="29" t="s">
        <v>16</v>
      </c>
      <c r="AD4" s="29" t="s">
        <v>14</v>
      </c>
      <c r="AE4" s="29" t="s">
        <v>15</v>
      </c>
      <c r="AF4" s="29" t="s">
        <v>16</v>
      </c>
      <c r="AG4" s="29" t="s">
        <v>14</v>
      </c>
      <c r="AH4" s="29" t="s">
        <v>15</v>
      </c>
      <c r="AI4" s="29" t="s">
        <v>16</v>
      </c>
      <c r="AJ4" s="29" t="s">
        <v>14</v>
      </c>
      <c r="AK4" s="29" t="s">
        <v>15</v>
      </c>
      <c r="AL4" s="29" t="s">
        <v>16</v>
      </c>
      <c r="AM4" s="29" t="s">
        <v>14</v>
      </c>
      <c r="AN4" s="29" t="s">
        <v>15</v>
      </c>
      <c r="AO4" s="29" t="s">
        <v>16</v>
      </c>
      <c r="AP4" s="29" t="s">
        <v>14</v>
      </c>
      <c r="AQ4" s="29" t="s">
        <v>15</v>
      </c>
      <c r="AR4" s="16"/>
      <c r="AS4" s="17"/>
      <c r="AT4" s="8"/>
      <c r="AU4" s="9"/>
      <c r="AV4" s="9"/>
      <c r="AW4" s="10"/>
      <c r="AX4" s="10"/>
      <c r="AY4" s="10"/>
      <c r="AZ4" s="10"/>
      <c r="BA4" s="11"/>
      <c r="BB4" s="10"/>
      <c r="BC4" s="29" t="s">
        <v>14</v>
      </c>
      <c r="BD4" s="29" t="s">
        <v>15</v>
      </c>
      <c r="BE4" s="29" t="s">
        <v>16</v>
      </c>
      <c r="BF4" s="29" t="s">
        <v>14</v>
      </c>
      <c r="BG4" s="29" t="s">
        <v>15</v>
      </c>
      <c r="BH4" s="29" t="s">
        <v>16</v>
      </c>
      <c r="BI4" s="29" t="s">
        <v>14</v>
      </c>
      <c r="BJ4" s="29" t="s">
        <v>15</v>
      </c>
      <c r="BK4" s="29" t="s">
        <v>16</v>
      </c>
      <c r="BL4" s="29" t="s">
        <v>14</v>
      </c>
      <c r="BM4" s="29" t="s">
        <v>15</v>
      </c>
      <c r="BN4" s="29" t="s">
        <v>16</v>
      </c>
      <c r="BO4" s="29" t="s">
        <v>14</v>
      </c>
      <c r="BP4" s="29" t="s">
        <v>15</v>
      </c>
      <c r="BQ4" s="29" t="s">
        <v>16</v>
      </c>
      <c r="BR4" s="29" t="s">
        <v>14</v>
      </c>
      <c r="BS4" s="29" t="s">
        <v>15</v>
      </c>
      <c r="BT4" s="29" t="s">
        <v>16</v>
      </c>
      <c r="BU4" s="29" t="s">
        <v>14</v>
      </c>
      <c r="BV4" s="29" t="s">
        <v>15</v>
      </c>
      <c r="BW4" s="29" t="s">
        <v>347</v>
      </c>
      <c r="BX4" s="29" t="s">
        <v>16</v>
      </c>
      <c r="BY4" s="29" t="s">
        <v>14</v>
      </c>
      <c r="BZ4" s="29" t="s">
        <v>15</v>
      </c>
      <c r="CA4" s="29" t="s">
        <v>16</v>
      </c>
      <c r="CB4" s="29" t="s">
        <v>14</v>
      </c>
      <c r="CC4" s="29" t="s">
        <v>15</v>
      </c>
      <c r="CD4" s="29" t="s">
        <v>16</v>
      </c>
      <c r="CE4" s="29" t="s">
        <v>14</v>
      </c>
      <c r="CF4" s="29" t="s">
        <v>15</v>
      </c>
      <c r="CG4" s="16"/>
      <c r="CH4" s="19"/>
      <c r="CI4" s="19"/>
      <c r="CJ4" s="19"/>
      <c r="CK4" s="31"/>
      <c r="CL4" s="31"/>
      <c r="CM4" s="31"/>
      <c r="CN4" s="32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4"/>
      <c r="CZ4" s="34"/>
      <c r="DA4" s="33"/>
      <c r="DB4" s="33"/>
      <c r="DC4" s="34"/>
      <c r="DD4" s="34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</row>
    <row r="5" ht="24.75" customHeight="1" spans="1:202" s="36" customFormat="1" x14ac:dyDescent="0.25">
      <c r="A5" s="8"/>
      <c r="B5" s="9"/>
      <c r="C5" s="9"/>
      <c r="D5" s="10"/>
      <c r="E5" s="10"/>
      <c r="F5" s="10"/>
      <c r="G5" s="10"/>
      <c r="H5" s="11"/>
      <c r="I5" s="10"/>
      <c r="J5" s="12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16"/>
      <c r="AS5" s="17" t="s">
        <v>348</v>
      </c>
      <c r="AT5" s="8"/>
      <c r="AU5" s="9"/>
      <c r="AV5" s="9"/>
      <c r="AW5" s="10"/>
      <c r="AX5" s="10"/>
      <c r="AY5" s="10"/>
      <c r="AZ5" s="10"/>
      <c r="BA5" s="11"/>
      <c r="BB5" s="10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16"/>
      <c r="CH5" s="19"/>
      <c r="CI5" s="19"/>
      <c r="CJ5" s="19"/>
      <c r="CK5" s="3"/>
      <c r="CL5" s="3"/>
      <c r="CM5" s="3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</row>
    <row r="6" ht="24.75" customHeight="1" spans="1:202" s="36" customFormat="1" x14ac:dyDescent="0.25">
      <c r="A6" s="8"/>
      <c r="B6" s="9"/>
      <c r="C6" s="9"/>
      <c r="D6" s="10"/>
      <c r="E6" s="10"/>
      <c r="F6" s="10"/>
      <c r="G6" s="10"/>
      <c r="H6" s="11"/>
      <c r="I6" s="10"/>
      <c r="J6" s="1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16"/>
      <c r="AS6" s="17" t="s">
        <v>16</v>
      </c>
      <c r="AT6" s="8"/>
      <c r="AU6" s="9"/>
      <c r="AV6" s="9"/>
      <c r="AW6" s="10"/>
      <c r="AX6" s="10"/>
      <c r="AY6" s="10"/>
      <c r="AZ6" s="10"/>
      <c r="BA6" s="11"/>
      <c r="BB6" s="10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16"/>
      <c r="CH6" s="19"/>
      <c r="CI6" s="19"/>
      <c r="CJ6" s="19"/>
      <c r="CK6" s="3"/>
      <c r="CL6" s="3"/>
      <c r="CM6" s="3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</row>
    <row r="7" ht="20" customHeight="1" spans="1:202" s="39" customFormat="1" x14ac:dyDescent="0.25">
      <c r="A7" s="40">
        <v>1</v>
      </c>
      <c r="B7" s="40" t="s">
        <v>349</v>
      </c>
      <c r="C7" s="40" t="s">
        <v>43</v>
      </c>
      <c r="D7" s="40" t="s">
        <v>44</v>
      </c>
      <c r="E7" s="40" t="s">
        <v>45</v>
      </c>
      <c r="F7" s="40" t="s">
        <v>261</v>
      </c>
      <c r="G7" s="40" t="s">
        <v>47</v>
      </c>
      <c r="H7" s="111"/>
      <c r="I7" s="112"/>
      <c r="J7" s="40">
        <v>1</v>
      </c>
      <c r="K7" s="42">
        <v>86</v>
      </c>
      <c r="L7" s="40">
        <f>IF(K7&gt;=91, 4.00, IF(K7&gt;=81, 3.50, IF(K7&gt;=70, 3.00, IF(K7&gt;=65, 2.50, IF(K7&gt;=60, 2.00, IF(K7&gt;=55, 1.50, IF(K7&gt;=50, 1.00, 0.00)))))))</f>
      </c>
      <c r="M7" s="40">
        <f>IF(K7&gt;=91,"A",IF(K7&gt;=81,"B+",IF(K7&gt;=70,"B",IF(K7&gt;=65,"C+",IF(K7&gt;=60,"C",IF(K7&gt;=55,"D+",IF(K7&gt;=50,"D","F")))))))</f>
      </c>
      <c r="N7" s="42">
        <v>89</v>
      </c>
      <c r="O7" s="40">
        <f>IF(N7&gt;=91, 4.00, IF(N7&gt;=81, 3.50, IF(N7&gt;=70, 3.00, IF(N7&gt;=65, 2.50, IF(N7&gt;=60, 2.00, IF(N7&gt;=55, 1.50, IF(N7&gt;=50, 1.00, 0.00)))))))</f>
      </c>
      <c r="P7" s="40">
        <f>IF(N7&gt;=91,"A",IF(N7&gt;=81,"B+",IF(N7&gt;=70,"B",IF(N7&gt;=65,"C+",IF(N7&gt;=60,"C",IF(N7&gt;=55,"D+",IF(N7&gt;=50,"D","F")))))))</f>
      </c>
      <c r="Q7" s="42">
        <v>92</v>
      </c>
      <c r="R7" s="40">
        <f>IF(Q7&gt;=91, 4.00, IF(Q7&gt;=81, 3.50, IF(Q7&gt;=70, 3.00, IF(Q7&gt;=65, 2.50, IF(Q7&gt;=60, 2.00, IF(Q7&gt;=55, 1.50, IF(Q7&gt;=50, 1.00, 0.00)))))))</f>
      </c>
      <c r="S7" s="40">
        <f>IF(Q7&gt;=91,"A",IF(Q7&gt;=81,"B+",IF(Q7&gt;=70,"B",IF(Q7&gt;=65,"C+",IF(Q7&gt;=60,"C",IF(Q7&gt;=55,"D+",IF(Q7&gt;=50,"D","F")))))))</f>
      </c>
      <c r="T7" s="42">
        <v>95</v>
      </c>
      <c r="U7" s="40">
        <f>IF(T7&gt;=91, 4.00, IF(T7&gt;=81, 3.50, IF(T7&gt;=70, 3.00, IF(T7&gt;=65, 2.50, IF(T7&gt;=60, 2.00, IF(T7&gt;=55, 1.50, IF(T7&gt;=50, 1.00, 0.00)))))))</f>
      </c>
      <c r="V7" s="40">
        <f>IF(T7&gt;=91,"A",IF(T7&gt;=81,"B+",IF(T7&gt;=70,"B",IF(T7&gt;=65,"C+",IF(T7&gt;=60,"C",IF(T7&gt;=55,"D+",IF(T7&gt;=50,"D","F")))))))</f>
      </c>
      <c r="W7" s="42">
        <v>77</v>
      </c>
      <c r="X7" s="40">
        <f>IF(W7&gt;=91, 4.00, IF(W7&gt;=81, 3.50, IF(W7&gt;=70, 3.00, IF(W7&gt;=65, 2.50, IF(W7&gt;=60, 2.00, IF(W7&gt;=55, 1.50, IF(W7&gt;=50, 1.00, 0.00)))))))</f>
      </c>
      <c r="Y7" s="40">
        <f>IF(W7&gt;=91,"A",IF(W7&gt;=81,"B+",IF(W7&gt;=70,"B",IF(W7&gt;=65,"C+",IF(W7&gt;=60,"C",IF(W7&gt;=55,"D+",IF(W7&gt;=50,"D","F")))))))</f>
      </c>
      <c r="Z7" s="46">
        <v>80</v>
      </c>
      <c r="AA7" s="40">
        <f>IF(Z7&gt;=91, 4.00, IF(Z7&gt;=81, 3.50, IF(Z7&gt;=70, 3.00, IF(Z7&gt;=65, 2.50, IF(Z7&gt;=60, 2.00, IF(Z7&gt;=55, 1.50, IF(Z7&gt;=50, 1.00, 0.00)))))))</f>
      </c>
      <c r="AB7" s="40">
        <f>IF(Z7&gt;=91,"A",IF(Z7&gt;=81,"B+",IF(Z7&gt;=70,"B",IF(Z7&gt;=65,"C+",IF(Z7&gt;=60,"C",IF(Z7&gt;=55,"D+",IF(Z7&gt;=50,"D","F")))))))</f>
      </c>
      <c r="AC7" s="42">
        <v>83</v>
      </c>
      <c r="AD7" s="40">
        <f>IF(AC7&gt;=91, 4.00, IF(AC7&gt;=81, 3.50, IF(AC7&gt;=70, 3.00, IF(AC7&gt;=65, 2.50, IF(AC7&gt;=60, 2.00, IF(AC7&gt;=55, 1.50, IF(AC7&gt;=50, 1.00, 0.00)))))))</f>
      </c>
      <c r="AE7" s="40">
        <f>IF(AC7&gt;=91,"A",IF(AC7&gt;=81,"B+",IF(AC7&gt;=70,"B",IF(AC7&gt;=65,"C+",IF(AC7&gt;=60,"C",IF(AC7&gt;=55,"D+",IF(AC7&gt;=50,"D","F")))))))</f>
      </c>
      <c r="AF7" s="40">
        <v>86</v>
      </c>
      <c r="AG7" s="40">
        <f>IF(AF7&gt;=91, 4.00, IF(AF7&gt;=81, 3.50, IF(AF7&gt;=70, 3.00, IF(AF7&gt;=65, 2.50, IF(AF7&gt;=60, 2.00, IF(AF7&gt;=55, 1.50, IF(AF7&gt;=50, 1.00, 0.00)))))))</f>
      </c>
      <c r="AH7" s="40">
        <f>IF(AF7&gt;=91,"A",IF(AF7&gt;=81,"B+",IF(AF7&gt;=70,"B",IF(AF7&gt;=65,"C+",IF(AF7&gt;=60,"C",IF(AF7&gt;=55,"D+",IF(AF7&gt;=50,"D","F")))))))</f>
      </c>
      <c r="AI7" s="46">
        <v>89</v>
      </c>
      <c r="AJ7" s="40">
        <f>IF(AI7&gt;=91, 4.00, IF(AI7&gt;=81, 3.50, IF(AI7&gt;=70, 3.00, IF(AI7&gt;=65, 2.50, IF(AI7&gt;=60, 2.00, IF(AI7&gt;=55, 1.50, IF(AI7&gt;=50, 1.00, 0.00)))))))</f>
      </c>
      <c r="AK7" s="40">
        <f>IF(AI7&gt;=91,"A",IF(AI7&gt;=81,"B+",IF(AI7&gt;=70,"B",IF(AI7&gt;=65,"C+",IF(AI7&gt;=60,"C",IF(AI7&gt;=55,"D+",IF(AI7&gt;=50,"D","F")))))))</f>
      </c>
      <c r="AL7" s="42">
        <v>92</v>
      </c>
      <c r="AM7" s="40">
        <f>IF(AL7&gt;=91, 4.00, IF(AL7&gt;=81, 3.50, IF(AL7&gt;=70, 3.00, IF(AL7&gt;=65, 2.50, IF(AL7&gt;=60, 2.00, IF(AL7&gt;=55, 1.50, IF(AL7&gt;=50, 1.00, 0.00)))))))</f>
      </c>
      <c r="AN7" s="40">
        <f>IF(AL7&gt;=91,"A",IF(AL7&gt;=81,"B+",IF(AL7&gt;=70,"B",IF(AL7&gt;=65,"C+",IF(AL7&gt;=60,"C",IF(AL7&gt;=55,"D+",IF(AL7&gt;=50,"D","F")))))))</f>
      </c>
      <c r="AO7" s="40">
        <v>95</v>
      </c>
      <c r="AP7" s="40">
        <f>IF(AO7&gt;=91, 4.00, IF(AO7&gt;=81, 3.50, IF(AO7&gt;=70, 3.00, IF(AO7&gt;=65, 2.50, IF(AO7&gt;=60, 2.00, IF(AO7&gt;=55, 1.50, IF(AO7&gt;=50, 1.00, 0.00)))))))</f>
      </c>
      <c r="AQ7" s="40">
        <f>IF(AO7&gt;=91,"A",IF(AO7&gt;=81,"B+",IF(AO7&gt;=70,"B",IF(AO7&gt;=65,"C+",IF(AO7&gt;=60,"C",IF(AO7&gt;=55,"D+",IF(AO7&gt;=50,"D","F")))))))</f>
      </c>
      <c r="AR7" s="40">
        <f>ROUND((L7*3+O7*2+R7*1+U7*1+X7*1+AA7*2+AD7*2+AG7*2+AJ7*1+AM7*2+AP7*2)/19, 2)</f>
      </c>
      <c r="AS7" s="47">
        <v>78</v>
      </c>
      <c r="AT7" s="40">
        <f>IF(AS7&gt;=91, 4.00, IF(AS7&gt;=81, 3.50, IF(AS7&gt;=70, 3.00, IF(AS7&gt;=65, 2.50, IF(AS7&gt;=60, 2.00, IF(AS7&gt;=55, 1.50, IF(AS7&gt;=50, 1.00, 0.00)))))))</f>
      </c>
      <c r="AU7" s="40">
        <f>IF(AS7&gt;=91,"A",IF(AS7&gt;=81,"B+",IF(AS7&gt;=70,"B",IF(AS7&gt;=65,"C+",IF(AS7&gt;=60,"C",IF(AS7&gt;=55,"D+",IF(AS7&gt;=50,"D","F")))))))</f>
      </c>
      <c r="AV7" s="40" t="s">
        <v>43</v>
      </c>
      <c r="AW7" s="40">
        <f>IF(AV7&gt;=91, 4.00, IF(AV7&gt;=81, 3.50, IF(AV7&gt;=70, 3.00, IF(AV7&gt;=65, 2.50, IF(AV7&gt;=60, 2.00, IF(AV7&gt;=55, 1.50, IF(AV7&gt;=50, 1.00, 0.00)))))))</f>
      </c>
      <c r="AX7" s="40">
        <f>IF(AV7&gt;=91,"A",IF(AV7&gt;=81,"B+",IF(AV7&gt;=70,"B",IF(AV7&gt;=65,"C+",IF(AV7&gt;=60,"C",IF(AV7&gt;=55,"D+",IF(AV7&gt;=50,"D","F")))))))</f>
      </c>
      <c r="AY7" s="40" t="s">
        <v>261</v>
      </c>
      <c r="AZ7" s="40">
        <f>IF(AY7&gt;=91, 4.00, IF(AY7&gt;=81, 3.50, IF(AY7&gt;=70, 3.00, IF(AY7&gt;=65, 2.50, IF(AY7&gt;=60, 2.00, IF(AY7&gt;=55, 1.50, IF(AY7&gt;=50, 1.00, 0.00)))))))</f>
      </c>
      <c r="BA7" s="111">
        <f>IF(AY7&gt;=91,"A",IF(AY7&gt;=81,"B+",IF(AY7&gt;=70,"B",IF(AY7&gt;=65,"C+",IF(AY7&gt;=60,"C",IF(AY7&gt;=55,"D+",IF(AY7&gt;=50,"D","F")))))))</f>
      </c>
      <c r="BB7" s="112">
        <v>87</v>
      </c>
      <c r="BC7" s="48">
        <f>IF(BB7&gt;=91, 4.00, IF(BB7&gt;=81, 3.50, IF(BB7&gt;=70, 3.00, IF(BB7&gt;=65, 2.50, IF(BB7&gt;=60, 2.00, IF(BB7&gt;=55, 1.50, IF(BB7&gt;=50, 1.00, 0.00)))))))</f>
      </c>
      <c r="BD7" s="49">
        <f>IF(BB7&gt;=91,"A",IF(BB7&gt;=81,"B+",IF(BB7&gt;=70,"B",IF(BB7&gt;=65,"C+",IF(BB7&gt;=60,"C",IF(BB7&gt;=55,"D+",IF(BB7&gt;=50,"D","F")))))))</f>
      </c>
      <c r="BE7" s="40" t="str">
        <f>IF(BC7&gt;90,"A",IF(BC7&gt;80,"B+",IF(BC7&gt;69,"B",IF(BC7&gt;64,"C+",IF(BC7&gt;59,"C",IF(BC7&gt;54,"D+",IF(BC7&gt;49,"D",IF(BC7&gt;=0,"F"))))))))</f>
        <v>F</v>
      </c>
      <c r="BF7" s="48">
        <f>IF(BE7&gt;=91, 4.00, IF(BE7&gt;=81, 3.50, IF(BE7&gt;=70, 3.00, IF(BE7&gt;=65, 2.50, IF(BE7&gt;=60, 2.00, IF(BE7&gt;=55, 1.50, IF(BE7&gt;=50, 1.00, 0.00)))))))</f>
      </c>
      <c r="BG7" s="49">
        <f>IF(BE7&gt;=91,"A",IF(BE7&gt;=81,"B+",IF(BE7&gt;=70,"B",IF(BE7&gt;=65,"C+",IF(BE7&gt;=60,"C",IF(BE7&gt;=55,"D+",IF(BE7&gt;=50,"D","F")))))))</f>
      </c>
      <c r="BH7" s="40" t="str">
        <f>IF(BF7&gt;90,"A",IF(BF7&gt;80,"B+",IF(BF7&gt;69,"B",IF(BF7&gt;64,"C+",IF(BF7&gt;59,"C",IF(BF7&gt;54,"D+",IF(BF7&gt;49,"D",IF(BF7&gt;=0,"F"))))))))</f>
        <v>F</v>
      </c>
      <c r="BI7" s="43">
        <f>IF(BH7&gt;=91, 4.00, IF(BH7&gt;=81, 3.50, IF(BH7&gt;=70, 3.00, IF(BH7&gt;=65, 2.50, IF(BH7&gt;=60, 2.00, IF(BH7&gt;=55, 1.50, IF(BH7&gt;=50, 1.00, 0.00)))))))</f>
      </c>
      <c r="BJ7" s="49">
        <f>IF(BH7&gt;=91,"A",IF(BH7&gt;=81,"B+",IF(BH7&gt;=70,"B",IF(BH7&gt;=65,"C+",IF(BH7&gt;=60,"C",IF(BH7&gt;=55,"D+",IF(BH7&gt;=50,"D","F")))))))</f>
      </c>
      <c r="BK7" s="40" t="str">
        <f>IF(BI7&gt;90,"A",IF(BI7&gt;80,"B+",IF(BI7&gt;69,"B",IF(BI7&gt;64,"C+",IF(BI7&gt;59,"C",IF(BI7&gt;54,"D+",IF(BI7&gt;49,"D",IF(BI7&gt;=0,"F"))))))))</f>
        <v>F</v>
      </c>
      <c r="BL7" s="48">
        <f>IF(BK7&gt;=91, 4.00, IF(BK7&gt;=81, 3.50, IF(BK7&gt;=70, 3.00, IF(BK7&gt;=65, 2.50, IF(BK7&gt;=60, 2.00, IF(BK7&gt;=55, 1.50, IF(BK7&gt;=50, 1.00, 0.00)))))))</f>
      </c>
      <c r="BM7" s="49">
        <f>IF(BK7&gt;=91,"A",IF(BK7&gt;=81,"B+",IF(BK7&gt;=70,"B",IF(BK7&gt;=65,"C+",IF(BK7&gt;=60,"C",IF(BK7&gt;=55,"D+",IF(BK7&gt;=50,"D","F")))))))</f>
      </c>
      <c r="BN7" s="40" t="str">
        <f>IF(BL7&gt;90,"A",IF(BL7&gt;80,"B+",IF(BL7&gt;69,"B",IF(BL7&gt;64,"C+",IF(BL7&gt;59,"C",IF(BL7&gt;54,"D+",IF(BL7&gt;49,"D",IF(BL7&gt;=0,"F"))))))))</f>
        <v>F</v>
      </c>
      <c r="BO7" s="43">
        <f>IF(BN7&gt;=91, 4.00, IF(BN7&gt;=81, 3.50, IF(BN7&gt;=70, 3.00, IF(BN7&gt;=65, 2.50, IF(BN7&gt;=60, 2.00, IF(BN7&gt;=55, 1.50, IF(BN7&gt;=50, 1.00, 0.00)))))))</f>
      </c>
      <c r="BP7" s="49">
        <f>IF(BN7&gt;=91,"A",IF(BN7&gt;=81,"B+",IF(BN7&gt;=70,"B",IF(BN7&gt;=65,"C+",IF(BN7&gt;=60,"C",IF(BN7&gt;=55,"D+",IF(BN7&gt;=50,"D","F")))))))</f>
      </c>
      <c r="BQ7" s="40" t="str">
        <f>IF(BO7&gt;90,"A",IF(BO7&gt;80,"B+",IF(BO7&gt;69,"B",IF(BO7&gt;64,"C+",IF(BO7&gt;59,"C",IF(BO7&gt;54,"D+",IF(BO7&gt;49,"D",IF(BO7&gt;=0,"F"))))))))</f>
        <v>F</v>
      </c>
      <c r="BR7" s="43">
        <f>IF(BQ7&gt;=91, 4.00, IF(BQ7&gt;=81, 3.50, IF(BQ7&gt;=70, 3.00, IF(BQ7&gt;=65, 2.50, IF(BQ7&gt;=60, 2.00, IF(BQ7&gt;=55, 1.50, IF(BQ7&gt;=50, 1.00, 0.00)))))))</f>
      </c>
      <c r="BS7" s="49">
        <f>IF(BQ7&gt;=91,"A",IF(BQ7&gt;=81,"B+",IF(BQ7&gt;=70,"B",IF(BQ7&gt;=65,"C+",IF(BQ7&gt;=60,"C",IF(BQ7&gt;=55,"D+",IF(BQ7&gt;=50,"D","F")))))))</f>
      </c>
      <c r="BT7" s="40" t="str">
        <f>IF(BR7&gt;90,"A",IF(BR7&gt;80,"B+",IF(BR7&gt;69,"B",IF(BR7&gt;64,"C+",IF(BR7&gt;59,"C",IF(BR7&gt;54,"D+",IF(BR7&gt;49,"D",IF(BR7&gt;=0,"F"))))))))</f>
        <v>F</v>
      </c>
      <c r="BU7" s="49">
        <f>IF(BT7&gt;=91, 4.00, IF(BT7&gt;=81, 3.50, IF(BT7&gt;=70, 3.00, IF(BT7&gt;=65, 2.50, IF(BT7&gt;=60, 2.00, IF(BT7&gt;=55, 1.50, IF(BT7&gt;=50, 1.00, 0.00)))))))</f>
      </c>
      <c r="BV7" s="49">
        <f>IF(BT7&gt;=91,"A",IF(BT7&gt;=81,"B+",IF(BT7&gt;=70,"B",IF(BT7&gt;=65,"C+",IF(BT7&gt;=60,"C",IF(BT7&gt;=55,"D+",IF(BT7&gt;=50,"D","F")))))))</f>
      </c>
      <c r="BW7" s="40">
        <f>ROUND((AT7*3+AW7*2+AZ7*1+BC7*1+BF7*1+BI7*2+BL7*2+BO7*1+BR7*2+BU7*3)/18, 2)</f>
      </c>
      <c r="BX7" s="49"/>
      <c r="BY7" s="49" t="str">
        <f>IF(BX7&gt;90,"4.00",IF(BX7&gt;80,"3.50",IF(BX7&gt;69,"3.00",IF(BX7&gt;64,"2.50",IF(BX7&gt;59,"2.00",IF(BX7&gt;54,"1.50",IF(BX7&gt;49,"1.00","0.00")))))))</f>
        <v>0.00</v>
      </c>
      <c r="BZ7" s="40" t="str">
        <f>IF(BX7&gt;90,"A",IF(BX7&gt;80,"B+",IF(BX7&gt;69,"B",IF(BX7&gt;64,"C+",IF(BX7&gt;59,"C",IF(BX7&gt;54,"D+",IF(BX7&gt;49,"D",IF(BX7&gt;=0,"F"))))))))</f>
        <v>F</v>
      </c>
      <c r="CA7" s="49"/>
      <c r="CB7" s="49" t="str">
        <f>IF(CA7&gt;90,"4.00",IF(CA7&gt;80,"3.50",IF(CA7&gt;69,"3.00",IF(CA7&gt;64,"2.50",IF(CA7&gt;59,"2.00",IF(CA7&gt;54,"1.50",IF(CA7&gt;49,"1.00","0.00")))))))</f>
        <v>0.00</v>
      </c>
      <c r="CC7" s="40" t="str">
        <f>IF(CA7&gt;90,"A",IF(CA7&gt;80,"B+",IF(CA7&gt;69,"B",IF(CA7&gt;64,"C+",IF(CA7&gt;59,"C",IF(CA7&gt;54,"D+",IF(CA7&gt;49,"D",IF(CA7&gt;=0,"F"))))))))</f>
        <v>F</v>
      </c>
      <c r="CD7" s="49"/>
      <c r="CE7" s="49" t="str">
        <f>IF(CD7&gt;90,"4.00",IF(CD7&gt;80,"3.50",IF(CD7&gt;69,"3.00",IF(CD7&gt;64,"2.50",IF(CD7&gt;59,"2.00",IF(CD7&gt;54,"1.50",IF(CD7&gt;49,"1.00","0.00")))))))</f>
        <v>0.00</v>
      </c>
      <c r="CF7" s="40" t="str">
        <f>IF(CD7&gt;90,"A",IF(CD7&gt;80,"B+",IF(CD7&gt;69,"B",IF(CD7&gt;64,"C+",IF(CD7&gt;59,"C",IF(CD7&gt;54,"D+",IF(CD7&gt;49,"D",IF(CD7&gt;=0,"F"))))))))</f>
        <v>F</v>
      </c>
      <c r="CG7" s="50">
        <f>(BD7*3+BG7*1+BJ7*1+BM7*2+BP7*1+BS7*2+BV7*2+BY7*1+CB7*2+CE7*2)/(3+1+1+2+1+2+2+1+2+2)</f>
        <v>0</v>
      </c>
      <c r="CH7" s="50">
        <f>(AR7+CG7)/2</f>
        <v>0</v>
      </c>
      <c r="CI7" s="51">
        <f>RANK(CH7,$CH$7:CH36)</f>
        <v>1</v>
      </c>
      <c r="CJ7" s="40"/>
      <c r="CK7" s="52"/>
      <c r="CL7" s="52"/>
      <c r="CM7" s="52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  <c r="FN7" s="53"/>
      <c r="FO7" s="53"/>
      <c r="FP7" s="53"/>
      <c r="FQ7" s="53"/>
      <c r="FR7" s="53"/>
      <c r="FS7" s="53"/>
      <c r="FT7" s="53"/>
      <c r="FU7" s="53"/>
      <c r="FV7" s="53"/>
      <c r="FW7" s="53"/>
      <c r="FX7" s="53"/>
      <c r="FY7" s="53"/>
      <c r="FZ7" s="53"/>
      <c r="GA7" s="53"/>
      <c r="GB7" s="53"/>
      <c r="GC7" s="53"/>
      <c r="GD7" s="53"/>
      <c r="GE7" s="53"/>
      <c r="GF7" s="53"/>
      <c r="GG7" s="53"/>
      <c r="GH7" s="53"/>
      <c r="GI7" s="53"/>
      <c r="GJ7" s="53"/>
      <c r="GK7" s="53"/>
      <c r="GL7" s="53"/>
      <c r="GM7" s="53"/>
      <c r="GN7" s="53"/>
      <c r="GO7" s="53"/>
      <c r="GP7" s="53"/>
      <c r="GQ7" s="53"/>
      <c r="GR7" s="53"/>
      <c r="GS7" s="53"/>
      <c r="GT7" s="53"/>
    </row>
    <row r="8" ht="20" customHeight="1" spans="1:202" s="39" customFormat="1" x14ac:dyDescent="0.25">
      <c r="A8" s="40">
        <v>2</v>
      </c>
      <c r="B8" s="40" t="s">
        <v>263</v>
      </c>
      <c r="C8" s="40" t="s">
        <v>51</v>
      </c>
      <c r="D8" s="40" t="s">
        <v>52</v>
      </c>
      <c r="E8" s="40" t="s">
        <v>53</v>
      </c>
      <c r="F8" s="40" t="s">
        <v>264</v>
      </c>
      <c r="G8" s="40" t="s">
        <v>55</v>
      </c>
      <c r="H8" s="44"/>
      <c r="I8" s="112"/>
      <c r="J8" s="40">
        <v>1</v>
      </c>
      <c r="K8" s="42">
        <v>89</v>
      </c>
      <c r="L8" s="40">
        <f>IF(K8&gt;=91, 4.00, IF(K8&gt;=81, 3.50, IF(K8&gt;=70, 3.00, IF(K8&gt;=65, 2.50, IF(K8&gt;=60, 2.00, IF(K8&gt;=55, 1.50, IF(K8&gt;=50, 1.00, 0.00)))))))</f>
      </c>
      <c r="M8" s="40">
        <f>IF(K8&gt;=91,"A",IF(K8&gt;=81,"B+",IF(K8&gt;=70,"B",IF(K8&gt;=65,"C+",IF(K8&gt;=60,"C",IF(K8&gt;=55,"D+",IF(K8&gt;=50,"D","F")))))))</f>
      </c>
      <c r="N8" s="42">
        <v>92</v>
      </c>
      <c r="O8" s="40">
        <f>IF(N8&gt;=91, 4.00, IF(N8&gt;=81, 3.50, IF(N8&gt;=70, 3.00, IF(N8&gt;=65, 2.50, IF(N8&gt;=60, 2.00, IF(N8&gt;=55, 1.50, IF(N8&gt;=50, 1.00, 0.00)))))))</f>
      </c>
      <c r="P8" s="40">
        <f>IF(N8&gt;=91,"A",IF(N8&gt;=81,"B+",IF(N8&gt;=70,"B",IF(N8&gt;=65,"C+",IF(N8&gt;=60,"C",IF(N8&gt;=55,"D+",IF(N8&gt;=50,"D","F")))))))</f>
      </c>
      <c r="Q8" s="42">
        <v>95</v>
      </c>
      <c r="R8" s="40">
        <f>IF(Q8&gt;=91, 4.00, IF(Q8&gt;=81, 3.50, IF(Q8&gt;=70, 3.00, IF(Q8&gt;=65, 2.50, IF(Q8&gt;=60, 2.00, IF(Q8&gt;=55, 1.50, IF(Q8&gt;=50, 1.00, 0.00)))))))</f>
      </c>
      <c r="S8" s="40">
        <f>IF(Q8&gt;=91,"A",IF(Q8&gt;=81,"B+",IF(Q8&gt;=70,"B",IF(Q8&gt;=65,"C+",IF(Q8&gt;=60,"C",IF(Q8&gt;=55,"D+",IF(Q8&gt;=50,"D","F")))))))</f>
      </c>
      <c r="T8" s="42">
        <v>77</v>
      </c>
      <c r="U8" s="40">
        <f>IF(T8&gt;=91, 4.00, IF(T8&gt;=81, 3.50, IF(T8&gt;=70, 3.00, IF(T8&gt;=65, 2.50, IF(T8&gt;=60, 2.00, IF(T8&gt;=55, 1.50, IF(T8&gt;=50, 1.00, 0.00)))))))</f>
      </c>
      <c r="V8" s="40">
        <f>IF(T8&gt;=91,"A",IF(T8&gt;=81,"B+",IF(T8&gt;=70,"B",IF(T8&gt;=65,"C+",IF(T8&gt;=60,"C",IF(T8&gt;=55,"D+",IF(T8&gt;=50,"D","F")))))))</f>
      </c>
      <c r="W8" s="42">
        <v>80</v>
      </c>
      <c r="X8" s="40">
        <f>IF(W8&gt;=91, 4.00, IF(W8&gt;=81, 3.50, IF(W8&gt;=70, 3.00, IF(W8&gt;=65, 2.50, IF(W8&gt;=60, 2.00, IF(W8&gt;=55, 1.50, IF(W8&gt;=50, 1.00, 0.00)))))))</f>
      </c>
      <c r="Y8" s="40">
        <f>IF(W8&gt;=91,"A",IF(W8&gt;=81,"B+",IF(W8&gt;=70,"B",IF(W8&gt;=65,"C+",IF(W8&gt;=60,"C",IF(W8&gt;=55,"D+",IF(W8&gt;=50,"D","F")))))))</f>
      </c>
      <c r="Z8" s="46">
        <v>83</v>
      </c>
      <c r="AA8" s="40">
        <f>IF(Z8&gt;=91, 4.00, IF(Z8&gt;=81, 3.50, IF(Z8&gt;=70, 3.00, IF(Z8&gt;=65, 2.50, IF(Z8&gt;=60, 2.00, IF(Z8&gt;=55, 1.50, IF(Z8&gt;=50, 1.00, 0.00)))))))</f>
      </c>
      <c r="AB8" s="40">
        <f>IF(Z8&gt;=91,"A",IF(Z8&gt;=81,"B+",IF(Z8&gt;=70,"B",IF(Z8&gt;=65,"C+",IF(Z8&gt;=60,"C",IF(Z8&gt;=55,"D+",IF(Z8&gt;=50,"D","F")))))))</f>
      </c>
      <c r="AC8" s="42">
        <v>86</v>
      </c>
      <c r="AD8" s="40">
        <f>IF(AC8&gt;=91, 4.00, IF(AC8&gt;=81, 3.50, IF(AC8&gt;=70, 3.00, IF(AC8&gt;=65, 2.50, IF(AC8&gt;=60, 2.00, IF(AC8&gt;=55, 1.50, IF(AC8&gt;=50, 1.00, 0.00)))))))</f>
      </c>
      <c r="AE8" s="40">
        <f>IF(AC8&gt;=91,"A",IF(AC8&gt;=81,"B+",IF(AC8&gt;=70,"B",IF(AC8&gt;=65,"C+",IF(AC8&gt;=60,"C",IF(AC8&gt;=55,"D+",IF(AC8&gt;=50,"D","F")))))))</f>
      </c>
      <c r="AF8" s="40">
        <v>89</v>
      </c>
      <c r="AG8" s="40">
        <f>IF(AF8&gt;=91, 4.00, IF(AF8&gt;=81, 3.50, IF(AF8&gt;=70, 3.00, IF(AF8&gt;=65, 2.50, IF(AF8&gt;=60, 2.00, IF(AF8&gt;=55, 1.50, IF(AF8&gt;=50, 1.00, 0.00)))))))</f>
      </c>
      <c r="AH8" s="40">
        <f>IF(AF8&gt;=91,"A",IF(AF8&gt;=81,"B+",IF(AF8&gt;=70,"B",IF(AF8&gt;=65,"C+",IF(AF8&gt;=60,"C",IF(AF8&gt;=55,"D+",IF(AF8&gt;=50,"D","F")))))))</f>
      </c>
      <c r="AI8" s="46">
        <v>92</v>
      </c>
      <c r="AJ8" s="40">
        <f>IF(AI8&gt;=91, 4.00, IF(AI8&gt;=81, 3.50, IF(AI8&gt;=70, 3.00, IF(AI8&gt;=65, 2.50, IF(AI8&gt;=60, 2.00, IF(AI8&gt;=55, 1.50, IF(AI8&gt;=50, 1.00, 0.00)))))))</f>
      </c>
      <c r="AK8" s="40">
        <f>IF(AI8&gt;=91,"A",IF(AI8&gt;=81,"B+",IF(AI8&gt;=70,"B",IF(AI8&gt;=65,"C+",IF(AI8&gt;=60,"C",IF(AI8&gt;=55,"D+",IF(AI8&gt;=50,"D","F")))))))</f>
      </c>
      <c r="AL8" s="42">
        <v>95</v>
      </c>
      <c r="AM8" s="40">
        <f>IF(AL8&gt;=91, 4.00, IF(AL8&gt;=81, 3.50, IF(AL8&gt;=70, 3.00, IF(AL8&gt;=65, 2.50, IF(AL8&gt;=60, 2.00, IF(AL8&gt;=55, 1.50, IF(AL8&gt;=50, 1.00, 0.00)))))))</f>
      </c>
      <c r="AN8" s="40">
        <f>IF(AL8&gt;=91,"A",IF(AL8&gt;=81,"B+",IF(AL8&gt;=70,"B",IF(AL8&gt;=65,"C+",IF(AL8&gt;=60,"C",IF(AL8&gt;=55,"D+",IF(AL8&gt;=50,"D","F")))))))</f>
      </c>
      <c r="AO8" s="40">
        <v>77</v>
      </c>
      <c r="AP8" s="40">
        <f>IF(AO8&gt;=91, 4.00, IF(AO8&gt;=81, 3.50, IF(AO8&gt;=70, 3.00, IF(AO8&gt;=65, 2.50, IF(AO8&gt;=60, 2.00, IF(AO8&gt;=55, 1.50, IF(AO8&gt;=50, 1.00, 0.00)))))))</f>
      </c>
      <c r="AQ8" s="40">
        <f>IF(AO8&gt;=91,"A",IF(AO8&gt;=81,"B+",IF(AO8&gt;=70,"B",IF(AO8&gt;=65,"C+",IF(AO8&gt;=60,"C",IF(AO8&gt;=55,"D+",IF(AO8&gt;=50,"D","F")))))))</f>
      </c>
      <c r="AR8" s="40">
        <f>ROUND((L8*3+O8*2+R8*1+U8*1+X8*1+AA8*2+AD8*2+AG8*2+AJ8*1+AM8*2+AP8*2)/19, 2)</f>
      </c>
      <c r="AS8" s="47">
        <v>81</v>
      </c>
      <c r="AT8" s="40">
        <f>IF(AS8&gt;=91, 4.00, IF(AS8&gt;=81, 3.50, IF(AS8&gt;=70, 3.00, IF(AS8&gt;=65, 2.50, IF(AS8&gt;=60, 2.00, IF(AS8&gt;=55, 1.50, IF(AS8&gt;=50, 1.00, 0.00)))))))</f>
      </c>
      <c r="AU8" s="40">
        <f>IF(AS8&gt;=91,"A",IF(AS8&gt;=81,"B+",IF(AS8&gt;=70,"B",IF(AS8&gt;=65,"C+",IF(AS8&gt;=60,"C",IF(AS8&gt;=55,"D+",IF(AS8&gt;=50,"D","F")))))))</f>
      </c>
      <c r="AV8" s="40" t="s">
        <v>51</v>
      </c>
      <c r="AW8" s="40">
        <f>IF(AV8&gt;=91, 4.00, IF(AV8&gt;=81, 3.50, IF(AV8&gt;=70, 3.00, IF(AV8&gt;=65, 2.50, IF(AV8&gt;=60, 2.00, IF(AV8&gt;=55, 1.50, IF(AV8&gt;=50, 1.00, 0.00)))))))</f>
      </c>
      <c r="AX8" s="40">
        <f>IF(AV8&gt;=91,"A",IF(AV8&gt;=81,"B+",IF(AV8&gt;=70,"B",IF(AV8&gt;=65,"C+",IF(AV8&gt;=60,"C",IF(AV8&gt;=55,"D+",IF(AV8&gt;=50,"D","F")))))))</f>
      </c>
      <c r="AY8" s="40" t="s">
        <v>264</v>
      </c>
      <c r="AZ8" s="40">
        <f>IF(AY8&gt;=91, 4.00, IF(AY8&gt;=81, 3.50, IF(AY8&gt;=70, 3.00, IF(AY8&gt;=65, 2.50, IF(AY8&gt;=60, 2.00, IF(AY8&gt;=55, 1.50, IF(AY8&gt;=50, 1.00, 0.00)))))))</f>
      </c>
      <c r="BA8" s="44">
        <f>IF(AY8&gt;=91,"A",IF(AY8&gt;=81,"B+",IF(AY8&gt;=70,"B",IF(AY8&gt;=65,"C+",IF(AY8&gt;=60,"C",IF(AY8&gt;=55,"D+",IF(AY8&gt;=50,"D","F")))))))</f>
      </c>
      <c r="BB8" s="112">
        <v>90</v>
      </c>
      <c r="BC8" s="48">
        <f>IF(BB8&gt;=91, 4.00, IF(BB8&gt;=81, 3.50, IF(BB8&gt;=70, 3.00, IF(BB8&gt;=65, 2.50, IF(BB8&gt;=60, 2.00, IF(BB8&gt;=55, 1.50, IF(BB8&gt;=50, 1.00, 0.00)))))))</f>
      </c>
      <c r="BD8" s="49">
        <f>IF(BB8&gt;=91,"A",IF(BB8&gt;=81,"B+",IF(BB8&gt;=70,"B",IF(BB8&gt;=65,"C+",IF(BB8&gt;=60,"C",IF(BB8&gt;=55,"D+",IF(BB8&gt;=50,"D","F")))))))</f>
      </c>
      <c r="BE8" s="40" t="str">
        <f>IF(BC8&gt;90,"A",IF(BC8&gt;80,"B+",IF(BC8&gt;69,"B",IF(BC8&gt;64,"C+",IF(BC8&gt;59,"C",IF(BC8&gt;54,"D+",IF(BC8&gt;49,"D",IF(BC8&gt;=0,"F"))))))))</f>
        <v>F</v>
      </c>
      <c r="BF8" s="48">
        <f>IF(BE8&gt;=91, 4.00, IF(BE8&gt;=81, 3.50, IF(BE8&gt;=70, 3.00, IF(BE8&gt;=65, 2.50, IF(BE8&gt;=60, 2.00, IF(BE8&gt;=55, 1.50, IF(BE8&gt;=50, 1.00, 0.00)))))))</f>
      </c>
      <c r="BG8" s="49">
        <f>IF(BE8&gt;=91,"A",IF(BE8&gt;=81,"B+",IF(BE8&gt;=70,"B",IF(BE8&gt;=65,"C+",IF(BE8&gt;=60,"C",IF(BE8&gt;=55,"D+",IF(BE8&gt;=50,"D","F")))))))</f>
      </c>
      <c r="BH8" s="40" t="str">
        <f>IF(BF8&gt;90,"A",IF(BF8&gt;80,"B+",IF(BF8&gt;69,"B",IF(BF8&gt;64,"C+",IF(BF8&gt;59,"C",IF(BF8&gt;54,"D+",IF(BF8&gt;49,"D",IF(BF8&gt;=0,"F"))))))))</f>
        <v>F</v>
      </c>
      <c r="BI8" s="43">
        <f>IF(BH8&gt;=91, 4.00, IF(BH8&gt;=81, 3.50, IF(BH8&gt;=70, 3.00, IF(BH8&gt;=65, 2.50, IF(BH8&gt;=60, 2.00, IF(BH8&gt;=55, 1.50, IF(BH8&gt;=50, 1.00, 0.00)))))))</f>
      </c>
      <c r="BJ8" s="49">
        <f>IF(BH8&gt;=91,"A",IF(BH8&gt;=81,"B+",IF(BH8&gt;=70,"B",IF(BH8&gt;=65,"C+",IF(BH8&gt;=60,"C",IF(BH8&gt;=55,"D+",IF(BH8&gt;=50,"D","F")))))))</f>
      </c>
      <c r="BK8" s="40" t="str">
        <f>IF(BI8&gt;90,"A",IF(BI8&gt;80,"B+",IF(BI8&gt;69,"B",IF(BI8&gt;64,"C+",IF(BI8&gt;59,"C",IF(BI8&gt;54,"D+",IF(BI8&gt;49,"D",IF(BI8&gt;=0,"F"))))))))</f>
        <v>F</v>
      </c>
      <c r="BL8" s="48">
        <f>IF(BK8&gt;=91, 4.00, IF(BK8&gt;=81, 3.50, IF(BK8&gt;=70, 3.00, IF(BK8&gt;=65, 2.50, IF(BK8&gt;=60, 2.00, IF(BK8&gt;=55, 1.50, IF(BK8&gt;=50, 1.00, 0.00)))))))</f>
      </c>
      <c r="BM8" s="49">
        <f>IF(BK8&gt;=91,"A",IF(BK8&gt;=81,"B+",IF(BK8&gt;=70,"B",IF(BK8&gt;=65,"C+",IF(BK8&gt;=60,"C",IF(BK8&gt;=55,"D+",IF(BK8&gt;=50,"D","F")))))))</f>
      </c>
      <c r="BN8" s="40" t="str">
        <f>IF(BL8&gt;90,"A",IF(BL8&gt;80,"B+",IF(BL8&gt;69,"B",IF(BL8&gt;64,"C+",IF(BL8&gt;59,"C",IF(BL8&gt;54,"D+",IF(BL8&gt;49,"D",IF(BL8&gt;=0,"F"))))))))</f>
        <v>F</v>
      </c>
      <c r="BO8" s="43">
        <f>IF(BN8&gt;=91, 4.00, IF(BN8&gt;=81, 3.50, IF(BN8&gt;=70, 3.00, IF(BN8&gt;=65, 2.50, IF(BN8&gt;=60, 2.00, IF(BN8&gt;=55, 1.50, IF(BN8&gt;=50, 1.00, 0.00)))))))</f>
      </c>
      <c r="BP8" s="49">
        <f>IF(BN8&gt;=91,"A",IF(BN8&gt;=81,"B+",IF(BN8&gt;=70,"B",IF(BN8&gt;=65,"C+",IF(BN8&gt;=60,"C",IF(BN8&gt;=55,"D+",IF(BN8&gt;=50,"D","F")))))))</f>
      </c>
      <c r="BQ8" s="40" t="str">
        <f>IF(BO8&gt;90,"A",IF(BO8&gt;80,"B+",IF(BO8&gt;69,"B",IF(BO8&gt;64,"C+",IF(BO8&gt;59,"C",IF(BO8&gt;54,"D+",IF(BO8&gt;49,"D",IF(BO8&gt;=0,"F"))))))))</f>
        <v>F</v>
      </c>
      <c r="BR8" s="43">
        <f>IF(BQ8&gt;=91, 4.00, IF(BQ8&gt;=81, 3.50, IF(BQ8&gt;=70, 3.00, IF(BQ8&gt;=65, 2.50, IF(BQ8&gt;=60, 2.00, IF(BQ8&gt;=55, 1.50, IF(BQ8&gt;=50, 1.00, 0.00)))))))</f>
      </c>
      <c r="BS8" s="49">
        <f>IF(BQ8&gt;=91,"A",IF(BQ8&gt;=81,"B+",IF(BQ8&gt;=70,"B",IF(BQ8&gt;=65,"C+",IF(BQ8&gt;=60,"C",IF(BQ8&gt;=55,"D+",IF(BQ8&gt;=50,"D","F")))))))</f>
      </c>
      <c r="BT8" s="40" t="str">
        <f>IF(BR8&gt;90,"A",IF(BR8&gt;80,"B+",IF(BR8&gt;69,"B",IF(BR8&gt;64,"C+",IF(BR8&gt;59,"C",IF(BR8&gt;54,"D+",IF(BR8&gt;49,"D",IF(BR8&gt;=0,"F"))))))))</f>
        <v>F</v>
      </c>
      <c r="BU8" s="49">
        <f>IF(BT8&gt;=91, 4.00, IF(BT8&gt;=81, 3.50, IF(BT8&gt;=70, 3.00, IF(BT8&gt;=65, 2.50, IF(BT8&gt;=60, 2.00, IF(BT8&gt;=55, 1.50, IF(BT8&gt;=50, 1.00, 0.00)))))))</f>
      </c>
      <c r="BV8" s="49">
        <f>IF(BT8&gt;=91,"A",IF(BT8&gt;=81,"B+",IF(BT8&gt;=70,"B",IF(BT8&gt;=65,"C+",IF(BT8&gt;=60,"C",IF(BT8&gt;=55,"D+",IF(BT8&gt;=50,"D","F")))))))</f>
      </c>
      <c r="BW8" s="40">
        <f>ROUND((AT8*3+AW8*2+AZ8*1+BC8*1+BF8*1+BI8*2+BL8*2+BO8*1+BR8*2+BU8*3)/18, 2)</f>
      </c>
      <c r="BX8" s="49"/>
      <c r="BY8" s="49" t="str">
        <f>IF(BX8&gt;90,"4.00",IF(BX8&gt;80,"3.50",IF(BX8&gt;69,"3.00",IF(BX8&gt;64,"2.50",IF(BX8&gt;59,"2.00",IF(BX8&gt;54,"1.50",IF(BX8&gt;49,"1.00","0.00")))))))</f>
        <v>0.00</v>
      </c>
      <c r="BZ8" s="40" t="str">
        <f>IF(BX8&gt;90,"A",IF(BX8&gt;80,"B+",IF(BX8&gt;69,"B",IF(BX8&gt;64,"C+",IF(BX8&gt;59,"C",IF(BX8&gt;54,"D+",IF(BX8&gt;49,"D",IF(BX8&gt;=0,"F"))))))))</f>
        <v>F</v>
      </c>
      <c r="CA8" s="49"/>
      <c r="CB8" s="49" t="str">
        <f>IF(CA8&gt;90,"4.00",IF(CA8&gt;80,"3.50",IF(CA8&gt;69,"3.00",IF(CA8&gt;64,"2.50",IF(CA8&gt;59,"2.00",IF(CA8&gt;54,"1.50",IF(CA8&gt;49,"1.00","0.00")))))))</f>
        <v>0.00</v>
      </c>
      <c r="CC8" s="40" t="str">
        <f>IF(CA8&gt;90,"A",IF(CA8&gt;80,"B+",IF(CA8&gt;69,"B",IF(CA8&gt;64,"C+",IF(CA8&gt;59,"C",IF(CA8&gt;54,"D+",IF(CA8&gt;49,"D",IF(CA8&gt;=0,"F"))))))))</f>
        <v>F</v>
      </c>
      <c r="CD8" s="49"/>
      <c r="CE8" s="49" t="str">
        <f>IF(CD8&gt;90,"4.00",IF(CD8&gt;80,"3.50",IF(CD8&gt;69,"3.00",IF(CD8&gt;64,"2.50",IF(CD8&gt;59,"2.00",IF(CD8&gt;54,"1.50",IF(CD8&gt;49,"1.00","0.00")))))))</f>
        <v>0.00</v>
      </c>
      <c r="CF8" s="40" t="str">
        <f>IF(CD8&gt;90,"A",IF(CD8&gt;80,"B+",IF(CD8&gt;69,"B",IF(CD8&gt;64,"C+",IF(CD8&gt;59,"C",IF(CD8&gt;54,"D+",IF(CD8&gt;49,"D",IF(CD8&gt;=0,"F"))))))))</f>
        <v>F</v>
      </c>
      <c r="CG8" s="50">
        <f>(BD8*3+BG8*1+BJ8*1+BM8*2+BP8*1+BS8*2+BV8*2+BY8*1+CB8*2+CE8*2)/(3+1+1+2+1+2+2+1+2+2)</f>
        <v>0</v>
      </c>
      <c r="CH8" s="50">
        <f>(AR8+CG8)/2</f>
        <v>0</v>
      </c>
      <c r="CI8" s="51">
        <f>RANK(CH8,$CH$7:CH37)</f>
        <v>1</v>
      </c>
      <c r="CJ8" s="40"/>
      <c r="CK8" s="52"/>
      <c r="CL8" s="52"/>
      <c r="CM8" s="52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  <c r="FN8" s="53"/>
      <c r="FO8" s="53"/>
      <c r="FP8" s="53"/>
      <c r="FQ8" s="53"/>
      <c r="FR8" s="53"/>
      <c r="FS8" s="53"/>
      <c r="FT8" s="53"/>
      <c r="FU8" s="53"/>
      <c r="FV8" s="53"/>
      <c r="FW8" s="53"/>
      <c r="FX8" s="53"/>
      <c r="FY8" s="53"/>
      <c r="FZ8" s="53"/>
      <c r="GA8" s="53"/>
      <c r="GB8" s="53"/>
      <c r="GC8" s="53"/>
      <c r="GD8" s="53"/>
      <c r="GE8" s="53"/>
      <c r="GF8" s="53"/>
      <c r="GG8" s="53"/>
      <c r="GH8" s="53"/>
      <c r="GI8" s="53"/>
      <c r="GJ8" s="53"/>
      <c r="GK8" s="53"/>
      <c r="GL8" s="53"/>
      <c r="GM8" s="53"/>
      <c r="GN8" s="53"/>
      <c r="GO8" s="53"/>
      <c r="GP8" s="53"/>
      <c r="GQ8" s="53"/>
      <c r="GR8" s="53"/>
      <c r="GS8" s="53"/>
      <c r="GT8" s="53"/>
    </row>
    <row r="9" ht="20" customHeight="1" spans="1:202" s="39" customFormat="1" x14ac:dyDescent="0.25">
      <c r="A9" s="40">
        <v>3</v>
      </c>
      <c r="B9" s="40" t="s">
        <v>265</v>
      </c>
      <c r="C9" s="40" t="s">
        <v>43</v>
      </c>
      <c r="D9" s="40" t="s">
        <v>58</v>
      </c>
      <c r="E9" s="40" t="s">
        <v>59</v>
      </c>
      <c r="F9" s="40" t="s">
        <v>266</v>
      </c>
      <c r="G9" s="40" t="s">
        <v>61</v>
      </c>
      <c r="H9" s="44"/>
      <c r="I9" s="112"/>
      <c r="J9" s="40">
        <v>1</v>
      </c>
      <c r="K9" s="42">
        <v>92</v>
      </c>
      <c r="L9" s="40">
        <f>IF(K9&gt;=91, 4.00, IF(K9&gt;=81, 3.50, IF(K9&gt;=70, 3.00, IF(K9&gt;=65, 2.50, IF(K9&gt;=60, 2.00, IF(K9&gt;=55, 1.50, IF(K9&gt;=50, 1.00, 0.00)))))))</f>
      </c>
      <c r="M9" s="40">
        <f>IF(K9&gt;=91,"A",IF(K9&gt;=81,"B+",IF(K9&gt;=70,"B",IF(K9&gt;=65,"C+",IF(K9&gt;=60,"C",IF(K9&gt;=55,"D+",IF(K9&gt;=50,"D","F")))))))</f>
      </c>
      <c r="N9" s="42">
        <v>95</v>
      </c>
      <c r="O9" s="40">
        <f>IF(N9&gt;=91, 4.00, IF(N9&gt;=81, 3.50, IF(N9&gt;=70, 3.00, IF(N9&gt;=65, 2.50, IF(N9&gt;=60, 2.00, IF(N9&gt;=55, 1.50, IF(N9&gt;=50, 1.00, 0.00)))))))</f>
      </c>
      <c r="P9" s="40">
        <f>IF(N9&gt;=91,"A",IF(N9&gt;=81,"B+",IF(N9&gt;=70,"B",IF(N9&gt;=65,"C+",IF(N9&gt;=60,"C",IF(N9&gt;=55,"D+",IF(N9&gt;=50,"D","F")))))))</f>
      </c>
      <c r="Q9" s="42">
        <v>77</v>
      </c>
      <c r="R9" s="40">
        <f>IF(Q9&gt;=91, 4.00, IF(Q9&gt;=81, 3.50, IF(Q9&gt;=70, 3.00, IF(Q9&gt;=65, 2.50, IF(Q9&gt;=60, 2.00, IF(Q9&gt;=55, 1.50, IF(Q9&gt;=50, 1.00, 0.00)))))))</f>
      </c>
      <c r="S9" s="40">
        <f>IF(Q9&gt;=91,"A",IF(Q9&gt;=81,"B+",IF(Q9&gt;=70,"B",IF(Q9&gt;=65,"C+",IF(Q9&gt;=60,"C",IF(Q9&gt;=55,"D+",IF(Q9&gt;=50,"D","F")))))))</f>
      </c>
      <c r="T9" s="42">
        <v>80</v>
      </c>
      <c r="U9" s="40">
        <f>IF(T9&gt;=91, 4.00, IF(T9&gt;=81, 3.50, IF(T9&gt;=70, 3.00, IF(T9&gt;=65, 2.50, IF(T9&gt;=60, 2.00, IF(T9&gt;=55, 1.50, IF(T9&gt;=50, 1.00, 0.00)))))))</f>
      </c>
      <c r="V9" s="40">
        <f>IF(T9&gt;=91,"A",IF(T9&gt;=81,"B+",IF(T9&gt;=70,"B",IF(T9&gt;=65,"C+",IF(T9&gt;=60,"C",IF(T9&gt;=55,"D+",IF(T9&gt;=50,"D","F")))))))</f>
      </c>
      <c r="W9" s="42">
        <v>83</v>
      </c>
      <c r="X9" s="40">
        <f>IF(W9&gt;=91, 4.00, IF(W9&gt;=81, 3.50, IF(W9&gt;=70, 3.00, IF(W9&gt;=65, 2.50, IF(W9&gt;=60, 2.00, IF(W9&gt;=55, 1.50, IF(W9&gt;=50, 1.00, 0.00)))))))</f>
      </c>
      <c r="Y9" s="40">
        <f>IF(W9&gt;=91,"A",IF(W9&gt;=81,"B+",IF(W9&gt;=70,"B",IF(W9&gt;=65,"C+",IF(W9&gt;=60,"C",IF(W9&gt;=55,"D+",IF(W9&gt;=50,"D","F")))))))</f>
      </c>
      <c r="Z9" s="46">
        <v>86</v>
      </c>
      <c r="AA9" s="40">
        <f>IF(Z9&gt;=91, 4.00, IF(Z9&gt;=81, 3.50, IF(Z9&gt;=70, 3.00, IF(Z9&gt;=65, 2.50, IF(Z9&gt;=60, 2.00, IF(Z9&gt;=55, 1.50, IF(Z9&gt;=50, 1.00, 0.00)))))))</f>
      </c>
      <c r="AB9" s="40">
        <f>IF(Z9&gt;=91,"A",IF(Z9&gt;=81,"B+",IF(Z9&gt;=70,"B",IF(Z9&gt;=65,"C+",IF(Z9&gt;=60,"C",IF(Z9&gt;=55,"D+",IF(Z9&gt;=50,"D","F")))))))</f>
      </c>
      <c r="AC9" s="42">
        <v>89</v>
      </c>
      <c r="AD9" s="40">
        <f>IF(AC9&gt;=91, 4.00, IF(AC9&gt;=81, 3.50, IF(AC9&gt;=70, 3.00, IF(AC9&gt;=65, 2.50, IF(AC9&gt;=60, 2.00, IF(AC9&gt;=55, 1.50, IF(AC9&gt;=50, 1.00, 0.00)))))))</f>
      </c>
      <c r="AE9" s="40">
        <f>IF(AC9&gt;=91,"A",IF(AC9&gt;=81,"B+",IF(AC9&gt;=70,"B",IF(AC9&gt;=65,"C+",IF(AC9&gt;=60,"C",IF(AC9&gt;=55,"D+",IF(AC9&gt;=50,"D","F")))))))</f>
      </c>
      <c r="AF9" s="40">
        <v>92</v>
      </c>
      <c r="AG9" s="40">
        <f>IF(AF9&gt;=91, 4.00, IF(AF9&gt;=81, 3.50, IF(AF9&gt;=70, 3.00, IF(AF9&gt;=65, 2.50, IF(AF9&gt;=60, 2.00, IF(AF9&gt;=55, 1.50, IF(AF9&gt;=50, 1.00, 0.00)))))))</f>
      </c>
      <c r="AH9" s="40">
        <f>IF(AF9&gt;=91,"A",IF(AF9&gt;=81,"B+",IF(AF9&gt;=70,"B",IF(AF9&gt;=65,"C+",IF(AF9&gt;=60,"C",IF(AF9&gt;=55,"D+",IF(AF9&gt;=50,"D","F")))))))</f>
      </c>
      <c r="AI9" s="46">
        <v>95</v>
      </c>
      <c r="AJ9" s="40">
        <f>IF(AI9&gt;=91, 4.00, IF(AI9&gt;=81, 3.50, IF(AI9&gt;=70, 3.00, IF(AI9&gt;=65, 2.50, IF(AI9&gt;=60, 2.00, IF(AI9&gt;=55, 1.50, IF(AI9&gt;=50, 1.00, 0.00)))))))</f>
      </c>
      <c r="AK9" s="40">
        <f>IF(AI9&gt;=91,"A",IF(AI9&gt;=81,"B+",IF(AI9&gt;=70,"B",IF(AI9&gt;=65,"C+",IF(AI9&gt;=60,"C",IF(AI9&gt;=55,"D+",IF(AI9&gt;=50,"D","F")))))))</f>
      </c>
      <c r="AL9" s="42">
        <v>77</v>
      </c>
      <c r="AM9" s="40">
        <f>IF(AL9&gt;=91, 4.00, IF(AL9&gt;=81, 3.50, IF(AL9&gt;=70, 3.00, IF(AL9&gt;=65, 2.50, IF(AL9&gt;=60, 2.00, IF(AL9&gt;=55, 1.50, IF(AL9&gt;=50, 1.00, 0.00)))))))</f>
      </c>
      <c r="AN9" s="40">
        <f>IF(AL9&gt;=91,"A",IF(AL9&gt;=81,"B+",IF(AL9&gt;=70,"B",IF(AL9&gt;=65,"C+",IF(AL9&gt;=60,"C",IF(AL9&gt;=55,"D+",IF(AL9&gt;=50,"D","F")))))))</f>
      </c>
      <c r="AO9" s="40">
        <v>80</v>
      </c>
      <c r="AP9" s="40">
        <f>IF(AO9&gt;=91, 4.00, IF(AO9&gt;=81, 3.50, IF(AO9&gt;=70, 3.00, IF(AO9&gt;=65, 2.50, IF(AO9&gt;=60, 2.00, IF(AO9&gt;=55, 1.50, IF(AO9&gt;=50, 1.00, 0.00)))))))</f>
      </c>
      <c r="AQ9" s="40">
        <f>IF(AO9&gt;=91,"A",IF(AO9&gt;=81,"B+",IF(AO9&gt;=70,"B",IF(AO9&gt;=65,"C+",IF(AO9&gt;=60,"C",IF(AO9&gt;=55,"D+",IF(AO9&gt;=50,"D","F")))))))</f>
      </c>
      <c r="AR9" s="40">
        <f>ROUND((L9*3+O9*2+R9*1+U9*1+X9*1+AA9*2+AD9*2+AG9*2+AJ9*1+AM9*2+AP9*2)/19, 2)</f>
      </c>
      <c r="AS9" s="47">
        <v>84</v>
      </c>
      <c r="AT9" s="40">
        <f>IF(AS9&gt;=91, 4.00, IF(AS9&gt;=81, 3.50, IF(AS9&gt;=70, 3.00, IF(AS9&gt;=65, 2.50, IF(AS9&gt;=60, 2.00, IF(AS9&gt;=55, 1.50, IF(AS9&gt;=50, 1.00, 0.00)))))))</f>
      </c>
      <c r="AU9" s="40">
        <f>IF(AS9&gt;=91,"A",IF(AS9&gt;=81,"B+",IF(AS9&gt;=70,"B",IF(AS9&gt;=65,"C+",IF(AS9&gt;=60,"C",IF(AS9&gt;=55,"D+",IF(AS9&gt;=50,"D","F")))))))</f>
      </c>
      <c r="AV9" s="40" t="s">
        <v>43</v>
      </c>
      <c r="AW9" s="40">
        <f>IF(AV9&gt;=91, 4.00, IF(AV9&gt;=81, 3.50, IF(AV9&gt;=70, 3.00, IF(AV9&gt;=65, 2.50, IF(AV9&gt;=60, 2.00, IF(AV9&gt;=55, 1.50, IF(AV9&gt;=50, 1.00, 0.00)))))))</f>
      </c>
      <c r="AX9" s="40">
        <f>IF(AV9&gt;=91,"A",IF(AV9&gt;=81,"B+",IF(AV9&gt;=70,"B",IF(AV9&gt;=65,"C+",IF(AV9&gt;=60,"C",IF(AV9&gt;=55,"D+",IF(AV9&gt;=50,"D","F")))))))</f>
      </c>
      <c r="AY9" s="40" t="s">
        <v>266</v>
      </c>
      <c r="AZ9" s="40">
        <f>IF(AY9&gt;=91, 4.00, IF(AY9&gt;=81, 3.50, IF(AY9&gt;=70, 3.00, IF(AY9&gt;=65, 2.50, IF(AY9&gt;=60, 2.00, IF(AY9&gt;=55, 1.50, IF(AY9&gt;=50, 1.00, 0.00)))))))</f>
      </c>
      <c r="BA9" s="44">
        <f>IF(AY9&gt;=91,"A",IF(AY9&gt;=81,"B+",IF(AY9&gt;=70,"B",IF(AY9&gt;=65,"C+",IF(AY9&gt;=60,"C",IF(AY9&gt;=55,"D+",IF(AY9&gt;=50,"D","F")))))))</f>
      </c>
      <c r="BB9" s="112">
        <v>93</v>
      </c>
      <c r="BC9" s="48">
        <f>IF(BB9&gt;=91, 4.00, IF(BB9&gt;=81, 3.50, IF(BB9&gt;=70, 3.00, IF(BB9&gt;=65, 2.50, IF(BB9&gt;=60, 2.00, IF(BB9&gt;=55, 1.50, IF(BB9&gt;=50, 1.00, 0.00)))))))</f>
      </c>
      <c r="BD9" s="49">
        <f>IF(BB9&gt;=91,"A",IF(BB9&gt;=81,"B+",IF(BB9&gt;=70,"B",IF(BB9&gt;=65,"C+",IF(BB9&gt;=60,"C",IF(BB9&gt;=55,"D+",IF(BB9&gt;=50,"D","F")))))))</f>
      </c>
      <c r="BE9" s="40" t="str">
        <f>IF(BC9&gt;90,"A",IF(BC9&gt;80,"B+",IF(BC9&gt;69,"B",IF(BC9&gt;64,"C+",IF(BC9&gt;59,"C",IF(BC9&gt;54,"D+",IF(BC9&gt;49,"D",IF(BC9&gt;=0,"F"))))))))</f>
        <v>F</v>
      </c>
      <c r="BF9" s="48">
        <f>IF(BE9&gt;=91, 4.00, IF(BE9&gt;=81, 3.50, IF(BE9&gt;=70, 3.00, IF(BE9&gt;=65, 2.50, IF(BE9&gt;=60, 2.00, IF(BE9&gt;=55, 1.50, IF(BE9&gt;=50, 1.00, 0.00)))))))</f>
      </c>
      <c r="BG9" s="49">
        <f>IF(BE9&gt;=91,"A",IF(BE9&gt;=81,"B+",IF(BE9&gt;=70,"B",IF(BE9&gt;=65,"C+",IF(BE9&gt;=60,"C",IF(BE9&gt;=55,"D+",IF(BE9&gt;=50,"D","F")))))))</f>
      </c>
      <c r="BH9" s="40" t="str">
        <f>IF(BF9&gt;90,"A",IF(BF9&gt;80,"B+",IF(BF9&gt;69,"B",IF(BF9&gt;64,"C+",IF(BF9&gt;59,"C",IF(BF9&gt;54,"D+",IF(BF9&gt;49,"D",IF(BF9&gt;=0,"F"))))))))</f>
        <v>F</v>
      </c>
      <c r="BI9" s="43">
        <f>IF(BH9&gt;=91, 4.00, IF(BH9&gt;=81, 3.50, IF(BH9&gt;=70, 3.00, IF(BH9&gt;=65, 2.50, IF(BH9&gt;=60, 2.00, IF(BH9&gt;=55, 1.50, IF(BH9&gt;=50, 1.00, 0.00)))))))</f>
      </c>
      <c r="BJ9" s="49">
        <f>IF(BH9&gt;=91,"A",IF(BH9&gt;=81,"B+",IF(BH9&gt;=70,"B",IF(BH9&gt;=65,"C+",IF(BH9&gt;=60,"C",IF(BH9&gt;=55,"D+",IF(BH9&gt;=50,"D","F")))))))</f>
      </c>
      <c r="BK9" s="40" t="str">
        <f>IF(BI9&gt;90,"A",IF(BI9&gt;80,"B+",IF(BI9&gt;69,"B",IF(BI9&gt;64,"C+",IF(BI9&gt;59,"C",IF(BI9&gt;54,"D+",IF(BI9&gt;49,"D",IF(BI9&gt;=0,"F"))))))))</f>
        <v>F</v>
      </c>
      <c r="BL9" s="48">
        <f>IF(BK9&gt;=91, 4.00, IF(BK9&gt;=81, 3.50, IF(BK9&gt;=70, 3.00, IF(BK9&gt;=65, 2.50, IF(BK9&gt;=60, 2.00, IF(BK9&gt;=55, 1.50, IF(BK9&gt;=50, 1.00, 0.00)))))))</f>
      </c>
      <c r="BM9" s="49">
        <f>IF(BK9&gt;=91,"A",IF(BK9&gt;=81,"B+",IF(BK9&gt;=70,"B",IF(BK9&gt;=65,"C+",IF(BK9&gt;=60,"C",IF(BK9&gt;=55,"D+",IF(BK9&gt;=50,"D","F")))))))</f>
      </c>
      <c r="BN9" s="40" t="str">
        <f>IF(BL9&gt;90,"A",IF(BL9&gt;80,"B+",IF(BL9&gt;69,"B",IF(BL9&gt;64,"C+",IF(BL9&gt;59,"C",IF(BL9&gt;54,"D+",IF(BL9&gt;49,"D",IF(BL9&gt;=0,"F"))))))))</f>
        <v>F</v>
      </c>
      <c r="BO9" s="43">
        <f>IF(BN9&gt;=91, 4.00, IF(BN9&gt;=81, 3.50, IF(BN9&gt;=70, 3.00, IF(BN9&gt;=65, 2.50, IF(BN9&gt;=60, 2.00, IF(BN9&gt;=55, 1.50, IF(BN9&gt;=50, 1.00, 0.00)))))))</f>
      </c>
      <c r="BP9" s="49">
        <f>IF(BN9&gt;=91,"A",IF(BN9&gt;=81,"B+",IF(BN9&gt;=70,"B",IF(BN9&gt;=65,"C+",IF(BN9&gt;=60,"C",IF(BN9&gt;=55,"D+",IF(BN9&gt;=50,"D","F")))))))</f>
      </c>
      <c r="BQ9" s="40" t="str">
        <f>IF(BO9&gt;90,"A",IF(BO9&gt;80,"B+",IF(BO9&gt;69,"B",IF(BO9&gt;64,"C+",IF(BO9&gt;59,"C",IF(BO9&gt;54,"D+",IF(BO9&gt;49,"D",IF(BO9&gt;=0,"F"))))))))</f>
        <v>F</v>
      </c>
      <c r="BR9" s="43">
        <f>IF(BQ9&gt;=91, 4.00, IF(BQ9&gt;=81, 3.50, IF(BQ9&gt;=70, 3.00, IF(BQ9&gt;=65, 2.50, IF(BQ9&gt;=60, 2.00, IF(BQ9&gt;=55, 1.50, IF(BQ9&gt;=50, 1.00, 0.00)))))))</f>
      </c>
      <c r="BS9" s="49">
        <f>IF(BQ9&gt;=91,"A",IF(BQ9&gt;=81,"B+",IF(BQ9&gt;=70,"B",IF(BQ9&gt;=65,"C+",IF(BQ9&gt;=60,"C",IF(BQ9&gt;=55,"D+",IF(BQ9&gt;=50,"D","F")))))))</f>
      </c>
      <c r="BT9" s="40" t="str">
        <f>IF(BR9&gt;90,"A",IF(BR9&gt;80,"B+",IF(BR9&gt;69,"B",IF(BR9&gt;64,"C+",IF(BR9&gt;59,"C",IF(BR9&gt;54,"D+",IF(BR9&gt;49,"D",IF(BR9&gt;=0,"F"))))))))</f>
        <v>F</v>
      </c>
      <c r="BU9" s="49">
        <f>IF(BT9&gt;=91, 4.00, IF(BT9&gt;=81, 3.50, IF(BT9&gt;=70, 3.00, IF(BT9&gt;=65, 2.50, IF(BT9&gt;=60, 2.00, IF(BT9&gt;=55, 1.50, IF(BT9&gt;=50, 1.00, 0.00)))))))</f>
      </c>
      <c r="BV9" s="49">
        <f>IF(BT9&gt;=91,"A",IF(BT9&gt;=81,"B+",IF(BT9&gt;=70,"B",IF(BT9&gt;=65,"C+",IF(BT9&gt;=60,"C",IF(BT9&gt;=55,"D+",IF(BT9&gt;=50,"D","F")))))))</f>
      </c>
      <c r="BW9" s="40">
        <f>ROUND((AT9*3+AW9*2+AZ9*1+BC9*1+BF9*1+BI9*2+BL9*2+BO9*1+BR9*2+BU9*3)/18, 2)</f>
      </c>
      <c r="BX9" s="49"/>
      <c r="BY9" s="49" t="str">
        <f>IF(BX9&gt;90,"4.00",IF(BX9&gt;80,"3.50",IF(BX9&gt;69,"3.00",IF(BX9&gt;64,"2.50",IF(BX9&gt;59,"2.00",IF(BX9&gt;54,"1.50",IF(BX9&gt;49,"1.00","0.00")))))))</f>
        <v>0.00</v>
      </c>
      <c r="BZ9" s="40" t="str">
        <f>IF(BX9&gt;90,"A",IF(BX9&gt;80,"B+",IF(BX9&gt;69,"B",IF(BX9&gt;64,"C+",IF(BX9&gt;59,"C",IF(BX9&gt;54,"D+",IF(BX9&gt;49,"D",IF(BX9&gt;=0,"F"))))))))</f>
        <v>F</v>
      </c>
      <c r="CA9" s="49"/>
      <c r="CB9" s="49" t="str">
        <f>IF(CA9&gt;90,"4.00",IF(CA9&gt;80,"3.50",IF(CA9&gt;69,"3.00",IF(CA9&gt;64,"2.50",IF(CA9&gt;59,"2.00",IF(CA9&gt;54,"1.50",IF(CA9&gt;49,"1.00","0.00")))))))</f>
        <v>0.00</v>
      </c>
      <c r="CC9" s="40" t="str">
        <f>IF(CA9&gt;90,"A",IF(CA9&gt;80,"B+",IF(CA9&gt;69,"B",IF(CA9&gt;64,"C+",IF(CA9&gt;59,"C",IF(CA9&gt;54,"D+",IF(CA9&gt;49,"D",IF(CA9&gt;=0,"F"))))))))</f>
        <v>F</v>
      </c>
      <c r="CD9" s="49"/>
      <c r="CE9" s="49" t="str">
        <f>IF(CD9&gt;90,"4.00",IF(CD9&gt;80,"3.50",IF(CD9&gt;69,"3.00",IF(CD9&gt;64,"2.50",IF(CD9&gt;59,"2.00",IF(CD9&gt;54,"1.50",IF(CD9&gt;49,"1.00","0.00")))))))</f>
        <v>0.00</v>
      </c>
      <c r="CF9" s="40" t="str">
        <f>IF(CD9&gt;90,"A",IF(CD9&gt;80,"B+",IF(CD9&gt;69,"B",IF(CD9&gt;64,"C+",IF(CD9&gt;59,"C",IF(CD9&gt;54,"D+",IF(CD9&gt;49,"D",IF(CD9&gt;=0,"F"))))))))</f>
        <v>F</v>
      </c>
      <c r="CG9" s="50">
        <f>(BD9*3+BG9*1+BJ9*1+BM9*2+BP9*1+BS9*2+BV9*2+BY9*1+CB9*2+CE9*2)/(3+1+1+2+1+2+2+1+2+2)</f>
        <v>0</v>
      </c>
      <c r="CH9" s="50">
        <f>(AR9+CG9)/2</f>
        <v>0</v>
      </c>
      <c r="CI9" s="51">
        <f>RANK(CH9,$CH$7:CH38)</f>
        <v>1</v>
      </c>
      <c r="CJ9" s="58"/>
      <c r="CK9" s="52"/>
      <c r="CL9" s="52"/>
      <c r="CM9" s="52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  <c r="FN9" s="53"/>
      <c r="FO9" s="53"/>
      <c r="FP9" s="53"/>
      <c r="FQ9" s="53"/>
      <c r="FR9" s="53"/>
      <c r="FS9" s="53"/>
      <c r="FT9" s="53"/>
      <c r="FU9" s="53"/>
      <c r="FV9" s="53"/>
      <c r="FW9" s="53"/>
      <c r="FX9" s="53"/>
      <c r="FY9" s="53"/>
      <c r="FZ9" s="53"/>
      <c r="GA9" s="53"/>
      <c r="GB9" s="53"/>
      <c r="GC9" s="53"/>
      <c r="GD9" s="53"/>
      <c r="GE9" s="53"/>
      <c r="GF9" s="53"/>
      <c r="GG9" s="53"/>
      <c r="GH9" s="53"/>
      <c r="GI9" s="53"/>
      <c r="GJ9" s="53"/>
      <c r="GK9" s="53"/>
      <c r="GL9" s="53"/>
      <c r="GM9" s="53"/>
      <c r="GN9" s="53"/>
      <c r="GO9" s="53"/>
      <c r="GP9" s="53"/>
      <c r="GQ9" s="53"/>
      <c r="GR9" s="53"/>
      <c r="GS9" s="53"/>
      <c r="GT9" s="53"/>
    </row>
    <row r="10" ht="20" customHeight="1" spans="1:202" s="39" customFormat="1" x14ac:dyDescent="0.25">
      <c r="A10" s="40">
        <v>4</v>
      </c>
      <c r="B10" s="40" t="s">
        <v>267</v>
      </c>
      <c r="C10" s="40" t="s">
        <v>51</v>
      </c>
      <c r="D10" s="40" t="s">
        <v>268</v>
      </c>
      <c r="E10" s="40" t="s">
        <v>64</v>
      </c>
      <c r="F10" s="40"/>
      <c r="G10" s="40"/>
      <c r="H10" s="111"/>
      <c r="I10" s="112"/>
      <c r="J10" s="40">
        <v>1</v>
      </c>
      <c r="K10" s="42">
        <v>95</v>
      </c>
      <c r="L10" s="40">
        <f>IF(K10&gt;=91, 4.00, IF(K10&gt;=81, 3.50, IF(K10&gt;=70, 3.00, IF(K10&gt;=65, 2.50, IF(K10&gt;=60, 2.00, IF(K10&gt;=55, 1.50, IF(K10&gt;=50, 1.00, 0.00)))))))</f>
      </c>
      <c r="M10" s="40">
        <f>IF(K10&gt;=91,"A",IF(K10&gt;=81,"B+",IF(K10&gt;=70,"B",IF(K10&gt;=65,"C+",IF(K10&gt;=60,"C",IF(K10&gt;=55,"D+",IF(K10&gt;=50,"D","F")))))))</f>
      </c>
      <c r="N10" s="42">
        <v>77</v>
      </c>
      <c r="O10" s="40">
        <f>IF(N10&gt;=91, 4.00, IF(N10&gt;=81, 3.50, IF(N10&gt;=70, 3.00, IF(N10&gt;=65, 2.50, IF(N10&gt;=60, 2.00, IF(N10&gt;=55, 1.50, IF(N10&gt;=50, 1.00, 0.00)))))))</f>
      </c>
      <c r="P10" s="40">
        <f>IF(N10&gt;=91,"A",IF(N10&gt;=81,"B+",IF(N10&gt;=70,"B",IF(N10&gt;=65,"C+",IF(N10&gt;=60,"C",IF(N10&gt;=55,"D+",IF(N10&gt;=50,"D","F")))))))</f>
      </c>
      <c r="Q10" s="42">
        <v>80</v>
      </c>
      <c r="R10" s="40">
        <f>IF(Q10&gt;=91, 4.00, IF(Q10&gt;=81, 3.50, IF(Q10&gt;=70, 3.00, IF(Q10&gt;=65, 2.50, IF(Q10&gt;=60, 2.00, IF(Q10&gt;=55, 1.50, IF(Q10&gt;=50, 1.00, 0.00)))))))</f>
      </c>
      <c r="S10" s="40">
        <f>IF(Q10&gt;=91,"A",IF(Q10&gt;=81,"B+",IF(Q10&gt;=70,"B",IF(Q10&gt;=65,"C+",IF(Q10&gt;=60,"C",IF(Q10&gt;=55,"D+",IF(Q10&gt;=50,"D","F")))))))</f>
      </c>
      <c r="T10" s="42">
        <v>83</v>
      </c>
      <c r="U10" s="40">
        <f>IF(T10&gt;=91, 4.00, IF(T10&gt;=81, 3.50, IF(T10&gt;=70, 3.00, IF(T10&gt;=65, 2.50, IF(T10&gt;=60, 2.00, IF(T10&gt;=55, 1.50, IF(T10&gt;=50, 1.00, 0.00)))))))</f>
      </c>
      <c r="V10" s="40">
        <f>IF(T10&gt;=91,"A",IF(T10&gt;=81,"B+",IF(T10&gt;=70,"B",IF(T10&gt;=65,"C+",IF(T10&gt;=60,"C",IF(T10&gt;=55,"D+",IF(T10&gt;=50,"D","F")))))))</f>
      </c>
      <c r="W10" s="42">
        <v>86</v>
      </c>
      <c r="X10" s="40">
        <f>IF(W10&gt;=91, 4.00, IF(W10&gt;=81, 3.50, IF(W10&gt;=70, 3.00, IF(W10&gt;=65, 2.50, IF(W10&gt;=60, 2.00, IF(W10&gt;=55, 1.50, IF(W10&gt;=50, 1.00, 0.00)))))))</f>
      </c>
      <c r="Y10" s="40">
        <f>IF(W10&gt;=91,"A",IF(W10&gt;=81,"B+",IF(W10&gt;=70,"B",IF(W10&gt;=65,"C+",IF(W10&gt;=60,"C",IF(W10&gt;=55,"D+",IF(W10&gt;=50,"D","F")))))))</f>
      </c>
      <c r="Z10" s="46">
        <v>89</v>
      </c>
      <c r="AA10" s="40">
        <f>IF(Z10&gt;=91, 4.00, IF(Z10&gt;=81, 3.50, IF(Z10&gt;=70, 3.00, IF(Z10&gt;=65, 2.50, IF(Z10&gt;=60, 2.00, IF(Z10&gt;=55, 1.50, IF(Z10&gt;=50, 1.00, 0.00)))))))</f>
      </c>
      <c r="AB10" s="40">
        <f>IF(Z10&gt;=91,"A",IF(Z10&gt;=81,"B+",IF(Z10&gt;=70,"B",IF(Z10&gt;=65,"C+",IF(Z10&gt;=60,"C",IF(Z10&gt;=55,"D+",IF(Z10&gt;=50,"D","F")))))))</f>
      </c>
      <c r="AC10" s="42">
        <v>92</v>
      </c>
      <c r="AD10" s="40">
        <f>IF(AC10&gt;=91, 4.00, IF(AC10&gt;=81, 3.50, IF(AC10&gt;=70, 3.00, IF(AC10&gt;=65, 2.50, IF(AC10&gt;=60, 2.00, IF(AC10&gt;=55, 1.50, IF(AC10&gt;=50, 1.00, 0.00)))))))</f>
      </c>
      <c r="AE10" s="40">
        <f>IF(AC10&gt;=91,"A",IF(AC10&gt;=81,"B+",IF(AC10&gt;=70,"B",IF(AC10&gt;=65,"C+",IF(AC10&gt;=60,"C",IF(AC10&gt;=55,"D+",IF(AC10&gt;=50,"D","F")))))))</f>
      </c>
      <c r="AF10" s="40">
        <v>95</v>
      </c>
      <c r="AG10" s="40">
        <f>IF(AF10&gt;=91, 4.00, IF(AF10&gt;=81, 3.50, IF(AF10&gt;=70, 3.00, IF(AF10&gt;=65, 2.50, IF(AF10&gt;=60, 2.00, IF(AF10&gt;=55, 1.50, IF(AF10&gt;=50, 1.00, 0.00)))))))</f>
      </c>
      <c r="AH10" s="40">
        <f>IF(AF10&gt;=91,"A",IF(AF10&gt;=81,"B+",IF(AF10&gt;=70,"B",IF(AF10&gt;=65,"C+",IF(AF10&gt;=60,"C",IF(AF10&gt;=55,"D+",IF(AF10&gt;=50,"D","F")))))))</f>
      </c>
      <c r="AI10" s="46">
        <v>77</v>
      </c>
      <c r="AJ10" s="40">
        <f>IF(AI10&gt;=91, 4.00, IF(AI10&gt;=81, 3.50, IF(AI10&gt;=70, 3.00, IF(AI10&gt;=65, 2.50, IF(AI10&gt;=60, 2.00, IF(AI10&gt;=55, 1.50, IF(AI10&gt;=50, 1.00, 0.00)))))))</f>
      </c>
      <c r="AK10" s="40">
        <f>IF(AI10&gt;=91,"A",IF(AI10&gt;=81,"B+",IF(AI10&gt;=70,"B",IF(AI10&gt;=65,"C+",IF(AI10&gt;=60,"C",IF(AI10&gt;=55,"D+",IF(AI10&gt;=50,"D","F")))))))</f>
      </c>
      <c r="AL10" s="42">
        <v>80</v>
      </c>
      <c r="AM10" s="40">
        <f>IF(AL10&gt;=91, 4.00, IF(AL10&gt;=81, 3.50, IF(AL10&gt;=70, 3.00, IF(AL10&gt;=65, 2.50, IF(AL10&gt;=60, 2.00, IF(AL10&gt;=55, 1.50, IF(AL10&gt;=50, 1.00, 0.00)))))))</f>
      </c>
      <c r="AN10" s="40">
        <f>IF(AL10&gt;=91,"A",IF(AL10&gt;=81,"B+",IF(AL10&gt;=70,"B",IF(AL10&gt;=65,"C+",IF(AL10&gt;=60,"C",IF(AL10&gt;=55,"D+",IF(AL10&gt;=50,"D","F")))))))</f>
      </c>
      <c r="AO10" s="40">
        <v>83</v>
      </c>
      <c r="AP10" s="40">
        <f>IF(AO10&gt;=91, 4.00, IF(AO10&gt;=81, 3.50, IF(AO10&gt;=70, 3.00, IF(AO10&gt;=65, 2.50, IF(AO10&gt;=60, 2.00, IF(AO10&gt;=55, 1.50, IF(AO10&gt;=50, 1.00, 0.00)))))))</f>
      </c>
      <c r="AQ10" s="40">
        <f>IF(AO10&gt;=91,"A",IF(AO10&gt;=81,"B+",IF(AO10&gt;=70,"B",IF(AO10&gt;=65,"C+",IF(AO10&gt;=60,"C",IF(AO10&gt;=55,"D+",IF(AO10&gt;=50,"D","F")))))))</f>
      </c>
      <c r="AR10" s="40">
        <f>ROUND((L10*3+O10*2+R10*1+U10*1+X10*1+AA10*2+AD10*2+AG10*2+AJ10*1+AM10*2+AP10*2)/19, 2)</f>
      </c>
      <c r="AS10" s="47">
        <v>87</v>
      </c>
      <c r="AT10" s="40">
        <f>IF(AS10&gt;=91, 4.00, IF(AS10&gt;=81, 3.50, IF(AS10&gt;=70, 3.00, IF(AS10&gt;=65, 2.50, IF(AS10&gt;=60, 2.00, IF(AS10&gt;=55, 1.50, IF(AS10&gt;=50, 1.00, 0.00)))))))</f>
      </c>
      <c r="AU10" s="40">
        <f>IF(AS10&gt;=91,"A",IF(AS10&gt;=81,"B+",IF(AS10&gt;=70,"B",IF(AS10&gt;=65,"C+",IF(AS10&gt;=60,"C",IF(AS10&gt;=55,"D+",IF(AS10&gt;=50,"D","F")))))))</f>
      </c>
      <c r="AV10" s="40" t="s">
        <v>51</v>
      </c>
      <c r="AW10" s="40">
        <f>IF(AV10&gt;=91, 4.00, IF(AV10&gt;=81, 3.50, IF(AV10&gt;=70, 3.00, IF(AV10&gt;=65, 2.50, IF(AV10&gt;=60, 2.00, IF(AV10&gt;=55, 1.50, IF(AV10&gt;=50, 1.00, 0.00)))))))</f>
      </c>
      <c r="AX10" s="40">
        <f>IF(AV10&gt;=91,"A",IF(AV10&gt;=81,"B+",IF(AV10&gt;=70,"B",IF(AV10&gt;=65,"C+",IF(AV10&gt;=60,"C",IF(AV10&gt;=55,"D+",IF(AV10&gt;=50,"D","F")))))))</f>
      </c>
      <c r="AY10" s="40">
        <v>93</v>
      </c>
      <c r="AZ10" s="40">
        <f>IF(AY10&gt;=91, 4.00, IF(AY10&gt;=81, 3.50, IF(AY10&gt;=70, 3.00, IF(AY10&gt;=65, 2.50, IF(AY10&gt;=60, 2.00, IF(AY10&gt;=55, 1.50, IF(AY10&gt;=50, 1.00, 0.00)))))))</f>
      </c>
      <c r="BA10" s="111">
        <f>IF(AY10&gt;=91,"A",IF(AY10&gt;=81,"B+",IF(AY10&gt;=70,"B",IF(AY10&gt;=65,"C+",IF(AY10&gt;=60,"C",IF(AY10&gt;=55,"D+",IF(AY10&gt;=50,"D","F")))))))</f>
      </c>
      <c r="BB10" s="112">
        <v>75</v>
      </c>
      <c r="BC10" s="48">
        <f>IF(BB10&gt;=91, 4.00, IF(BB10&gt;=81, 3.50, IF(BB10&gt;=70, 3.00, IF(BB10&gt;=65, 2.50, IF(BB10&gt;=60, 2.00, IF(BB10&gt;=55, 1.50, IF(BB10&gt;=50, 1.00, 0.00)))))))</f>
      </c>
      <c r="BD10" s="49">
        <f>IF(BB10&gt;=91,"A",IF(BB10&gt;=81,"B+",IF(BB10&gt;=70,"B",IF(BB10&gt;=65,"C+",IF(BB10&gt;=60,"C",IF(BB10&gt;=55,"D+",IF(BB10&gt;=50,"D","F")))))))</f>
      </c>
      <c r="BE10" s="40" t="str">
        <f>IF(BC10&gt;90,"A",IF(BC10&gt;80,"B+",IF(BC10&gt;69,"B",IF(BC10&gt;64,"C+",IF(BC10&gt;59,"C",IF(BC10&gt;54,"D+",IF(BC10&gt;49,"D",IF(BC10&gt;=0,"F"))))))))</f>
        <v>F</v>
      </c>
      <c r="BF10" s="48">
        <f>IF(BE10&gt;=91, 4.00, IF(BE10&gt;=81, 3.50, IF(BE10&gt;=70, 3.00, IF(BE10&gt;=65, 2.50, IF(BE10&gt;=60, 2.00, IF(BE10&gt;=55, 1.50, IF(BE10&gt;=50, 1.00, 0.00)))))))</f>
      </c>
      <c r="BG10" s="49">
        <f>IF(BE10&gt;=91,"A",IF(BE10&gt;=81,"B+",IF(BE10&gt;=70,"B",IF(BE10&gt;=65,"C+",IF(BE10&gt;=60,"C",IF(BE10&gt;=55,"D+",IF(BE10&gt;=50,"D","F")))))))</f>
      </c>
      <c r="BH10" s="40" t="str">
        <f>IF(BF10&gt;90,"A",IF(BF10&gt;80,"B+",IF(BF10&gt;69,"B",IF(BF10&gt;64,"C+",IF(BF10&gt;59,"C",IF(BF10&gt;54,"D+",IF(BF10&gt;49,"D",IF(BF10&gt;=0,"F"))))))))</f>
        <v>F</v>
      </c>
      <c r="BI10" s="43">
        <f>IF(BH10&gt;=91, 4.00, IF(BH10&gt;=81, 3.50, IF(BH10&gt;=70, 3.00, IF(BH10&gt;=65, 2.50, IF(BH10&gt;=60, 2.00, IF(BH10&gt;=55, 1.50, IF(BH10&gt;=50, 1.00, 0.00)))))))</f>
      </c>
      <c r="BJ10" s="49">
        <f>IF(BH10&gt;=91,"A",IF(BH10&gt;=81,"B+",IF(BH10&gt;=70,"B",IF(BH10&gt;=65,"C+",IF(BH10&gt;=60,"C",IF(BH10&gt;=55,"D+",IF(BH10&gt;=50,"D","F")))))))</f>
      </c>
      <c r="BK10" s="40" t="str">
        <f>IF(BI10&gt;90,"A",IF(BI10&gt;80,"B+",IF(BI10&gt;69,"B",IF(BI10&gt;64,"C+",IF(BI10&gt;59,"C",IF(BI10&gt;54,"D+",IF(BI10&gt;49,"D",IF(BI10&gt;=0,"F"))))))))</f>
        <v>F</v>
      </c>
      <c r="BL10" s="48">
        <f>IF(BK10&gt;=91, 4.00, IF(BK10&gt;=81, 3.50, IF(BK10&gt;=70, 3.00, IF(BK10&gt;=65, 2.50, IF(BK10&gt;=60, 2.00, IF(BK10&gt;=55, 1.50, IF(BK10&gt;=50, 1.00, 0.00)))))))</f>
      </c>
      <c r="BM10" s="49">
        <f>IF(BK10&gt;=91,"A",IF(BK10&gt;=81,"B+",IF(BK10&gt;=70,"B",IF(BK10&gt;=65,"C+",IF(BK10&gt;=60,"C",IF(BK10&gt;=55,"D+",IF(BK10&gt;=50,"D","F")))))))</f>
      </c>
      <c r="BN10" s="40" t="str">
        <f>IF(BL10&gt;90,"A",IF(BL10&gt;80,"B+",IF(BL10&gt;69,"B",IF(BL10&gt;64,"C+",IF(BL10&gt;59,"C",IF(BL10&gt;54,"D+",IF(BL10&gt;49,"D",IF(BL10&gt;=0,"F"))))))))</f>
        <v>F</v>
      </c>
      <c r="BO10" s="43">
        <f>IF(BN10&gt;=91, 4.00, IF(BN10&gt;=81, 3.50, IF(BN10&gt;=70, 3.00, IF(BN10&gt;=65, 2.50, IF(BN10&gt;=60, 2.00, IF(BN10&gt;=55, 1.50, IF(BN10&gt;=50, 1.00, 0.00)))))))</f>
      </c>
      <c r="BP10" s="49">
        <f>IF(BN10&gt;=91,"A",IF(BN10&gt;=81,"B+",IF(BN10&gt;=70,"B",IF(BN10&gt;=65,"C+",IF(BN10&gt;=60,"C",IF(BN10&gt;=55,"D+",IF(BN10&gt;=50,"D","F")))))))</f>
      </c>
      <c r="BQ10" s="40" t="str">
        <f>IF(BO10&gt;90,"A",IF(BO10&gt;80,"B+",IF(BO10&gt;69,"B",IF(BO10&gt;64,"C+",IF(BO10&gt;59,"C",IF(BO10&gt;54,"D+",IF(BO10&gt;49,"D",IF(BO10&gt;=0,"F"))))))))</f>
        <v>F</v>
      </c>
      <c r="BR10" s="43">
        <f>IF(BQ10&gt;=91, 4.00, IF(BQ10&gt;=81, 3.50, IF(BQ10&gt;=70, 3.00, IF(BQ10&gt;=65, 2.50, IF(BQ10&gt;=60, 2.00, IF(BQ10&gt;=55, 1.50, IF(BQ10&gt;=50, 1.00, 0.00)))))))</f>
      </c>
      <c r="BS10" s="49">
        <f>IF(BQ10&gt;=91,"A",IF(BQ10&gt;=81,"B+",IF(BQ10&gt;=70,"B",IF(BQ10&gt;=65,"C+",IF(BQ10&gt;=60,"C",IF(BQ10&gt;=55,"D+",IF(BQ10&gt;=50,"D","F")))))))</f>
      </c>
      <c r="BT10" s="40" t="str">
        <f>IF(BR10&gt;90,"A",IF(BR10&gt;80,"B+",IF(BR10&gt;69,"B",IF(BR10&gt;64,"C+",IF(BR10&gt;59,"C",IF(BR10&gt;54,"D+",IF(BR10&gt;49,"D",IF(BR10&gt;=0,"F"))))))))</f>
        <v>F</v>
      </c>
      <c r="BU10" s="49">
        <f>IF(BT10&gt;=91, 4.00, IF(BT10&gt;=81, 3.50, IF(BT10&gt;=70, 3.00, IF(BT10&gt;=65, 2.50, IF(BT10&gt;=60, 2.00, IF(BT10&gt;=55, 1.50, IF(BT10&gt;=50, 1.00, 0.00)))))))</f>
      </c>
      <c r="BV10" s="49">
        <f>IF(BT10&gt;=91,"A",IF(BT10&gt;=81,"B+",IF(BT10&gt;=70,"B",IF(BT10&gt;=65,"C+",IF(BT10&gt;=60,"C",IF(BT10&gt;=55,"D+",IF(BT10&gt;=50,"D","F")))))))</f>
      </c>
      <c r="BW10" s="40">
        <f>ROUND((AT10*3+AW10*2+AZ10*1+BC10*1+BF10*1+BI10*2+BL10*2+BO10*1+BR10*2+BU10*3)/18, 2)</f>
      </c>
      <c r="BX10" s="49"/>
      <c r="BY10" s="49" t="str">
        <f>IF(BX10&gt;90,"4.00",IF(BX10&gt;80,"3.50",IF(BX10&gt;69,"3.00",IF(BX10&gt;64,"2.50",IF(BX10&gt;59,"2.00",IF(BX10&gt;54,"1.50",IF(BX10&gt;49,"1.00","0.00")))))))</f>
        <v>0.00</v>
      </c>
      <c r="BZ10" s="40" t="str">
        <f>IF(BX10&gt;90,"A",IF(BX10&gt;80,"B+",IF(BX10&gt;69,"B",IF(BX10&gt;64,"C+",IF(BX10&gt;59,"C",IF(BX10&gt;54,"D+",IF(BX10&gt;49,"D",IF(BX10&gt;=0,"F"))))))))</f>
        <v>F</v>
      </c>
      <c r="CA10" s="49"/>
      <c r="CB10" s="49" t="str">
        <f>IF(CA10&gt;90,"4.00",IF(CA10&gt;80,"3.50",IF(CA10&gt;69,"3.00",IF(CA10&gt;64,"2.50",IF(CA10&gt;59,"2.00",IF(CA10&gt;54,"1.50",IF(CA10&gt;49,"1.00","0.00")))))))</f>
        <v>0.00</v>
      </c>
      <c r="CC10" s="40" t="str">
        <f>IF(CA10&gt;90,"A",IF(CA10&gt;80,"B+",IF(CA10&gt;69,"B",IF(CA10&gt;64,"C+",IF(CA10&gt;59,"C",IF(CA10&gt;54,"D+",IF(CA10&gt;49,"D",IF(CA10&gt;=0,"F"))))))))</f>
        <v>F</v>
      </c>
      <c r="CD10" s="49"/>
      <c r="CE10" s="49" t="str">
        <f>IF(CD10&gt;90,"4.00",IF(CD10&gt;80,"3.50",IF(CD10&gt;69,"3.00",IF(CD10&gt;64,"2.50",IF(CD10&gt;59,"2.00",IF(CD10&gt;54,"1.50",IF(CD10&gt;49,"1.00","0.00")))))))</f>
        <v>0.00</v>
      </c>
      <c r="CF10" s="40" t="str">
        <f>IF(CD10&gt;90,"A",IF(CD10&gt;80,"B+",IF(CD10&gt;69,"B",IF(CD10&gt;64,"C+",IF(CD10&gt;59,"C",IF(CD10&gt;54,"D+",IF(CD10&gt;49,"D",IF(CD10&gt;=0,"F"))))))))</f>
        <v>F</v>
      </c>
      <c r="CG10" s="50">
        <f>(BD10*3+BG10*1+BJ10*1+BM10*2+BP10*1+BS10*2+BV10*2+BY10*1+CB10*2+CE10*2)/(3+1+1+2+1+2+2+1+2+2)</f>
        <v>0</v>
      </c>
      <c r="CH10" s="50">
        <f>(AR10+CG10)/2</f>
        <v>0</v>
      </c>
      <c r="CI10" s="51">
        <f>RANK(CH10,$CH$7:CH39)</f>
        <v>1</v>
      </c>
      <c r="CJ10" s="58"/>
      <c r="CK10" s="52"/>
      <c r="CL10" s="52"/>
      <c r="CM10" s="52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  <c r="FN10" s="53"/>
      <c r="FO10" s="53"/>
      <c r="FP10" s="53"/>
      <c r="FQ10" s="53"/>
      <c r="FR10" s="53"/>
      <c r="FS10" s="53"/>
      <c r="FT10" s="53"/>
      <c r="FU10" s="53"/>
      <c r="FV10" s="53"/>
      <c r="FW10" s="53"/>
      <c r="FX10" s="53"/>
      <c r="FY10" s="53"/>
      <c r="FZ10" s="53"/>
      <c r="GA10" s="53"/>
      <c r="GB10" s="53"/>
      <c r="GC10" s="53"/>
      <c r="GD10" s="53"/>
      <c r="GE10" s="53"/>
      <c r="GF10" s="53"/>
      <c r="GG10" s="53"/>
      <c r="GH10" s="53"/>
      <c r="GI10" s="53"/>
      <c r="GJ10" s="53"/>
      <c r="GK10" s="53"/>
      <c r="GL10" s="53"/>
      <c r="GM10" s="53"/>
      <c r="GN10" s="53"/>
      <c r="GO10" s="53"/>
      <c r="GP10" s="53"/>
      <c r="GQ10" s="53"/>
      <c r="GR10" s="53"/>
      <c r="GS10" s="53"/>
      <c r="GT10" s="53"/>
    </row>
    <row r="11" ht="20" customHeight="1" spans="1:202" s="39" customFormat="1" x14ac:dyDescent="0.25">
      <c r="A11" s="40">
        <v>5</v>
      </c>
      <c r="B11" s="40" t="s">
        <v>269</v>
      </c>
      <c r="C11" s="40" t="s">
        <v>51</v>
      </c>
      <c r="D11" s="40" t="s">
        <v>70</v>
      </c>
      <c r="E11" s="40" t="s">
        <v>71</v>
      </c>
      <c r="F11" s="40"/>
      <c r="G11" s="40"/>
      <c r="H11" s="111"/>
      <c r="I11" s="112"/>
      <c r="J11" s="40">
        <v>1</v>
      </c>
      <c r="K11" s="42">
        <v>77</v>
      </c>
      <c r="L11" s="40">
        <f>IF(K11&gt;=91, 4.00, IF(K11&gt;=81, 3.50, IF(K11&gt;=70, 3.00, IF(K11&gt;=65, 2.50, IF(K11&gt;=60, 2.00, IF(K11&gt;=55, 1.50, IF(K11&gt;=50, 1.00, 0.00)))))))</f>
      </c>
      <c r="M11" s="40">
        <f>IF(K11&gt;=91,"A",IF(K11&gt;=81,"B+",IF(K11&gt;=70,"B",IF(K11&gt;=65,"C+",IF(K11&gt;=60,"C",IF(K11&gt;=55,"D+",IF(K11&gt;=50,"D","F")))))))</f>
      </c>
      <c r="N11" s="42">
        <v>80</v>
      </c>
      <c r="O11" s="40">
        <f>IF(N11&gt;=91, 4.00, IF(N11&gt;=81, 3.50, IF(N11&gt;=70, 3.00, IF(N11&gt;=65, 2.50, IF(N11&gt;=60, 2.00, IF(N11&gt;=55, 1.50, IF(N11&gt;=50, 1.00, 0.00)))))))</f>
      </c>
      <c r="P11" s="40">
        <f>IF(N11&gt;=91,"A",IF(N11&gt;=81,"B+",IF(N11&gt;=70,"B",IF(N11&gt;=65,"C+",IF(N11&gt;=60,"C",IF(N11&gt;=55,"D+",IF(N11&gt;=50,"D","F")))))))</f>
      </c>
      <c r="Q11" s="42">
        <v>83</v>
      </c>
      <c r="R11" s="40">
        <f>IF(Q11&gt;=91, 4.00, IF(Q11&gt;=81, 3.50, IF(Q11&gt;=70, 3.00, IF(Q11&gt;=65, 2.50, IF(Q11&gt;=60, 2.00, IF(Q11&gt;=55, 1.50, IF(Q11&gt;=50, 1.00, 0.00)))))))</f>
      </c>
      <c r="S11" s="40">
        <f>IF(Q11&gt;=91,"A",IF(Q11&gt;=81,"B+",IF(Q11&gt;=70,"B",IF(Q11&gt;=65,"C+",IF(Q11&gt;=60,"C",IF(Q11&gt;=55,"D+",IF(Q11&gt;=50,"D","F")))))))</f>
      </c>
      <c r="T11" s="42">
        <v>86</v>
      </c>
      <c r="U11" s="40">
        <f>IF(T11&gt;=91, 4.00, IF(T11&gt;=81, 3.50, IF(T11&gt;=70, 3.00, IF(T11&gt;=65, 2.50, IF(T11&gt;=60, 2.00, IF(T11&gt;=55, 1.50, IF(T11&gt;=50, 1.00, 0.00)))))))</f>
      </c>
      <c r="V11" s="40">
        <f>IF(T11&gt;=91,"A",IF(T11&gt;=81,"B+",IF(T11&gt;=70,"B",IF(T11&gt;=65,"C+",IF(T11&gt;=60,"C",IF(T11&gt;=55,"D+",IF(T11&gt;=50,"D","F")))))))</f>
      </c>
      <c r="W11" s="42">
        <v>89</v>
      </c>
      <c r="X11" s="40">
        <f>IF(W11&gt;=91, 4.00, IF(W11&gt;=81, 3.50, IF(W11&gt;=70, 3.00, IF(W11&gt;=65, 2.50, IF(W11&gt;=60, 2.00, IF(W11&gt;=55, 1.50, IF(W11&gt;=50, 1.00, 0.00)))))))</f>
      </c>
      <c r="Y11" s="40">
        <f>IF(W11&gt;=91,"A",IF(W11&gt;=81,"B+",IF(W11&gt;=70,"B",IF(W11&gt;=65,"C+",IF(W11&gt;=60,"C",IF(W11&gt;=55,"D+",IF(W11&gt;=50,"D","F")))))))</f>
      </c>
      <c r="Z11" s="46">
        <v>92</v>
      </c>
      <c r="AA11" s="40">
        <f>IF(Z11&gt;=91, 4.00, IF(Z11&gt;=81, 3.50, IF(Z11&gt;=70, 3.00, IF(Z11&gt;=65, 2.50, IF(Z11&gt;=60, 2.00, IF(Z11&gt;=55, 1.50, IF(Z11&gt;=50, 1.00, 0.00)))))))</f>
      </c>
      <c r="AB11" s="40">
        <f>IF(Z11&gt;=91,"A",IF(Z11&gt;=81,"B+",IF(Z11&gt;=70,"B",IF(Z11&gt;=65,"C+",IF(Z11&gt;=60,"C",IF(Z11&gt;=55,"D+",IF(Z11&gt;=50,"D","F")))))))</f>
      </c>
      <c r="AC11" s="42">
        <v>95</v>
      </c>
      <c r="AD11" s="40">
        <f>IF(AC11&gt;=91, 4.00, IF(AC11&gt;=81, 3.50, IF(AC11&gt;=70, 3.00, IF(AC11&gt;=65, 2.50, IF(AC11&gt;=60, 2.00, IF(AC11&gt;=55, 1.50, IF(AC11&gt;=50, 1.00, 0.00)))))))</f>
      </c>
      <c r="AE11" s="40">
        <f>IF(AC11&gt;=91,"A",IF(AC11&gt;=81,"B+",IF(AC11&gt;=70,"B",IF(AC11&gt;=65,"C+",IF(AC11&gt;=60,"C",IF(AC11&gt;=55,"D+",IF(AC11&gt;=50,"D","F")))))))</f>
      </c>
      <c r="AF11" s="40">
        <v>77</v>
      </c>
      <c r="AG11" s="40">
        <f>IF(AF11&gt;=91, 4.00, IF(AF11&gt;=81, 3.50, IF(AF11&gt;=70, 3.00, IF(AF11&gt;=65, 2.50, IF(AF11&gt;=60, 2.00, IF(AF11&gt;=55, 1.50, IF(AF11&gt;=50, 1.00, 0.00)))))))</f>
      </c>
      <c r="AH11" s="40">
        <f>IF(AF11&gt;=91,"A",IF(AF11&gt;=81,"B+",IF(AF11&gt;=70,"B",IF(AF11&gt;=65,"C+",IF(AF11&gt;=60,"C",IF(AF11&gt;=55,"D+",IF(AF11&gt;=50,"D","F")))))))</f>
      </c>
      <c r="AI11" s="46">
        <v>80</v>
      </c>
      <c r="AJ11" s="40">
        <f>IF(AI11&gt;=91, 4.00, IF(AI11&gt;=81, 3.50, IF(AI11&gt;=70, 3.00, IF(AI11&gt;=65, 2.50, IF(AI11&gt;=60, 2.00, IF(AI11&gt;=55, 1.50, IF(AI11&gt;=50, 1.00, 0.00)))))))</f>
      </c>
      <c r="AK11" s="40">
        <f>IF(AI11&gt;=91,"A",IF(AI11&gt;=81,"B+",IF(AI11&gt;=70,"B",IF(AI11&gt;=65,"C+",IF(AI11&gt;=60,"C",IF(AI11&gt;=55,"D+",IF(AI11&gt;=50,"D","F")))))))</f>
      </c>
      <c r="AL11" s="42">
        <v>83</v>
      </c>
      <c r="AM11" s="40">
        <f>IF(AL11&gt;=91, 4.00, IF(AL11&gt;=81, 3.50, IF(AL11&gt;=70, 3.00, IF(AL11&gt;=65, 2.50, IF(AL11&gt;=60, 2.00, IF(AL11&gt;=55, 1.50, IF(AL11&gt;=50, 1.00, 0.00)))))))</f>
      </c>
      <c r="AN11" s="40">
        <f>IF(AL11&gt;=91,"A",IF(AL11&gt;=81,"B+",IF(AL11&gt;=70,"B",IF(AL11&gt;=65,"C+",IF(AL11&gt;=60,"C",IF(AL11&gt;=55,"D+",IF(AL11&gt;=50,"D","F")))))))</f>
      </c>
      <c r="AO11" s="40">
        <v>86</v>
      </c>
      <c r="AP11" s="40">
        <f>IF(AO11&gt;=91, 4.00, IF(AO11&gt;=81, 3.50, IF(AO11&gt;=70, 3.00, IF(AO11&gt;=65, 2.50, IF(AO11&gt;=60, 2.00, IF(AO11&gt;=55, 1.50, IF(AO11&gt;=50, 1.00, 0.00)))))))</f>
      </c>
      <c r="AQ11" s="40">
        <f>IF(AO11&gt;=91,"A",IF(AO11&gt;=81,"B+",IF(AO11&gt;=70,"B",IF(AO11&gt;=65,"C+",IF(AO11&gt;=60,"C",IF(AO11&gt;=55,"D+",IF(AO11&gt;=50,"D","F")))))))</f>
      </c>
      <c r="AR11" s="40">
        <f>ROUND((L11*3+O11*2+R11*1+U11*1+X11*1+AA11*2+AD11*2+AG11*2+AJ11*1+AM11*2+AP11*2)/19, 2)</f>
      </c>
      <c r="AS11" s="47">
        <v>90</v>
      </c>
      <c r="AT11" s="40">
        <f>IF(AS11&gt;=91, 4.00, IF(AS11&gt;=81, 3.50, IF(AS11&gt;=70, 3.00, IF(AS11&gt;=65, 2.50, IF(AS11&gt;=60, 2.00, IF(AS11&gt;=55, 1.50, IF(AS11&gt;=50, 1.00, 0.00)))))))</f>
      </c>
      <c r="AU11" s="40">
        <f>IF(AS11&gt;=91,"A",IF(AS11&gt;=81,"B+",IF(AS11&gt;=70,"B",IF(AS11&gt;=65,"C+",IF(AS11&gt;=60,"C",IF(AS11&gt;=55,"D+",IF(AS11&gt;=50,"D","F")))))))</f>
      </c>
      <c r="AV11" s="40" t="s">
        <v>51</v>
      </c>
      <c r="AW11" s="40">
        <f>IF(AV11&gt;=91, 4.00, IF(AV11&gt;=81, 3.50, IF(AV11&gt;=70, 3.00, IF(AV11&gt;=65, 2.50, IF(AV11&gt;=60, 2.00, IF(AV11&gt;=55, 1.50, IF(AV11&gt;=50, 1.00, 0.00)))))))</f>
      </c>
      <c r="AX11" s="40">
        <f>IF(AV11&gt;=91,"A",IF(AV11&gt;=81,"B+",IF(AV11&gt;=70,"B",IF(AV11&gt;=65,"C+",IF(AV11&gt;=60,"C",IF(AV11&gt;=55,"D+",IF(AV11&gt;=50,"D","F")))))))</f>
      </c>
      <c r="AY11" s="40">
        <v>75</v>
      </c>
      <c r="AZ11" s="40">
        <f>IF(AY11&gt;=91, 4.00, IF(AY11&gt;=81, 3.50, IF(AY11&gt;=70, 3.00, IF(AY11&gt;=65, 2.50, IF(AY11&gt;=60, 2.00, IF(AY11&gt;=55, 1.50, IF(AY11&gt;=50, 1.00, 0.00)))))))</f>
      </c>
      <c r="BA11" s="111">
        <f>IF(AY11&gt;=91,"A",IF(AY11&gt;=81,"B+",IF(AY11&gt;=70,"B",IF(AY11&gt;=65,"C+",IF(AY11&gt;=60,"C",IF(AY11&gt;=55,"D+",IF(AY11&gt;=50,"D","F")))))))</f>
      </c>
      <c r="BB11" s="112">
        <v>78</v>
      </c>
      <c r="BC11" s="40">
        <f>IF(BB11&gt;=91, 4.00, IF(BB11&gt;=81, 3.50, IF(BB11&gt;=70, 3.00, IF(BB11&gt;=65, 2.50, IF(BB11&gt;=60, 2.00, IF(BB11&gt;=55, 1.50, IF(BB11&gt;=50, 1.00, 0.00)))))))</f>
      </c>
      <c r="BD11" s="49">
        <f>IF(BB11&gt;=91,"A",IF(BB11&gt;=81,"B+",IF(BB11&gt;=70,"B",IF(BB11&gt;=65,"C+",IF(BB11&gt;=60,"C",IF(BB11&gt;=55,"D+",IF(BB11&gt;=50,"D","F")))))))</f>
      </c>
      <c r="BE11" s="40" t="str">
        <f>IF(BC11&gt;90,"A",IF(BC11&gt;80,"B+",IF(BC11&gt;69,"B",IF(BC11&gt;64,"C+",IF(BC11&gt;59,"C",IF(BC11&gt;54,"D+",IF(BC11&gt;49,"D",IF(BC11&gt;=0,"F"))))))))</f>
        <v>F</v>
      </c>
      <c r="BF11" s="48">
        <f>IF(BE11&gt;=91, 4.00, IF(BE11&gt;=81, 3.50, IF(BE11&gt;=70, 3.00, IF(BE11&gt;=65, 2.50, IF(BE11&gt;=60, 2.00, IF(BE11&gt;=55, 1.50, IF(BE11&gt;=50, 1.00, 0.00)))))))</f>
      </c>
      <c r="BG11" s="49">
        <f>IF(BE11&gt;=91,"A",IF(BE11&gt;=81,"B+",IF(BE11&gt;=70,"B",IF(BE11&gt;=65,"C+",IF(BE11&gt;=60,"C",IF(BE11&gt;=55,"D+",IF(BE11&gt;=50,"D","F")))))))</f>
      </c>
      <c r="BH11" s="40" t="str">
        <f>IF(BF11&gt;90,"A",IF(BF11&gt;80,"B+",IF(BF11&gt;69,"B",IF(BF11&gt;64,"C+",IF(BF11&gt;59,"C",IF(BF11&gt;54,"D+",IF(BF11&gt;49,"D",IF(BF11&gt;=0,"F"))))))))</f>
        <v>F</v>
      </c>
      <c r="BI11" s="43">
        <f>IF(BH11&gt;=91, 4.00, IF(BH11&gt;=81, 3.50, IF(BH11&gt;=70, 3.00, IF(BH11&gt;=65, 2.50, IF(BH11&gt;=60, 2.00, IF(BH11&gt;=55, 1.50, IF(BH11&gt;=50, 1.00, 0.00)))))))</f>
      </c>
      <c r="BJ11" s="49">
        <f>IF(BH11&gt;=91,"A",IF(BH11&gt;=81,"B+",IF(BH11&gt;=70,"B",IF(BH11&gt;=65,"C+",IF(BH11&gt;=60,"C",IF(BH11&gt;=55,"D+",IF(BH11&gt;=50,"D","F")))))))</f>
      </c>
      <c r="BK11" s="40" t="str">
        <f>IF(BI11&gt;90,"A",IF(BI11&gt;80,"B+",IF(BI11&gt;69,"B",IF(BI11&gt;64,"C+",IF(BI11&gt;59,"C",IF(BI11&gt;54,"D+",IF(BI11&gt;49,"D",IF(BI11&gt;=0,"F"))))))))</f>
        <v>F</v>
      </c>
      <c r="BL11" s="48">
        <f>IF(BK11&gt;=91, 4.00, IF(BK11&gt;=81, 3.50, IF(BK11&gt;=70, 3.00, IF(BK11&gt;=65, 2.50, IF(BK11&gt;=60, 2.00, IF(BK11&gt;=55, 1.50, IF(BK11&gt;=50, 1.00, 0.00)))))))</f>
      </c>
      <c r="BM11" s="49">
        <f>IF(BK11&gt;=91,"A",IF(BK11&gt;=81,"B+",IF(BK11&gt;=70,"B",IF(BK11&gt;=65,"C+",IF(BK11&gt;=60,"C",IF(BK11&gt;=55,"D+",IF(BK11&gt;=50,"D","F")))))))</f>
      </c>
      <c r="BN11" s="40" t="str">
        <f>IF(BL11&gt;90,"A",IF(BL11&gt;80,"B+",IF(BL11&gt;69,"B",IF(BL11&gt;64,"C+",IF(BL11&gt;59,"C",IF(BL11&gt;54,"D+",IF(BL11&gt;49,"D",IF(BL11&gt;=0,"F"))))))))</f>
        <v>F</v>
      </c>
      <c r="BO11" s="43">
        <f>IF(BN11&gt;=91, 4.00, IF(BN11&gt;=81, 3.50, IF(BN11&gt;=70, 3.00, IF(BN11&gt;=65, 2.50, IF(BN11&gt;=60, 2.00, IF(BN11&gt;=55, 1.50, IF(BN11&gt;=50, 1.00, 0.00)))))))</f>
      </c>
      <c r="BP11" s="49">
        <f>IF(BN11&gt;=91,"A",IF(BN11&gt;=81,"B+",IF(BN11&gt;=70,"B",IF(BN11&gt;=65,"C+",IF(BN11&gt;=60,"C",IF(BN11&gt;=55,"D+",IF(BN11&gt;=50,"D","F")))))))</f>
      </c>
      <c r="BQ11" s="40" t="str">
        <f>IF(BO11&gt;90,"A",IF(BO11&gt;80,"B+",IF(BO11&gt;69,"B",IF(BO11&gt;64,"C+",IF(BO11&gt;59,"C",IF(BO11&gt;54,"D+",IF(BO11&gt;49,"D",IF(BO11&gt;=0,"F"))))))))</f>
        <v>F</v>
      </c>
      <c r="BR11" s="43">
        <f>IF(BQ11&gt;=91, 4.00, IF(BQ11&gt;=81, 3.50, IF(BQ11&gt;=70, 3.00, IF(BQ11&gt;=65, 2.50, IF(BQ11&gt;=60, 2.00, IF(BQ11&gt;=55, 1.50, IF(BQ11&gt;=50, 1.00, 0.00)))))))</f>
      </c>
      <c r="BS11" s="49">
        <f>IF(BQ11&gt;=91,"A",IF(BQ11&gt;=81,"B+",IF(BQ11&gt;=70,"B",IF(BQ11&gt;=65,"C+",IF(BQ11&gt;=60,"C",IF(BQ11&gt;=55,"D+",IF(BQ11&gt;=50,"D","F")))))))</f>
      </c>
      <c r="BT11" s="40" t="str">
        <f>IF(BR11&gt;90,"A",IF(BR11&gt;80,"B+",IF(BR11&gt;69,"B",IF(BR11&gt;64,"C+",IF(BR11&gt;59,"C",IF(BR11&gt;54,"D+",IF(BR11&gt;49,"D",IF(BR11&gt;=0,"F"))))))))</f>
        <v>F</v>
      </c>
      <c r="BU11" s="49">
        <f>IF(BT11&gt;=91, 4.00, IF(BT11&gt;=81, 3.50, IF(BT11&gt;=70, 3.00, IF(BT11&gt;=65, 2.50, IF(BT11&gt;=60, 2.00, IF(BT11&gt;=55, 1.50, IF(BT11&gt;=50, 1.00, 0.00)))))))</f>
      </c>
      <c r="BV11" s="49">
        <f>IF(BT11&gt;=91,"A",IF(BT11&gt;=81,"B+",IF(BT11&gt;=70,"B",IF(BT11&gt;=65,"C+",IF(BT11&gt;=60,"C",IF(BT11&gt;=55,"D+",IF(BT11&gt;=50,"D","F")))))))</f>
      </c>
      <c r="BW11" s="40">
        <f>ROUND((AT11*3+AW11*2+AZ11*1+BC11*1+BF11*1+BI11*2+BL11*2+BO11*1+BR11*2+BU11*3)/18, 2)</f>
      </c>
      <c r="BX11" s="49"/>
      <c r="BY11" s="49" t="str">
        <f>IF(BX11&gt;90,"4.00",IF(BX11&gt;80,"3.50",IF(BX11&gt;69,"3.00",IF(BX11&gt;64,"2.50",IF(BX11&gt;59,"2.00",IF(BX11&gt;54,"1.50",IF(BX11&gt;49,"1.00","0.00")))))))</f>
        <v>0.00</v>
      </c>
      <c r="BZ11" s="40" t="str">
        <f>IF(BX11&gt;90,"A",IF(BX11&gt;80,"B+",IF(BX11&gt;69,"B",IF(BX11&gt;64,"C+",IF(BX11&gt;59,"C",IF(BX11&gt;54,"D+",IF(BX11&gt;49,"D",IF(BX11&gt;=0,"F"))))))))</f>
        <v>F</v>
      </c>
      <c r="CA11" s="49"/>
      <c r="CB11" s="49" t="str">
        <f>IF(CA11&gt;90,"4.00",IF(CA11&gt;80,"3.50",IF(CA11&gt;69,"3.00",IF(CA11&gt;64,"2.50",IF(CA11&gt;59,"2.00",IF(CA11&gt;54,"1.50",IF(CA11&gt;49,"1.00","0.00")))))))</f>
        <v>0.00</v>
      </c>
      <c r="CC11" s="40" t="str">
        <f>IF(CA11&gt;90,"A",IF(CA11&gt;80,"B+",IF(CA11&gt;69,"B",IF(CA11&gt;64,"C+",IF(CA11&gt;59,"C",IF(CA11&gt;54,"D+",IF(CA11&gt;49,"D",IF(CA11&gt;=0,"F"))))))))</f>
        <v>F</v>
      </c>
      <c r="CD11" s="49"/>
      <c r="CE11" s="49" t="str">
        <f>IF(CD11&gt;90,"4.00",IF(CD11&gt;80,"3.50",IF(CD11&gt;69,"3.00",IF(CD11&gt;64,"2.50",IF(CD11&gt;59,"2.00",IF(CD11&gt;54,"1.50",IF(CD11&gt;49,"1.00","0.00")))))))</f>
        <v>0.00</v>
      </c>
      <c r="CF11" s="40" t="str">
        <f>IF(CD11&gt;90,"A",IF(CD11&gt;80,"B+",IF(CD11&gt;69,"B",IF(CD11&gt;64,"C+",IF(CD11&gt;59,"C",IF(CD11&gt;54,"D+",IF(CD11&gt;49,"D",IF(CD11&gt;=0,"F"))))))))</f>
        <v>F</v>
      </c>
      <c r="CG11" s="50">
        <f>(BD11*3+BG11*1+BJ11*1+BM11*2+BP11*1+BS11*2+BV11*2+BY11*1+CB11*2+CE11*2)/(3+1+1+2+1+2+2+1+2+2)</f>
        <v>0</v>
      </c>
      <c r="CH11" s="50">
        <f>(AR11+CG11)/2</f>
        <v>0</v>
      </c>
      <c r="CI11" s="51">
        <f>RANK(CH11,$CH$7:CH40)</f>
        <v>1</v>
      </c>
      <c r="CJ11" s="40"/>
      <c r="CK11" s="52"/>
      <c r="CL11" s="52"/>
      <c r="CM11" s="52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  <c r="FN11" s="53"/>
      <c r="FO11" s="53"/>
      <c r="FP11" s="53"/>
      <c r="FQ11" s="53"/>
      <c r="FR11" s="53"/>
      <c r="FS11" s="53"/>
      <c r="FT11" s="53"/>
      <c r="FU11" s="53"/>
      <c r="FV11" s="53"/>
      <c r="FW11" s="53"/>
      <c r="FX11" s="53"/>
      <c r="FY11" s="53"/>
      <c r="FZ11" s="53"/>
      <c r="GA11" s="53"/>
      <c r="GB11" s="53"/>
      <c r="GC11" s="53"/>
      <c r="GD11" s="53"/>
      <c r="GE11" s="53"/>
      <c r="GF11" s="53"/>
      <c r="GG11" s="53"/>
      <c r="GH11" s="53"/>
      <c r="GI11" s="53"/>
      <c r="GJ11" s="53"/>
      <c r="GK11" s="53"/>
      <c r="GL11" s="53"/>
      <c r="GM11" s="53"/>
      <c r="GN11" s="53"/>
      <c r="GO11" s="53"/>
      <c r="GP11" s="53"/>
      <c r="GQ11" s="53"/>
      <c r="GR11" s="53"/>
      <c r="GS11" s="53"/>
      <c r="GT11" s="53"/>
    </row>
    <row r="12" ht="20" customHeight="1" spans="1:202" s="39" customFormat="1" x14ac:dyDescent="0.25">
      <c r="A12" s="40">
        <v>6</v>
      </c>
      <c r="B12" s="40" t="s">
        <v>270</v>
      </c>
      <c r="C12" s="40" t="s">
        <v>51</v>
      </c>
      <c r="D12" s="40" t="s">
        <v>75</v>
      </c>
      <c r="E12" s="40" t="s">
        <v>76</v>
      </c>
      <c r="F12" s="40" t="s">
        <v>271</v>
      </c>
      <c r="G12" s="40" t="s">
        <v>78</v>
      </c>
      <c r="H12" s="44"/>
      <c r="I12" s="112"/>
      <c r="J12" s="40">
        <v>1</v>
      </c>
      <c r="K12" s="42">
        <v>80</v>
      </c>
      <c r="L12" s="40">
        <f>IF(K12&gt;=91, 4.00, IF(K12&gt;=81, 3.50, IF(K12&gt;=70, 3.00, IF(K12&gt;=65, 2.50, IF(K12&gt;=60, 2.00, IF(K12&gt;=55, 1.50, IF(K12&gt;=50, 1.00, 0.00)))))))</f>
      </c>
      <c r="M12" s="40">
        <f>IF(K12&gt;=91,"A",IF(K12&gt;=81,"B+",IF(K12&gt;=70,"B",IF(K12&gt;=65,"C+",IF(K12&gt;=60,"C",IF(K12&gt;=55,"D+",IF(K12&gt;=50,"D","F")))))))</f>
      </c>
      <c r="N12" s="42">
        <v>83</v>
      </c>
      <c r="O12" s="40">
        <f>IF(N12&gt;=91, 4.00, IF(N12&gt;=81, 3.50, IF(N12&gt;=70, 3.00, IF(N12&gt;=65, 2.50, IF(N12&gt;=60, 2.00, IF(N12&gt;=55, 1.50, IF(N12&gt;=50, 1.00, 0.00)))))))</f>
      </c>
      <c r="P12" s="40">
        <f>IF(N12&gt;=91,"A",IF(N12&gt;=81,"B+",IF(N12&gt;=70,"B",IF(N12&gt;=65,"C+",IF(N12&gt;=60,"C",IF(N12&gt;=55,"D+",IF(N12&gt;=50,"D","F")))))))</f>
      </c>
      <c r="Q12" s="42">
        <v>86</v>
      </c>
      <c r="R12" s="40">
        <f>IF(Q12&gt;=91, 4.00, IF(Q12&gt;=81, 3.50, IF(Q12&gt;=70, 3.00, IF(Q12&gt;=65, 2.50, IF(Q12&gt;=60, 2.00, IF(Q12&gt;=55, 1.50, IF(Q12&gt;=50, 1.00, 0.00)))))))</f>
      </c>
      <c r="S12" s="40">
        <f>IF(Q12&gt;=91,"A",IF(Q12&gt;=81,"B+",IF(Q12&gt;=70,"B",IF(Q12&gt;=65,"C+",IF(Q12&gt;=60,"C",IF(Q12&gt;=55,"D+",IF(Q12&gt;=50,"D","F")))))))</f>
      </c>
      <c r="T12" s="42">
        <v>89</v>
      </c>
      <c r="U12" s="40">
        <f>IF(T12&gt;=91, 4.00, IF(T12&gt;=81, 3.50, IF(T12&gt;=70, 3.00, IF(T12&gt;=65, 2.50, IF(T12&gt;=60, 2.00, IF(T12&gt;=55, 1.50, IF(T12&gt;=50, 1.00, 0.00)))))))</f>
      </c>
      <c r="V12" s="40">
        <f>IF(T12&gt;=91,"A",IF(T12&gt;=81,"B+",IF(T12&gt;=70,"B",IF(T12&gt;=65,"C+",IF(T12&gt;=60,"C",IF(T12&gt;=55,"D+",IF(T12&gt;=50,"D","F")))))))</f>
      </c>
      <c r="W12" s="42">
        <v>92</v>
      </c>
      <c r="X12" s="40">
        <f>IF(W12&gt;=91, 4.00, IF(W12&gt;=81, 3.50, IF(W12&gt;=70, 3.00, IF(W12&gt;=65, 2.50, IF(W12&gt;=60, 2.00, IF(W12&gt;=55, 1.50, IF(W12&gt;=50, 1.00, 0.00)))))))</f>
      </c>
      <c r="Y12" s="40">
        <f>IF(W12&gt;=91,"A",IF(W12&gt;=81,"B+",IF(W12&gt;=70,"B",IF(W12&gt;=65,"C+",IF(W12&gt;=60,"C",IF(W12&gt;=55,"D+",IF(W12&gt;=50,"D","F")))))))</f>
      </c>
      <c r="Z12" s="46">
        <v>95</v>
      </c>
      <c r="AA12" s="40">
        <f>IF(Z12&gt;=91, 4.00, IF(Z12&gt;=81, 3.50, IF(Z12&gt;=70, 3.00, IF(Z12&gt;=65, 2.50, IF(Z12&gt;=60, 2.00, IF(Z12&gt;=55, 1.50, IF(Z12&gt;=50, 1.00, 0.00)))))))</f>
      </c>
      <c r="AB12" s="40">
        <f>IF(Z12&gt;=91,"A",IF(Z12&gt;=81,"B+",IF(Z12&gt;=70,"B",IF(Z12&gt;=65,"C+",IF(Z12&gt;=60,"C",IF(Z12&gt;=55,"D+",IF(Z12&gt;=50,"D","F")))))))</f>
      </c>
      <c r="AC12" s="42">
        <v>77</v>
      </c>
      <c r="AD12" s="40">
        <f>IF(AC12&gt;=91, 4.00, IF(AC12&gt;=81, 3.50, IF(AC12&gt;=70, 3.00, IF(AC12&gt;=65, 2.50, IF(AC12&gt;=60, 2.00, IF(AC12&gt;=55, 1.50, IF(AC12&gt;=50, 1.00, 0.00)))))))</f>
      </c>
      <c r="AE12" s="40">
        <f>IF(AC12&gt;=91,"A",IF(AC12&gt;=81,"B+",IF(AC12&gt;=70,"B",IF(AC12&gt;=65,"C+",IF(AC12&gt;=60,"C",IF(AC12&gt;=55,"D+",IF(AC12&gt;=50,"D","F")))))))</f>
      </c>
      <c r="AF12" s="40">
        <v>80</v>
      </c>
      <c r="AG12" s="40">
        <f>IF(AF12&gt;=91, 4.00, IF(AF12&gt;=81, 3.50, IF(AF12&gt;=70, 3.00, IF(AF12&gt;=65, 2.50, IF(AF12&gt;=60, 2.00, IF(AF12&gt;=55, 1.50, IF(AF12&gt;=50, 1.00, 0.00)))))))</f>
      </c>
      <c r="AH12" s="40">
        <f>IF(AF12&gt;=91,"A",IF(AF12&gt;=81,"B+",IF(AF12&gt;=70,"B",IF(AF12&gt;=65,"C+",IF(AF12&gt;=60,"C",IF(AF12&gt;=55,"D+",IF(AF12&gt;=50,"D","F")))))))</f>
      </c>
      <c r="AI12" s="46">
        <v>83</v>
      </c>
      <c r="AJ12" s="40">
        <f>IF(AI12&gt;=91, 4.00, IF(AI12&gt;=81, 3.50, IF(AI12&gt;=70, 3.00, IF(AI12&gt;=65, 2.50, IF(AI12&gt;=60, 2.00, IF(AI12&gt;=55, 1.50, IF(AI12&gt;=50, 1.00, 0.00)))))))</f>
      </c>
      <c r="AK12" s="40">
        <f>IF(AI12&gt;=91,"A",IF(AI12&gt;=81,"B+",IF(AI12&gt;=70,"B",IF(AI12&gt;=65,"C+",IF(AI12&gt;=60,"C",IF(AI12&gt;=55,"D+",IF(AI12&gt;=50,"D","F")))))))</f>
      </c>
      <c r="AL12" s="42">
        <v>86</v>
      </c>
      <c r="AM12" s="40">
        <f>IF(AL12&gt;=91, 4.00, IF(AL12&gt;=81, 3.50, IF(AL12&gt;=70, 3.00, IF(AL12&gt;=65, 2.50, IF(AL12&gt;=60, 2.00, IF(AL12&gt;=55, 1.50, IF(AL12&gt;=50, 1.00, 0.00)))))))</f>
      </c>
      <c r="AN12" s="40">
        <f>IF(AL12&gt;=91,"A",IF(AL12&gt;=81,"B+",IF(AL12&gt;=70,"B",IF(AL12&gt;=65,"C+",IF(AL12&gt;=60,"C",IF(AL12&gt;=55,"D+",IF(AL12&gt;=50,"D","F")))))))</f>
      </c>
      <c r="AO12" s="40">
        <v>89</v>
      </c>
      <c r="AP12" s="40">
        <f>IF(AO12&gt;=91, 4.00, IF(AO12&gt;=81, 3.50, IF(AO12&gt;=70, 3.00, IF(AO12&gt;=65, 2.50, IF(AO12&gt;=60, 2.00, IF(AO12&gt;=55, 1.50, IF(AO12&gt;=50, 1.00, 0.00)))))))</f>
      </c>
      <c r="AQ12" s="40">
        <f>IF(AO12&gt;=91,"A",IF(AO12&gt;=81,"B+",IF(AO12&gt;=70,"B",IF(AO12&gt;=65,"C+",IF(AO12&gt;=60,"C",IF(AO12&gt;=55,"D+",IF(AO12&gt;=50,"D","F")))))))</f>
      </c>
      <c r="AR12" s="40">
        <f>ROUND((L12*3+O12*2+R12*1+U12*1+X12*1+AA12*2+AD12*2+AG12*2+AJ12*1+AM12*2+AP12*2)/19, 2)</f>
      </c>
      <c r="AS12" s="47">
        <v>93</v>
      </c>
      <c r="AT12" s="40">
        <f>IF(AS12&gt;=91, 4.00, IF(AS12&gt;=81, 3.50, IF(AS12&gt;=70, 3.00, IF(AS12&gt;=65, 2.50, IF(AS12&gt;=60, 2.00, IF(AS12&gt;=55, 1.50, IF(AS12&gt;=50, 1.00, 0.00)))))))</f>
      </c>
      <c r="AU12" s="40">
        <f>IF(AS12&gt;=91,"A",IF(AS12&gt;=81,"B+",IF(AS12&gt;=70,"B",IF(AS12&gt;=65,"C+",IF(AS12&gt;=60,"C",IF(AS12&gt;=55,"D+",IF(AS12&gt;=50,"D","F")))))))</f>
      </c>
      <c r="AV12" s="40" t="s">
        <v>51</v>
      </c>
      <c r="AW12" s="40">
        <f>IF(AV12&gt;=91, 4.00, IF(AV12&gt;=81, 3.50, IF(AV12&gt;=70, 3.00, IF(AV12&gt;=65, 2.50, IF(AV12&gt;=60, 2.00, IF(AV12&gt;=55, 1.50, IF(AV12&gt;=50, 1.00, 0.00)))))))</f>
      </c>
      <c r="AX12" s="40">
        <f>IF(AV12&gt;=91,"A",IF(AV12&gt;=81,"B+",IF(AV12&gt;=70,"B",IF(AV12&gt;=65,"C+",IF(AV12&gt;=60,"C",IF(AV12&gt;=55,"D+",IF(AV12&gt;=50,"D","F")))))))</f>
      </c>
      <c r="AY12" s="40" t="s">
        <v>271</v>
      </c>
      <c r="AZ12" s="40">
        <f>IF(AY12&gt;=91, 4.00, IF(AY12&gt;=81, 3.50, IF(AY12&gt;=70, 3.00, IF(AY12&gt;=65, 2.50, IF(AY12&gt;=60, 2.00, IF(AY12&gt;=55, 1.50, IF(AY12&gt;=50, 1.00, 0.00)))))))</f>
      </c>
      <c r="BA12" s="44">
        <f>IF(AY12&gt;=91,"A",IF(AY12&gt;=81,"B+",IF(AY12&gt;=70,"B",IF(AY12&gt;=65,"C+",IF(AY12&gt;=60,"C",IF(AY12&gt;=55,"D+",IF(AY12&gt;=50,"D","F")))))))</f>
      </c>
      <c r="BB12" s="112">
        <v>81</v>
      </c>
      <c r="BC12" s="48">
        <f>IF(BB12&gt;=91, 4.00, IF(BB12&gt;=81, 3.50, IF(BB12&gt;=70, 3.00, IF(BB12&gt;=65, 2.50, IF(BB12&gt;=60, 2.00, IF(BB12&gt;=55, 1.50, IF(BB12&gt;=50, 1.00, 0.00)))))))</f>
      </c>
      <c r="BD12" s="49">
        <f>IF(BB12&gt;=91,"A",IF(BB12&gt;=81,"B+",IF(BB12&gt;=70,"B",IF(BB12&gt;=65,"C+",IF(BB12&gt;=60,"C",IF(BB12&gt;=55,"D+",IF(BB12&gt;=50,"D","F")))))))</f>
      </c>
      <c r="BE12" s="40" t="str">
        <f>IF(BC12&gt;90,"A",IF(BC12&gt;80,"B+",IF(BC12&gt;69,"B",IF(BC12&gt;64,"C+",IF(BC12&gt;59,"C",IF(BC12&gt;54,"D+",IF(BC12&gt;49,"D",IF(BC12&gt;=0,"F"))))))))</f>
        <v>F</v>
      </c>
      <c r="BF12" s="48">
        <f>IF(BE12&gt;=91, 4.00, IF(BE12&gt;=81, 3.50, IF(BE12&gt;=70, 3.00, IF(BE12&gt;=65, 2.50, IF(BE12&gt;=60, 2.00, IF(BE12&gt;=55, 1.50, IF(BE12&gt;=50, 1.00, 0.00)))))))</f>
      </c>
      <c r="BG12" s="49">
        <f>IF(BE12&gt;=91,"A",IF(BE12&gt;=81,"B+",IF(BE12&gt;=70,"B",IF(BE12&gt;=65,"C+",IF(BE12&gt;=60,"C",IF(BE12&gt;=55,"D+",IF(BE12&gt;=50,"D","F")))))))</f>
      </c>
      <c r="BH12" s="40" t="str">
        <f>IF(BF12&gt;90,"A",IF(BF12&gt;80,"B+",IF(BF12&gt;69,"B",IF(BF12&gt;64,"C+",IF(BF12&gt;59,"C",IF(BF12&gt;54,"D+",IF(BF12&gt;49,"D",IF(BF12&gt;=0,"F"))))))))</f>
        <v>F</v>
      </c>
      <c r="BI12" s="43">
        <f>IF(BH12&gt;=91, 4.00, IF(BH12&gt;=81, 3.50, IF(BH12&gt;=70, 3.00, IF(BH12&gt;=65, 2.50, IF(BH12&gt;=60, 2.00, IF(BH12&gt;=55, 1.50, IF(BH12&gt;=50, 1.00, 0.00)))))))</f>
      </c>
      <c r="BJ12" s="49">
        <f>IF(BH12&gt;=91,"A",IF(BH12&gt;=81,"B+",IF(BH12&gt;=70,"B",IF(BH12&gt;=65,"C+",IF(BH12&gt;=60,"C",IF(BH12&gt;=55,"D+",IF(BH12&gt;=50,"D","F")))))))</f>
      </c>
      <c r="BK12" s="40" t="str">
        <f>IF(BI12&gt;90,"A",IF(BI12&gt;80,"B+",IF(BI12&gt;69,"B",IF(BI12&gt;64,"C+",IF(BI12&gt;59,"C",IF(BI12&gt;54,"D+",IF(BI12&gt;49,"D",IF(BI12&gt;=0,"F"))))))))</f>
        <v>F</v>
      </c>
      <c r="BL12" s="48">
        <f>IF(BK12&gt;=91, 4.00, IF(BK12&gt;=81, 3.50, IF(BK12&gt;=70, 3.00, IF(BK12&gt;=65, 2.50, IF(BK12&gt;=60, 2.00, IF(BK12&gt;=55, 1.50, IF(BK12&gt;=50, 1.00, 0.00)))))))</f>
      </c>
      <c r="BM12" s="49">
        <f>IF(BK12&gt;=91,"A",IF(BK12&gt;=81,"B+",IF(BK12&gt;=70,"B",IF(BK12&gt;=65,"C+",IF(BK12&gt;=60,"C",IF(BK12&gt;=55,"D+",IF(BK12&gt;=50,"D","F")))))))</f>
      </c>
      <c r="BN12" s="40" t="str">
        <f>IF(BL12&gt;90,"A",IF(BL12&gt;80,"B+",IF(BL12&gt;69,"B",IF(BL12&gt;64,"C+",IF(BL12&gt;59,"C",IF(BL12&gt;54,"D+",IF(BL12&gt;49,"D",IF(BL12&gt;=0,"F"))))))))</f>
        <v>F</v>
      </c>
      <c r="BO12" s="43">
        <f>IF(BN12&gt;=91, 4.00, IF(BN12&gt;=81, 3.50, IF(BN12&gt;=70, 3.00, IF(BN12&gt;=65, 2.50, IF(BN12&gt;=60, 2.00, IF(BN12&gt;=55, 1.50, IF(BN12&gt;=50, 1.00, 0.00)))))))</f>
      </c>
      <c r="BP12" s="49">
        <f>IF(BN12&gt;=91,"A",IF(BN12&gt;=81,"B+",IF(BN12&gt;=70,"B",IF(BN12&gt;=65,"C+",IF(BN12&gt;=60,"C",IF(BN12&gt;=55,"D+",IF(BN12&gt;=50,"D","F")))))))</f>
      </c>
      <c r="BQ12" s="40" t="str">
        <f>IF(BO12&gt;90,"A",IF(BO12&gt;80,"B+",IF(BO12&gt;69,"B",IF(BO12&gt;64,"C+",IF(BO12&gt;59,"C",IF(BO12&gt;54,"D+",IF(BO12&gt;49,"D",IF(BO12&gt;=0,"F"))))))))</f>
        <v>F</v>
      </c>
      <c r="BR12" s="43">
        <f>IF(BQ12&gt;=91, 4.00, IF(BQ12&gt;=81, 3.50, IF(BQ12&gt;=70, 3.00, IF(BQ12&gt;=65, 2.50, IF(BQ12&gt;=60, 2.00, IF(BQ12&gt;=55, 1.50, IF(BQ12&gt;=50, 1.00, 0.00)))))))</f>
      </c>
      <c r="BS12" s="49">
        <f>IF(BQ12&gt;=91,"A",IF(BQ12&gt;=81,"B+",IF(BQ12&gt;=70,"B",IF(BQ12&gt;=65,"C+",IF(BQ12&gt;=60,"C",IF(BQ12&gt;=55,"D+",IF(BQ12&gt;=50,"D","F")))))))</f>
      </c>
      <c r="BT12" s="40" t="str">
        <f>IF(BR12&gt;90,"A",IF(BR12&gt;80,"B+",IF(BR12&gt;69,"B",IF(BR12&gt;64,"C+",IF(BR12&gt;59,"C",IF(BR12&gt;54,"D+",IF(BR12&gt;49,"D",IF(BR12&gt;=0,"F"))))))))</f>
        <v>F</v>
      </c>
      <c r="BU12" s="49">
        <f>IF(BT12&gt;=91, 4.00, IF(BT12&gt;=81, 3.50, IF(BT12&gt;=70, 3.00, IF(BT12&gt;=65, 2.50, IF(BT12&gt;=60, 2.00, IF(BT12&gt;=55, 1.50, IF(BT12&gt;=50, 1.00, 0.00)))))))</f>
      </c>
      <c r="BV12" s="49">
        <f>IF(BT12&gt;=91,"A",IF(BT12&gt;=81,"B+",IF(BT12&gt;=70,"B",IF(BT12&gt;=65,"C+",IF(BT12&gt;=60,"C",IF(BT12&gt;=55,"D+",IF(BT12&gt;=50,"D","F")))))))</f>
      </c>
      <c r="BW12" s="40">
        <f>ROUND((AT12*3+AW12*2+AZ12*1+BC12*1+BF12*1+BI12*2+BL12*2+BO12*1+BR12*2+BU12*3)/18, 2)</f>
      </c>
      <c r="BX12" s="49"/>
      <c r="BY12" s="49" t="str">
        <f>IF(BX12&gt;90,"4.00",IF(BX12&gt;80,"3.50",IF(BX12&gt;69,"3.00",IF(BX12&gt;64,"2.50",IF(BX12&gt;59,"2.00",IF(BX12&gt;54,"1.50",IF(BX12&gt;49,"1.00","0.00")))))))</f>
        <v>0.00</v>
      </c>
      <c r="BZ12" s="40" t="str">
        <f>IF(BX12&gt;90,"A",IF(BX12&gt;80,"B+",IF(BX12&gt;69,"B",IF(BX12&gt;64,"C+",IF(BX12&gt;59,"C",IF(BX12&gt;54,"D+",IF(BX12&gt;49,"D",IF(BX12&gt;=0,"F"))))))))</f>
        <v>F</v>
      </c>
      <c r="CA12" s="49"/>
      <c r="CB12" s="49" t="str">
        <f>IF(CA12&gt;90,"4.00",IF(CA12&gt;80,"3.50",IF(CA12&gt;69,"3.00",IF(CA12&gt;64,"2.50",IF(CA12&gt;59,"2.00",IF(CA12&gt;54,"1.50",IF(CA12&gt;49,"1.00","0.00")))))))</f>
        <v>0.00</v>
      </c>
      <c r="CC12" s="40" t="str">
        <f>IF(CA12&gt;90,"A",IF(CA12&gt;80,"B+",IF(CA12&gt;69,"B",IF(CA12&gt;64,"C+",IF(CA12&gt;59,"C",IF(CA12&gt;54,"D+",IF(CA12&gt;49,"D",IF(CA12&gt;=0,"F"))))))))</f>
        <v>F</v>
      </c>
      <c r="CD12" s="49"/>
      <c r="CE12" s="49" t="str">
        <f>IF(CD12&gt;90,"4.00",IF(CD12&gt;80,"3.50",IF(CD12&gt;69,"3.00",IF(CD12&gt;64,"2.50",IF(CD12&gt;59,"2.00",IF(CD12&gt;54,"1.50",IF(CD12&gt;49,"1.00","0.00")))))))</f>
        <v>0.00</v>
      </c>
      <c r="CF12" s="40" t="str">
        <f>IF(CD12&gt;90,"A",IF(CD12&gt;80,"B+",IF(CD12&gt;69,"B",IF(CD12&gt;64,"C+",IF(CD12&gt;59,"C",IF(CD12&gt;54,"D+",IF(CD12&gt;49,"D",IF(CD12&gt;=0,"F"))))))))</f>
        <v>F</v>
      </c>
      <c r="CG12" s="50">
        <f>(BD12*3+BG12*1+BJ12*1+BM12*2+BP12*1+BS12*2+BV12*2+BY12*1+CB12*2+CE12*2)/(3+1+1+2+1+2+2+1+2+2)</f>
        <v>0</v>
      </c>
      <c r="CH12" s="50">
        <f>(AR12+CG12)/2</f>
        <v>0</v>
      </c>
      <c r="CI12" s="51">
        <f>RANK(CH12,$CH$7:CH41)</f>
        <v>1</v>
      </c>
      <c r="CJ12" s="58"/>
      <c r="CK12" s="52"/>
      <c r="CL12" s="52"/>
      <c r="CM12" s="52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  <c r="FN12" s="53"/>
      <c r="FO12" s="53"/>
      <c r="FP12" s="53"/>
      <c r="FQ12" s="53"/>
      <c r="FR12" s="53"/>
      <c r="FS12" s="53"/>
      <c r="FT12" s="53"/>
      <c r="FU12" s="53"/>
      <c r="FV12" s="53"/>
      <c r="FW12" s="53"/>
      <c r="FX12" s="53"/>
      <c r="FY12" s="53"/>
      <c r="FZ12" s="53"/>
      <c r="GA12" s="53"/>
      <c r="GB12" s="53"/>
      <c r="GC12" s="53"/>
      <c r="GD12" s="53"/>
      <c r="GE12" s="53"/>
      <c r="GF12" s="53"/>
      <c r="GG12" s="53"/>
      <c r="GH12" s="53"/>
      <c r="GI12" s="53"/>
      <c r="GJ12" s="53"/>
      <c r="GK12" s="53"/>
      <c r="GL12" s="53"/>
      <c r="GM12" s="53"/>
      <c r="GN12" s="53"/>
      <c r="GO12" s="53"/>
      <c r="GP12" s="53"/>
      <c r="GQ12" s="53"/>
      <c r="GR12" s="53"/>
      <c r="GS12" s="53"/>
      <c r="GT12" s="53"/>
    </row>
    <row r="13" ht="20" customHeight="1" spans="1:202" s="39" customFormat="1" x14ac:dyDescent="0.25">
      <c r="A13" s="40">
        <v>7</v>
      </c>
      <c r="B13" s="40" t="s">
        <v>272</v>
      </c>
      <c r="C13" s="40" t="s">
        <v>51</v>
      </c>
      <c r="D13" s="40" t="s">
        <v>80</v>
      </c>
      <c r="E13" s="40" t="s">
        <v>81</v>
      </c>
      <c r="F13" s="40" t="s">
        <v>273</v>
      </c>
      <c r="G13" s="40" t="s">
        <v>83</v>
      </c>
      <c r="H13" s="111"/>
      <c r="I13" s="112"/>
      <c r="J13" s="40">
        <v>1</v>
      </c>
      <c r="K13" s="42">
        <v>83</v>
      </c>
      <c r="L13" s="40">
        <f>IF(K13&gt;=91, 4.00, IF(K13&gt;=81, 3.50, IF(K13&gt;=70, 3.00, IF(K13&gt;=65, 2.50, IF(K13&gt;=60, 2.00, IF(K13&gt;=55, 1.50, IF(K13&gt;=50, 1.00, 0.00)))))))</f>
      </c>
      <c r="M13" s="40">
        <f>IF(K13&gt;=91,"A",IF(K13&gt;=81,"B+",IF(K13&gt;=70,"B",IF(K13&gt;=65,"C+",IF(K13&gt;=60,"C",IF(K13&gt;=55,"D+",IF(K13&gt;=50,"D","F")))))))</f>
      </c>
      <c r="N13" s="42">
        <v>86</v>
      </c>
      <c r="O13" s="40">
        <f>IF(N13&gt;=91, 4.00, IF(N13&gt;=81, 3.50, IF(N13&gt;=70, 3.00, IF(N13&gt;=65, 2.50, IF(N13&gt;=60, 2.00, IF(N13&gt;=55, 1.50, IF(N13&gt;=50, 1.00, 0.00)))))))</f>
      </c>
      <c r="P13" s="40">
        <f>IF(N13&gt;=91,"A",IF(N13&gt;=81,"B+",IF(N13&gt;=70,"B",IF(N13&gt;=65,"C+",IF(N13&gt;=60,"C",IF(N13&gt;=55,"D+",IF(N13&gt;=50,"D","F")))))))</f>
      </c>
      <c r="Q13" s="42">
        <v>89</v>
      </c>
      <c r="R13" s="40">
        <f>IF(Q13&gt;=91, 4.00, IF(Q13&gt;=81, 3.50, IF(Q13&gt;=70, 3.00, IF(Q13&gt;=65, 2.50, IF(Q13&gt;=60, 2.00, IF(Q13&gt;=55, 1.50, IF(Q13&gt;=50, 1.00, 0.00)))))))</f>
      </c>
      <c r="S13" s="40">
        <f>IF(Q13&gt;=91,"A",IF(Q13&gt;=81,"B+",IF(Q13&gt;=70,"B",IF(Q13&gt;=65,"C+",IF(Q13&gt;=60,"C",IF(Q13&gt;=55,"D+",IF(Q13&gt;=50,"D","F")))))))</f>
      </c>
      <c r="T13" s="42">
        <v>92</v>
      </c>
      <c r="U13" s="40">
        <f>IF(T13&gt;=91, 4.00, IF(T13&gt;=81, 3.50, IF(T13&gt;=70, 3.00, IF(T13&gt;=65, 2.50, IF(T13&gt;=60, 2.00, IF(T13&gt;=55, 1.50, IF(T13&gt;=50, 1.00, 0.00)))))))</f>
      </c>
      <c r="V13" s="40">
        <f>IF(T13&gt;=91,"A",IF(T13&gt;=81,"B+",IF(T13&gt;=70,"B",IF(T13&gt;=65,"C+",IF(T13&gt;=60,"C",IF(T13&gt;=55,"D+",IF(T13&gt;=50,"D","F")))))))</f>
      </c>
      <c r="W13" s="42">
        <v>95</v>
      </c>
      <c r="X13" s="40">
        <f>IF(W13&gt;=91, 4.00, IF(W13&gt;=81, 3.50, IF(W13&gt;=70, 3.00, IF(W13&gt;=65, 2.50, IF(W13&gt;=60, 2.00, IF(W13&gt;=55, 1.50, IF(W13&gt;=50, 1.00, 0.00)))))))</f>
      </c>
      <c r="Y13" s="40">
        <f>IF(W13&gt;=91,"A",IF(W13&gt;=81,"B+",IF(W13&gt;=70,"B",IF(W13&gt;=65,"C+",IF(W13&gt;=60,"C",IF(W13&gt;=55,"D+",IF(W13&gt;=50,"D","F")))))))</f>
      </c>
      <c r="Z13" s="46">
        <v>77</v>
      </c>
      <c r="AA13" s="40">
        <f>IF(Z13&gt;=91, 4.00, IF(Z13&gt;=81, 3.50, IF(Z13&gt;=70, 3.00, IF(Z13&gt;=65, 2.50, IF(Z13&gt;=60, 2.00, IF(Z13&gt;=55, 1.50, IF(Z13&gt;=50, 1.00, 0.00)))))))</f>
      </c>
      <c r="AB13" s="40">
        <f>IF(Z13&gt;=91,"A",IF(Z13&gt;=81,"B+",IF(Z13&gt;=70,"B",IF(Z13&gt;=65,"C+",IF(Z13&gt;=60,"C",IF(Z13&gt;=55,"D+",IF(Z13&gt;=50,"D","F")))))))</f>
      </c>
      <c r="AC13" s="42">
        <v>80</v>
      </c>
      <c r="AD13" s="40">
        <f>IF(AC13&gt;=91, 4.00, IF(AC13&gt;=81, 3.50, IF(AC13&gt;=70, 3.00, IF(AC13&gt;=65, 2.50, IF(AC13&gt;=60, 2.00, IF(AC13&gt;=55, 1.50, IF(AC13&gt;=50, 1.00, 0.00)))))))</f>
      </c>
      <c r="AE13" s="40">
        <f>IF(AC13&gt;=91,"A",IF(AC13&gt;=81,"B+",IF(AC13&gt;=70,"B",IF(AC13&gt;=65,"C+",IF(AC13&gt;=60,"C",IF(AC13&gt;=55,"D+",IF(AC13&gt;=50,"D","F")))))))</f>
      </c>
      <c r="AF13" s="40">
        <v>83</v>
      </c>
      <c r="AG13" s="40">
        <f>IF(AF13&gt;=91, 4.00, IF(AF13&gt;=81, 3.50, IF(AF13&gt;=70, 3.00, IF(AF13&gt;=65, 2.50, IF(AF13&gt;=60, 2.00, IF(AF13&gt;=55, 1.50, IF(AF13&gt;=50, 1.00, 0.00)))))))</f>
      </c>
      <c r="AH13" s="40">
        <f>IF(AF13&gt;=91,"A",IF(AF13&gt;=81,"B+",IF(AF13&gt;=70,"B",IF(AF13&gt;=65,"C+",IF(AF13&gt;=60,"C",IF(AF13&gt;=55,"D+",IF(AF13&gt;=50,"D","F")))))))</f>
      </c>
      <c r="AI13" s="46">
        <v>86</v>
      </c>
      <c r="AJ13" s="40">
        <f>IF(AI13&gt;=91, 4.00, IF(AI13&gt;=81, 3.50, IF(AI13&gt;=70, 3.00, IF(AI13&gt;=65, 2.50, IF(AI13&gt;=60, 2.00, IF(AI13&gt;=55, 1.50, IF(AI13&gt;=50, 1.00, 0.00)))))))</f>
      </c>
      <c r="AK13" s="40">
        <f>IF(AI13&gt;=91,"A",IF(AI13&gt;=81,"B+",IF(AI13&gt;=70,"B",IF(AI13&gt;=65,"C+",IF(AI13&gt;=60,"C",IF(AI13&gt;=55,"D+",IF(AI13&gt;=50,"D","F")))))))</f>
      </c>
      <c r="AL13" s="42">
        <v>89</v>
      </c>
      <c r="AM13" s="40">
        <f>IF(AL13&gt;=91, 4.00, IF(AL13&gt;=81, 3.50, IF(AL13&gt;=70, 3.00, IF(AL13&gt;=65, 2.50, IF(AL13&gt;=60, 2.00, IF(AL13&gt;=55, 1.50, IF(AL13&gt;=50, 1.00, 0.00)))))))</f>
      </c>
      <c r="AN13" s="40">
        <f>IF(AL13&gt;=91,"A",IF(AL13&gt;=81,"B+",IF(AL13&gt;=70,"B",IF(AL13&gt;=65,"C+",IF(AL13&gt;=60,"C",IF(AL13&gt;=55,"D+",IF(AL13&gt;=50,"D","F")))))))</f>
      </c>
      <c r="AO13" s="40">
        <v>92</v>
      </c>
      <c r="AP13" s="40">
        <f>IF(AO13&gt;=91, 4.00, IF(AO13&gt;=81, 3.50, IF(AO13&gt;=70, 3.00, IF(AO13&gt;=65, 2.50, IF(AO13&gt;=60, 2.00, IF(AO13&gt;=55, 1.50, IF(AO13&gt;=50, 1.00, 0.00)))))))</f>
      </c>
      <c r="AQ13" s="40">
        <f>IF(AO13&gt;=91,"A",IF(AO13&gt;=81,"B+",IF(AO13&gt;=70,"B",IF(AO13&gt;=65,"C+",IF(AO13&gt;=60,"C",IF(AO13&gt;=55,"D+",IF(AO13&gt;=50,"D","F")))))))</f>
      </c>
      <c r="AR13" s="40">
        <f>ROUND((L13*3+O13*2+R13*1+U13*1+X13*1+AA13*2+AD13*2+AG13*2+AJ13*1+AM13*2+AP13*2)/19, 2)</f>
      </c>
      <c r="AS13" s="47">
        <v>75</v>
      </c>
      <c r="AT13" s="40">
        <f>IF(AS13&gt;=91, 4.00, IF(AS13&gt;=81, 3.50, IF(AS13&gt;=70, 3.00, IF(AS13&gt;=65, 2.50, IF(AS13&gt;=60, 2.00, IF(AS13&gt;=55, 1.50, IF(AS13&gt;=50, 1.00, 0.00)))))))</f>
      </c>
      <c r="AU13" s="40">
        <f>IF(AS13&gt;=91,"A",IF(AS13&gt;=81,"B+",IF(AS13&gt;=70,"B",IF(AS13&gt;=65,"C+",IF(AS13&gt;=60,"C",IF(AS13&gt;=55,"D+",IF(AS13&gt;=50,"D","F")))))))</f>
      </c>
      <c r="AV13" s="40" t="s">
        <v>51</v>
      </c>
      <c r="AW13" s="40">
        <f>IF(AV13&gt;=91, 4.00, IF(AV13&gt;=81, 3.50, IF(AV13&gt;=70, 3.00, IF(AV13&gt;=65, 2.50, IF(AV13&gt;=60, 2.00, IF(AV13&gt;=55, 1.50, IF(AV13&gt;=50, 1.00, 0.00)))))))</f>
      </c>
      <c r="AX13" s="40">
        <f>IF(AV13&gt;=91,"A",IF(AV13&gt;=81,"B+",IF(AV13&gt;=70,"B",IF(AV13&gt;=65,"C+",IF(AV13&gt;=60,"C",IF(AV13&gt;=55,"D+",IF(AV13&gt;=50,"D","F")))))))</f>
      </c>
      <c r="AY13" s="40" t="s">
        <v>273</v>
      </c>
      <c r="AZ13" s="40">
        <f>IF(AY13&gt;=91, 4.00, IF(AY13&gt;=81, 3.50, IF(AY13&gt;=70, 3.00, IF(AY13&gt;=65, 2.50, IF(AY13&gt;=60, 2.00, IF(AY13&gt;=55, 1.50, IF(AY13&gt;=50, 1.00, 0.00)))))))</f>
      </c>
      <c r="BA13" s="111">
        <f>IF(AY13&gt;=91,"A",IF(AY13&gt;=81,"B+",IF(AY13&gt;=70,"B",IF(AY13&gt;=65,"C+",IF(AY13&gt;=60,"C",IF(AY13&gt;=55,"D+",IF(AY13&gt;=50,"D","F")))))))</f>
      </c>
      <c r="BB13" s="112">
        <v>84</v>
      </c>
      <c r="BC13" s="48">
        <f>IF(BB13&gt;=91, 4.00, IF(BB13&gt;=81, 3.50, IF(BB13&gt;=70, 3.00, IF(BB13&gt;=65, 2.50, IF(BB13&gt;=60, 2.00, IF(BB13&gt;=55, 1.50, IF(BB13&gt;=50, 1.00, 0.00)))))))</f>
      </c>
      <c r="BD13" s="49">
        <f>IF(BB13&gt;=91,"A",IF(BB13&gt;=81,"B+",IF(BB13&gt;=70,"B",IF(BB13&gt;=65,"C+",IF(BB13&gt;=60,"C",IF(BB13&gt;=55,"D+",IF(BB13&gt;=50,"D","F")))))))</f>
      </c>
      <c r="BE13" s="40" t="str">
        <f>IF(BC13&gt;90,"A",IF(BC13&gt;80,"B+",IF(BC13&gt;69,"B",IF(BC13&gt;64,"C+",IF(BC13&gt;59,"C",IF(BC13&gt;54,"D+",IF(BC13&gt;49,"D",IF(BC13&gt;=0,"F"))))))))</f>
        <v>F</v>
      </c>
      <c r="BF13" s="48">
        <f>IF(BE13&gt;=91, 4.00, IF(BE13&gt;=81, 3.50, IF(BE13&gt;=70, 3.00, IF(BE13&gt;=65, 2.50, IF(BE13&gt;=60, 2.00, IF(BE13&gt;=55, 1.50, IF(BE13&gt;=50, 1.00, 0.00)))))))</f>
      </c>
      <c r="BG13" s="49">
        <f>IF(BE13&gt;=91,"A",IF(BE13&gt;=81,"B+",IF(BE13&gt;=70,"B",IF(BE13&gt;=65,"C+",IF(BE13&gt;=60,"C",IF(BE13&gt;=55,"D+",IF(BE13&gt;=50,"D","F")))))))</f>
      </c>
      <c r="BH13" s="40" t="str">
        <f>IF(BF13&gt;90,"A",IF(BF13&gt;80,"B+",IF(BF13&gt;69,"B",IF(BF13&gt;64,"C+",IF(BF13&gt;59,"C",IF(BF13&gt;54,"D+",IF(BF13&gt;49,"D",IF(BF13&gt;=0,"F"))))))))</f>
        <v>F</v>
      </c>
      <c r="BI13" s="43">
        <f>IF(BH13&gt;=91, 4.00, IF(BH13&gt;=81, 3.50, IF(BH13&gt;=70, 3.00, IF(BH13&gt;=65, 2.50, IF(BH13&gt;=60, 2.00, IF(BH13&gt;=55, 1.50, IF(BH13&gt;=50, 1.00, 0.00)))))))</f>
      </c>
      <c r="BJ13" s="49">
        <f>IF(BH13&gt;=91,"A",IF(BH13&gt;=81,"B+",IF(BH13&gt;=70,"B",IF(BH13&gt;=65,"C+",IF(BH13&gt;=60,"C",IF(BH13&gt;=55,"D+",IF(BH13&gt;=50,"D","F")))))))</f>
      </c>
      <c r="BK13" s="40" t="str">
        <f>IF(BI13&gt;90,"A",IF(BI13&gt;80,"B+",IF(BI13&gt;69,"B",IF(BI13&gt;64,"C+",IF(BI13&gt;59,"C",IF(BI13&gt;54,"D+",IF(BI13&gt;49,"D",IF(BI13&gt;=0,"F"))))))))</f>
        <v>F</v>
      </c>
      <c r="BL13" s="48">
        <f>IF(BK13&gt;=91, 4.00, IF(BK13&gt;=81, 3.50, IF(BK13&gt;=70, 3.00, IF(BK13&gt;=65, 2.50, IF(BK13&gt;=60, 2.00, IF(BK13&gt;=55, 1.50, IF(BK13&gt;=50, 1.00, 0.00)))))))</f>
      </c>
      <c r="BM13" s="49">
        <f>IF(BK13&gt;=91,"A",IF(BK13&gt;=81,"B+",IF(BK13&gt;=70,"B",IF(BK13&gt;=65,"C+",IF(BK13&gt;=60,"C",IF(BK13&gt;=55,"D+",IF(BK13&gt;=50,"D","F")))))))</f>
      </c>
      <c r="BN13" s="40" t="str">
        <f>IF(BL13&gt;90,"A",IF(BL13&gt;80,"B+",IF(BL13&gt;69,"B",IF(BL13&gt;64,"C+",IF(BL13&gt;59,"C",IF(BL13&gt;54,"D+",IF(BL13&gt;49,"D",IF(BL13&gt;=0,"F"))))))))</f>
        <v>F</v>
      </c>
      <c r="BO13" s="43">
        <f>IF(BN13&gt;=91, 4.00, IF(BN13&gt;=81, 3.50, IF(BN13&gt;=70, 3.00, IF(BN13&gt;=65, 2.50, IF(BN13&gt;=60, 2.00, IF(BN13&gt;=55, 1.50, IF(BN13&gt;=50, 1.00, 0.00)))))))</f>
      </c>
      <c r="BP13" s="49">
        <f>IF(BN13&gt;=91,"A",IF(BN13&gt;=81,"B+",IF(BN13&gt;=70,"B",IF(BN13&gt;=65,"C+",IF(BN13&gt;=60,"C",IF(BN13&gt;=55,"D+",IF(BN13&gt;=50,"D","F")))))))</f>
      </c>
      <c r="BQ13" s="40" t="str">
        <f>IF(BO13&gt;90,"A",IF(BO13&gt;80,"B+",IF(BO13&gt;69,"B",IF(BO13&gt;64,"C+",IF(BO13&gt;59,"C",IF(BO13&gt;54,"D+",IF(BO13&gt;49,"D",IF(BO13&gt;=0,"F"))))))))</f>
        <v>F</v>
      </c>
      <c r="BR13" s="43">
        <f>IF(BQ13&gt;=91, 4.00, IF(BQ13&gt;=81, 3.50, IF(BQ13&gt;=70, 3.00, IF(BQ13&gt;=65, 2.50, IF(BQ13&gt;=60, 2.00, IF(BQ13&gt;=55, 1.50, IF(BQ13&gt;=50, 1.00, 0.00)))))))</f>
      </c>
      <c r="BS13" s="49">
        <f>IF(BQ13&gt;=91,"A",IF(BQ13&gt;=81,"B+",IF(BQ13&gt;=70,"B",IF(BQ13&gt;=65,"C+",IF(BQ13&gt;=60,"C",IF(BQ13&gt;=55,"D+",IF(BQ13&gt;=50,"D","F")))))))</f>
      </c>
      <c r="BT13" s="40" t="str">
        <f>IF(BR13&gt;90,"A",IF(BR13&gt;80,"B+",IF(BR13&gt;69,"B",IF(BR13&gt;64,"C+",IF(BR13&gt;59,"C",IF(BR13&gt;54,"D+",IF(BR13&gt;49,"D",IF(BR13&gt;=0,"F"))))))))</f>
        <v>F</v>
      </c>
      <c r="BU13" s="49">
        <f>IF(BT13&gt;=91, 4.00, IF(BT13&gt;=81, 3.50, IF(BT13&gt;=70, 3.00, IF(BT13&gt;=65, 2.50, IF(BT13&gt;=60, 2.00, IF(BT13&gt;=55, 1.50, IF(BT13&gt;=50, 1.00, 0.00)))))))</f>
      </c>
      <c r="BV13" s="49">
        <f>IF(BT13&gt;=91,"A",IF(BT13&gt;=81,"B+",IF(BT13&gt;=70,"B",IF(BT13&gt;=65,"C+",IF(BT13&gt;=60,"C",IF(BT13&gt;=55,"D+",IF(BT13&gt;=50,"D","F")))))))</f>
      </c>
      <c r="BW13" s="40">
        <f>ROUND((AT13*3+AW13*2+AZ13*1+BC13*1+BF13*1+BI13*2+BL13*2+BO13*1+BR13*2+BU13*3)/18, 2)</f>
      </c>
      <c r="BX13" s="49"/>
      <c r="BY13" s="49" t="str">
        <f>IF(BX13&gt;90,"4.00",IF(BX13&gt;80,"3.50",IF(BX13&gt;69,"3.00",IF(BX13&gt;64,"2.50",IF(BX13&gt;59,"2.00",IF(BX13&gt;54,"1.50",IF(BX13&gt;49,"1.00","0.00")))))))</f>
        <v>0.00</v>
      </c>
      <c r="BZ13" s="40" t="str">
        <f>IF(BX13&gt;90,"A",IF(BX13&gt;80,"B+",IF(BX13&gt;69,"B",IF(BX13&gt;64,"C+",IF(BX13&gt;59,"C",IF(BX13&gt;54,"D+",IF(BX13&gt;49,"D",IF(BX13&gt;=0,"F"))))))))</f>
        <v>F</v>
      </c>
      <c r="CA13" s="49"/>
      <c r="CB13" s="49" t="str">
        <f>IF(CA13&gt;90,"4.00",IF(CA13&gt;80,"3.50",IF(CA13&gt;69,"3.00",IF(CA13&gt;64,"2.50",IF(CA13&gt;59,"2.00",IF(CA13&gt;54,"1.50",IF(CA13&gt;49,"1.00","0.00")))))))</f>
        <v>0.00</v>
      </c>
      <c r="CC13" s="40" t="str">
        <f>IF(CA13&gt;90,"A",IF(CA13&gt;80,"B+",IF(CA13&gt;69,"B",IF(CA13&gt;64,"C+",IF(CA13&gt;59,"C",IF(CA13&gt;54,"D+",IF(CA13&gt;49,"D",IF(CA13&gt;=0,"F"))))))))</f>
        <v>F</v>
      </c>
      <c r="CD13" s="49"/>
      <c r="CE13" s="49" t="str">
        <f>IF(CD13&gt;90,"4.00",IF(CD13&gt;80,"3.50",IF(CD13&gt;69,"3.00",IF(CD13&gt;64,"2.50",IF(CD13&gt;59,"2.00",IF(CD13&gt;54,"1.50",IF(CD13&gt;49,"1.00","0.00")))))))</f>
        <v>0.00</v>
      </c>
      <c r="CF13" s="40" t="str">
        <f>IF(CD13&gt;90,"A",IF(CD13&gt;80,"B+",IF(CD13&gt;69,"B",IF(CD13&gt;64,"C+",IF(CD13&gt;59,"C",IF(CD13&gt;54,"D+",IF(CD13&gt;49,"D",IF(CD13&gt;=0,"F"))))))))</f>
        <v>F</v>
      </c>
      <c r="CG13" s="50">
        <f>(BD13*3+BG13*1+BJ13*1+BM13*2+BP13*1+BS13*2+BV13*2+BY13*1+CB13*2+CE13*2)/(3+1+1+2+1+2+2+1+2+2)</f>
        <v>0</v>
      </c>
      <c r="CH13" s="50">
        <f>(AR13+CG13)/2</f>
        <v>0</v>
      </c>
      <c r="CI13" s="51">
        <f>RANK(CH13,$CH$7:CH42)</f>
        <v>1</v>
      </c>
      <c r="CJ13" s="40"/>
      <c r="CK13" s="52"/>
      <c r="CL13" s="52"/>
      <c r="CM13" s="52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  <c r="FN13" s="53"/>
      <c r="FO13" s="53"/>
      <c r="FP13" s="53"/>
      <c r="FQ13" s="53"/>
      <c r="FR13" s="53"/>
      <c r="FS13" s="53"/>
      <c r="FT13" s="53"/>
      <c r="FU13" s="53"/>
      <c r="FV13" s="53"/>
      <c r="FW13" s="53"/>
      <c r="FX13" s="53"/>
      <c r="FY13" s="53"/>
      <c r="FZ13" s="53"/>
      <c r="GA13" s="53"/>
      <c r="GB13" s="53"/>
      <c r="GC13" s="53"/>
      <c r="GD13" s="53"/>
      <c r="GE13" s="53"/>
      <c r="GF13" s="53"/>
      <c r="GG13" s="53"/>
      <c r="GH13" s="53"/>
      <c r="GI13" s="53"/>
      <c r="GJ13" s="53"/>
      <c r="GK13" s="53"/>
      <c r="GL13" s="53"/>
      <c r="GM13" s="53"/>
      <c r="GN13" s="53"/>
      <c r="GO13" s="53"/>
      <c r="GP13" s="53"/>
      <c r="GQ13" s="53"/>
      <c r="GR13" s="53"/>
      <c r="GS13" s="53"/>
      <c r="GT13" s="53"/>
    </row>
    <row r="14" ht="20" customHeight="1" spans="1:202" s="39" customFormat="1" x14ac:dyDescent="0.25">
      <c r="A14" s="40">
        <v>8</v>
      </c>
      <c r="B14" s="40" t="s">
        <v>274</v>
      </c>
      <c r="C14" s="40" t="s">
        <v>51</v>
      </c>
      <c r="D14" s="40" t="s">
        <v>275</v>
      </c>
      <c r="E14" s="40" t="s">
        <v>276</v>
      </c>
      <c r="F14" s="40" t="s">
        <v>277</v>
      </c>
      <c r="G14" s="40" t="s">
        <v>90</v>
      </c>
      <c r="H14" s="44"/>
      <c r="I14" s="112"/>
      <c r="J14" s="40">
        <v>1</v>
      </c>
      <c r="K14" s="42">
        <v>86</v>
      </c>
      <c r="L14" s="40">
        <f>IF(K14&gt;=91, 4.00, IF(K14&gt;=81, 3.50, IF(K14&gt;=70, 3.00, IF(K14&gt;=65, 2.50, IF(K14&gt;=60, 2.00, IF(K14&gt;=55, 1.50, IF(K14&gt;=50, 1.00, 0.00)))))))</f>
      </c>
      <c r="M14" s="40">
        <f>IF(K14&gt;=91,"A",IF(K14&gt;=81,"B+",IF(K14&gt;=70,"B",IF(K14&gt;=65,"C+",IF(K14&gt;=60,"C",IF(K14&gt;=55,"D+",IF(K14&gt;=50,"D","F")))))))</f>
      </c>
      <c r="N14" s="42">
        <v>89</v>
      </c>
      <c r="O14" s="40">
        <f>IF(N14&gt;=91, 4.00, IF(N14&gt;=81, 3.50, IF(N14&gt;=70, 3.00, IF(N14&gt;=65, 2.50, IF(N14&gt;=60, 2.00, IF(N14&gt;=55, 1.50, IF(N14&gt;=50, 1.00, 0.00)))))))</f>
      </c>
      <c r="P14" s="40">
        <f>IF(N14&gt;=91,"A",IF(N14&gt;=81,"B+",IF(N14&gt;=70,"B",IF(N14&gt;=65,"C+",IF(N14&gt;=60,"C",IF(N14&gt;=55,"D+",IF(N14&gt;=50,"D","F")))))))</f>
      </c>
      <c r="Q14" s="42">
        <v>92</v>
      </c>
      <c r="R14" s="40">
        <f>IF(Q14&gt;=91, 4.00, IF(Q14&gt;=81, 3.50, IF(Q14&gt;=70, 3.00, IF(Q14&gt;=65, 2.50, IF(Q14&gt;=60, 2.00, IF(Q14&gt;=55, 1.50, IF(Q14&gt;=50, 1.00, 0.00)))))))</f>
      </c>
      <c r="S14" s="40">
        <f>IF(Q14&gt;=91,"A",IF(Q14&gt;=81,"B+",IF(Q14&gt;=70,"B",IF(Q14&gt;=65,"C+",IF(Q14&gt;=60,"C",IF(Q14&gt;=55,"D+",IF(Q14&gt;=50,"D","F")))))))</f>
      </c>
      <c r="T14" s="42">
        <v>95</v>
      </c>
      <c r="U14" s="40">
        <f>IF(T14&gt;=91, 4.00, IF(T14&gt;=81, 3.50, IF(T14&gt;=70, 3.00, IF(T14&gt;=65, 2.50, IF(T14&gt;=60, 2.00, IF(T14&gt;=55, 1.50, IF(T14&gt;=50, 1.00, 0.00)))))))</f>
      </c>
      <c r="V14" s="40">
        <f>IF(T14&gt;=91,"A",IF(T14&gt;=81,"B+",IF(T14&gt;=70,"B",IF(T14&gt;=65,"C+",IF(T14&gt;=60,"C",IF(T14&gt;=55,"D+",IF(T14&gt;=50,"D","F")))))))</f>
      </c>
      <c r="W14" s="42">
        <v>77</v>
      </c>
      <c r="X14" s="40">
        <f>IF(W14&gt;=91, 4.00, IF(W14&gt;=81, 3.50, IF(W14&gt;=70, 3.00, IF(W14&gt;=65, 2.50, IF(W14&gt;=60, 2.00, IF(W14&gt;=55, 1.50, IF(W14&gt;=50, 1.00, 0.00)))))))</f>
      </c>
      <c r="Y14" s="40">
        <f>IF(W14&gt;=91,"A",IF(W14&gt;=81,"B+",IF(W14&gt;=70,"B",IF(W14&gt;=65,"C+",IF(W14&gt;=60,"C",IF(W14&gt;=55,"D+",IF(W14&gt;=50,"D","F")))))))</f>
      </c>
      <c r="Z14" s="46">
        <v>80</v>
      </c>
      <c r="AA14" s="40">
        <f>IF(Z14&gt;=91, 4.00, IF(Z14&gt;=81, 3.50, IF(Z14&gt;=70, 3.00, IF(Z14&gt;=65, 2.50, IF(Z14&gt;=60, 2.00, IF(Z14&gt;=55, 1.50, IF(Z14&gt;=50, 1.00, 0.00)))))))</f>
      </c>
      <c r="AB14" s="40">
        <f>IF(Z14&gt;=91,"A",IF(Z14&gt;=81,"B+",IF(Z14&gt;=70,"B",IF(Z14&gt;=65,"C+",IF(Z14&gt;=60,"C",IF(Z14&gt;=55,"D+",IF(Z14&gt;=50,"D","F")))))))</f>
      </c>
      <c r="AC14" s="42">
        <v>83</v>
      </c>
      <c r="AD14" s="40">
        <f>IF(AC14&gt;=91, 4.00, IF(AC14&gt;=81, 3.50, IF(AC14&gt;=70, 3.00, IF(AC14&gt;=65, 2.50, IF(AC14&gt;=60, 2.00, IF(AC14&gt;=55, 1.50, IF(AC14&gt;=50, 1.00, 0.00)))))))</f>
      </c>
      <c r="AE14" s="40">
        <f>IF(AC14&gt;=91,"A",IF(AC14&gt;=81,"B+",IF(AC14&gt;=70,"B",IF(AC14&gt;=65,"C+",IF(AC14&gt;=60,"C",IF(AC14&gt;=55,"D+",IF(AC14&gt;=50,"D","F")))))))</f>
      </c>
      <c r="AF14" s="40">
        <v>86</v>
      </c>
      <c r="AG14" s="40">
        <f>IF(AF14&gt;=91, 4.00, IF(AF14&gt;=81, 3.50, IF(AF14&gt;=70, 3.00, IF(AF14&gt;=65, 2.50, IF(AF14&gt;=60, 2.00, IF(AF14&gt;=55, 1.50, IF(AF14&gt;=50, 1.00, 0.00)))))))</f>
      </c>
      <c r="AH14" s="40">
        <f>IF(AF14&gt;=91,"A",IF(AF14&gt;=81,"B+",IF(AF14&gt;=70,"B",IF(AF14&gt;=65,"C+",IF(AF14&gt;=60,"C",IF(AF14&gt;=55,"D+",IF(AF14&gt;=50,"D","F")))))))</f>
      </c>
      <c r="AI14" s="46">
        <v>89</v>
      </c>
      <c r="AJ14" s="40">
        <f>IF(AI14&gt;=91, 4.00, IF(AI14&gt;=81, 3.50, IF(AI14&gt;=70, 3.00, IF(AI14&gt;=65, 2.50, IF(AI14&gt;=60, 2.00, IF(AI14&gt;=55, 1.50, IF(AI14&gt;=50, 1.00, 0.00)))))))</f>
      </c>
      <c r="AK14" s="40">
        <f>IF(AI14&gt;=91,"A",IF(AI14&gt;=81,"B+",IF(AI14&gt;=70,"B",IF(AI14&gt;=65,"C+",IF(AI14&gt;=60,"C",IF(AI14&gt;=55,"D+",IF(AI14&gt;=50,"D","F")))))))</f>
      </c>
      <c r="AL14" s="42">
        <v>92</v>
      </c>
      <c r="AM14" s="40">
        <f>IF(AL14&gt;=91, 4.00, IF(AL14&gt;=81, 3.50, IF(AL14&gt;=70, 3.00, IF(AL14&gt;=65, 2.50, IF(AL14&gt;=60, 2.00, IF(AL14&gt;=55, 1.50, IF(AL14&gt;=50, 1.00, 0.00)))))))</f>
      </c>
      <c r="AN14" s="40">
        <f>IF(AL14&gt;=91,"A",IF(AL14&gt;=81,"B+",IF(AL14&gt;=70,"B",IF(AL14&gt;=65,"C+",IF(AL14&gt;=60,"C",IF(AL14&gt;=55,"D+",IF(AL14&gt;=50,"D","F")))))))</f>
      </c>
      <c r="AO14" s="40">
        <v>95</v>
      </c>
      <c r="AP14" s="40">
        <f>IF(AO14&gt;=91, 4.00, IF(AO14&gt;=81, 3.50, IF(AO14&gt;=70, 3.00, IF(AO14&gt;=65, 2.50, IF(AO14&gt;=60, 2.00, IF(AO14&gt;=55, 1.50, IF(AO14&gt;=50, 1.00, 0.00)))))))</f>
      </c>
      <c r="AQ14" s="40">
        <f>IF(AO14&gt;=91,"A",IF(AO14&gt;=81,"B+",IF(AO14&gt;=70,"B",IF(AO14&gt;=65,"C+",IF(AO14&gt;=60,"C",IF(AO14&gt;=55,"D+",IF(AO14&gt;=50,"D","F")))))))</f>
      </c>
      <c r="AR14" s="40">
        <f>ROUND((L14*3+O14*2+R14*1+U14*1+X14*1+AA14*2+AD14*2+AG14*2+AJ14*1+AM14*2+AP14*2)/19, 2)</f>
      </c>
      <c r="AS14" s="47">
        <v>78</v>
      </c>
      <c r="AT14" s="40">
        <f>IF(AS14&gt;=91, 4.00, IF(AS14&gt;=81, 3.50, IF(AS14&gt;=70, 3.00, IF(AS14&gt;=65, 2.50, IF(AS14&gt;=60, 2.00, IF(AS14&gt;=55, 1.50, IF(AS14&gt;=50, 1.00, 0.00)))))))</f>
      </c>
      <c r="AU14" s="40">
        <f>IF(AS14&gt;=91,"A",IF(AS14&gt;=81,"B+",IF(AS14&gt;=70,"B",IF(AS14&gt;=65,"C+",IF(AS14&gt;=60,"C",IF(AS14&gt;=55,"D+",IF(AS14&gt;=50,"D","F")))))))</f>
      </c>
      <c r="AV14" s="40" t="s">
        <v>51</v>
      </c>
      <c r="AW14" s="40">
        <f>IF(AV14&gt;=91, 4.00, IF(AV14&gt;=81, 3.50, IF(AV14&gt;=70, 3.00, IF(AV14&gt;=65, 2.50, IF(AV14&gt;=60, 2.00, IF(AV14&gt;=55, 1.50, IF(AV14&gt;=50, 1.00, 0.00)))))))</f>
      </c>
      <c r="AX14" s="40">
        <f>IF(AV14&gt;=91,"A",IF(AV14&gt;=81,"B+",IF(AV14&gt;=70,"B",IF(AV14&gt;=65,"C+",IF(AV14&gt;=60,"C",IF(AV14&gt;=55,"D+",IF(AV14&gt;=50,"D","F")))))))</f>
      </c>
      <c r="AY14" s="40" t="s">
        <v>277</v>
      </c>
      <c r="AZ14" s="40">
        <f>IF(AY14&gt;=91, 4.00, IF(AY14&gt;=81, 3.50, IF(AY14&gt;=70, 3.00, IF(AY14&gt;=65, 2.50, IF(AY14&gt;=60, 2.00, IF(AY14&gt;=55, 1.50, IF(AY14&gt;=50, 1.00, 0.00)))))))</f>
      </c>
      <c r="BA14" s="44">
        <f>IF(AY14&gt;=91,"A",IF(AY14&gt;=81,"B+",IF(AY14&gt;=70,"B",IF(AY14&gt;=65,"C+",IF(AY14&gt;=60,"C",IF(AY14&gt;=55,"D+",IF(AY14&gt;=50,"D","F")))))))</f>
      </c>
      <c r="BB14" s="112">
        <v>87</v>
      </c>
      <c r="BC14" s="40">
        <f>IF(BB14&gt;=91, 4.00, IF(BB14&gt;=81, 3.50, IF(BB14&gt;=70, 3.00, IF(BB14&gt;=65, 2.50, IF(BB14&gt;=60, 2.00, IF(BB14&gt;=55, 1.50, IF(BB14&gt;=50, 1.00, 0.00)))))))</f>
      </c>
      <c r="BD14" s="49">
        <f>IF(BB14&gt;=91,"A",IF(BB14&gt;=81,"B+",IF(BB14&gt;=70,"B",IF(BB14&gt;=65,"C+",IF(BB14&gt;=60,"C",IF(BB14&gt;=55,"D+",IF(BB14&gt;=50,"D","F")))))))</f>
      </c>
      <c r="BE14" s="40" t="str">
        <f>IF(BC14&gt;90,"A",IF(BC14&gt;80,"B+",IF(BC14&gt;69,"B",IF(BC14&gt;64,"C+",IF(BC14&gt;59,"C",IF(BC14&gt;54,"D+",IF(BC14&gt;49,"D",IF(BC14&gt;=0,"F"))))))))</f>
        <v>F</v>
      </c>
      <c r="BF14" s="48">
        <f>IF(BE14&gt;=91, 4.00, IF(BE14&gt;=81, 3.50, IF(BE14&gt;=70, 3.00, IF(BE14&gt;=65, 2.50, IF(BE14&gt;=60, 2.00, IF(BE14&gt;=55, 1.50, IF(BE14&gt;=50, 1.00, 0.00)))))))</f>
      </c>
      <c r="BG14" s="49">
        <f>IF(BE14&gt;=91,"A",IF(BE14&gt;=81,"B+",IF(BE14&gt;=70,"B",IF(BE14&gt;=65,"C+",IF(BE14&gt;=60,"C",IF(BE14&gt;=55,"D+",IF(BE14&gt;=50,"D","F")))))))</f>
      </c>
      <c r="BH14" s="40" t="str">
        <f>IF(BF14&gt;90,"A",IF(BF14&gt;80,"B+",IF(BF14&gt;69,"B",IF(BF14&gt;64,"C+",IF(BF14&gt;59,"C",IF(BF14&gt;54,"D+",IF(BF14&gt;49,"D",IF(BF14&gt;=0,"F"))))))))</f>
        <v>F</v>
      </c>
      <c r="BI14" s="43">
        <f>IF(BH14&gt;=91, 4.00, IF(BH14&gt;=81, 3.50, IF(BH14&gt;=70, 3.00, IF(BH14&gt;=65, 2.50, IF(BH14&gt;=60, 2.00, IF(BH14&gt;=55, 1.50, IF(BH14&gt;=50, 1.00, 0.00)))))))</f>
      </c>
      <c r="BJ14" s="49">
        <f>IF(BH14&gt;=91,"A",IF(BH14&gt;=81,"B+",IF(BH14&gt;=70,"B",IF(BH14&gt;=65,"C+",IF(BH14&gt;=60,"C",IF(BH14&gt;=55,"D+",IF(BH14&gt;=50,"D","F")))))))</f>
      </c>
      <c r="BK14" s="40" t="str">
        <f>IF(BI14&gt;90,"A",IF(BI14&gt;80,"B+",IF(BI14&gt;69,"B",IF(BI14&gt;64,"C+",IF(BI14&gt;59,"C",IF(BI14&gt;54,"D+",IF(BI14&gt;49,"D",IF(BI14&gt;=0,"F"))))))))</f>
        <v>F</v>
      </c>
      <c r="BL14" s="48">
        <f>IF(BK14&gt;=91, 4.00, IF(BK14&gt;=81, 3.50, IF(BK14&gt;=70, 3.00, IF(BK14&gt;=65, 2.50, IF(BK14&gt;=60, 2.00, IF(BK14&gt;=55, 1.50, IF(BK14&gt;=50, 1.00, 0.00)))))))</f>
      </c>
      <c r="BM14" s="49">
        <f>IF(BK14&gt;=91,"A",IF(BK14&gt;=81,"B+",IF(BK14&gt;=70,"B",IF(BK14&gt;=65,"C+",IF(BK14&gt;=60,"C",IF(BK14&gt;=55,"D+",IF(BK14&gt;=50,"D","F")))))))</f>
      </c>
      <c r="BN14" s="40" t="str">
        <f>IF(BL14&gt;90,"A",IF(BL14&gt;80,"B+",IF(BL14&gt;69,"B",IF(BL14&gt;64,"C+",IF(BL14&gt;59,"C",IF(BL14&gt;54,"D+",IF(BL14&gt;49,"D",IF(BL14&gt;=0,"F"))))))))</f>
        <v>F</v>
      </c>
      <c r="BO14" s="43">
        <f>IF(BN14&gt;=91, 4.00, IF(BN14&gt;=81, 3.50, IF(BN14&gt;=70, 3.00, IF(BN14&gt;=65, 2.50, IF(BN14&gt;=60, 2.00, IF(BN14&gt;=55, 1.50, IF(BN14&gt;=50, 1.00, 0.00)))))))</f>
      </c>
      <c r="BP14" s="49">
        <f>IF(BN14&gt;=91,"A",IF(BN14&gt;=81,"B+",IF(BN14&gt;=70,"B",IF(BN14&gt;=65,"C+",IF(BN14&gt;=60,"C",IF(BN14&gt;=55,"D+",IF(BN14&gt;=50,"D","F")))))))</f>
      </c>
      <c r="BQ14" s="40" t="str">
        <f>IF(BO14&gt;90,"A",IF(BO14&gt;80,"B+",IF(BO14&gt;69,"B",IF(BO14&gt;64,"C+",IF(BO14&gt;59,"C",IF(BO14&gt;54,"D+",IF(BO14&gt;49,"D",IF(BO14&gt;=0,"F"))))))))</f>
        <v>F</v>
      </c>
      <c r="BR14" s="43">
        <f>IF(BQ14&gt;=91, 4.00, IF(BQ14&gt;=81, 3.50, IF(BQ14&gt;=70, 3.00, IF(BQ14&gt;=65, 2.50, IF(BQ14&gt;=60, 2.00, IF(BQ14&gt;=55, 1.50, IF(BQ14&gt;=50, 1.00, 0.00)))))))</f>
      </c>
      <c r="BS14" s="49">
        <f>IF(BQ14&gt;=91,"A",IF(BQ14&gt;=81,"B+",IF(BQ14&gt;=70,"B",IF(BQ14&gt;=65,"C+",IF(BQ14&gt;=60,"C",IF(BQ14&gt;=55,"D+",IF(BQ14&gt;=50,"D","F")))))))</f>
      </c>
      <c r="BT14" s="40" t="str">
        <f>IF(BR14&gt;90,"A",IF(BR14&gt;80,"B+",IF(BR14&gt;69,"B",IF(BR14&gt;64,"C+",IF(BR14&gt;59,"C",IF(BR14&gt;54,"D+",IF(BR14&gt;49,"D",IF(BR14&gt;=0,"F"))))))))</f>
        <v>F</v>
      </c>
      <c r="BU14" s="49">
        <f>IF(BT14&gt;=91, 4.00, IF(BT14&gt;=81, 3.50, IF(BT14&gt;=70, 3.00, IF(BT14&gt;=65, 2.50, IF(BT14&gt;=60, 2.00, IF(BT14&gt;=55, 1.50, IF(BT14&gt;=50, 1.00, 0.00)))))))</f>
      </c>
      <c r="BV14" s="49">
        <f>IF(BT14&gt;=91,"A",IF(BT14&gt;=81,"B+",IF(BT14&gt;=70,"B",IF(BT14&gt;=65,"C+",IF(BT14&gt;=60,"C",IF(BT14&gt;=55,"D+",IF(BT14&gt;=50,"D","F")))))))</f>
      </c>
      <c r="BW14" s="40">
        <f>ROUND((AT14*3+AW14*2+AZ14*1+BC14*1+BF14*1+BI14*2+BL14*2+BO14*1+BR14*2+BU14*3)/18, 2)</f>
      </c>
      <c r="BX14" s="49"/>
      <c r="BY14" s="49" t="str">
        <f>IF(BX14&gt;90,"4.00",IF(BX14&gt;80,"3.50",IF(BX14&gt;69,"3.00",IF(BX14&gt;64,"2.50",IF(BX14&gt;59,"2.00",IF(BX14&gt;54,"1.50",IF(BX14&gt;49,"1.00","0.00")))))))</f>
        <v>0.00</v>
      </c>
      <c r="BZ14" s="40" t="str">
        <f>IF(BX14&gt;90,"A",IF(BX14&gt;80,"B+",IF(BX14&gt;69,"B",IF(BX14&gt;64,"C+",IF(BX14&gt;59,"C",IF(BX14&gt;54,"D+",IF(BX14&gt;49,"D",IF(BX14&gt;=0,"F"))))))))</f>
        <v>F</v>
      </c>
      <c r="CA14" s="49"/>
      <c r="CB14" s="49" t="str">
        <f>IF(CA14&gt;90,"4.00",IF(CA14&gt;80,"3.50",IF(CA14&gt;69,"3.00",IF(CA14&gt;64,"2.50",IF(CA14&gt;59,"2.00",IF(CA14&gt;54,"1.50",IF(CA14&gt;49,"1.00","0.00")))))))</f>
        <v>0.00</v>
      </c>
      <c r="CC14" s="40" t="str">
        <f>IF(CA14&gt;90,"A",IF(CA14&gt;80,"B+",IF(CA14&gt;69,"B",IF(CA14&gt;64,"C+",IF(CA14&gt;59,"C",IF(CA14&gt;54,"D+",IF(CA14&gt;49,"D",IF(CA14&gt;=0,"F"))))))))</f>
        <v>F</v>
      </c>
      <c r="CD14" s="49"/>
      <c r="CE14" s="49" t="str">
        <f>IF(CD14&gt;90,"4.00",IF(CD14&gt;80,"3.50",IF(CD14&gt;69,"3.00",IF(CD14&gt;64,"2.50",IF(CD14&gt;59,"2.00",IF(CD14&gt;54,"1.50",IF(CD14&gt;49,"1.00","0.00")))))))</f>
        <v>0.00</v>
      </c>
      <c r="CF14" s="40" t="str">
        <f>IF(CD14&gt;90,"A",IF(CD14&gt;80,"B+",IF(CD14&gt;69,"B",IF(CD14&gt;64,"C+",IF(CD14&gt;59,"C",IF(CD14&gt;54,"D+",IF(CD14&gt;49,"D",IF(CD14&gt;=0,"F"))))))))</f>
        <v>F</v>
      </c>
      <c r="CG14" s="50">
        <f>(BD14*3+BG14*1+BJ14*1+BM14*2+BP14*1+BS14*2+BV14*2+BY14*1+CB14*2+CE14*2)/(3+1+1+2+1+2+2+1+2+2)</f>
        <v>0</v>
      </c>
      <c r="CH14" s="50">
        <f>(AR14+CG14)/2</f>
        <v>0</v>
      </c>
      <c r="CI14" s="51">
        <f>RANK(CH14,$CH$7:CH43)</f>
        <v>1</v>
      </c>
      <c r="CJ14" s="40"/>
      <c r="CK14" s="52"/>
      <c r="CL14" s="52"/>
      <c r="CM14" s="52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  <c r="FN14" s="53"/>
      <c r="FO14" s="53"/>
      <c r="FP14" s="53"/>
      <c r="FQ14" s="53"/>
      <c r="FR14" s="53"/>
      <c r="FS14" s="53"/>
      <c r="FT14" s="53"/>
      <c r="FU14" s="53"/>
      <c r="FV14" s="53"/>
      <c r="FW14" s="53"/>
      <c r="FX14" s="53"/>
      <c r="FY14" s="53"/>
      <c r="FZ14" s="53"/>
      <c r="GA14" s="53"/>
      <c r="GB14" s="53"/>
      <c r="GC14" s="53"/>
      <c r="GD14" s="53"/>
      <c r="GE14" s="53"/>
      <c r="GF14" s="53"/>
      <c r="GG14" s="53"/>
      <c r="GH14" s="53"/>
      <c r="GI14" s="53"/>
      <c r="GJ14" s="53"/>
      <c r="GK14" s="53"/>
      <c r="GL14" s="53"/>
      <c r="GM14" s="53"/>
      <c r="GN14" s="53"/>
      <c r="GO14" s="53"/>
      <c r="GP14" s="53"/>
      <c r="GQ14" s="53"/>
      <c r="GR14" s="53"/>
      <c r="GS14" s="53"/>
      <c r="GT14" s="53"/>
    </row>
    <row r="15" ht="20" customHeight="1" spans="1:202" s="39" customFormat="1" x14ac:dyDescent="0.25">
      <c r="A15" s="40">
        <v>9</v>
      </c>
      <c r="B15" s="40" t="s">
        <v>278</v>
      </c>
      <c r="C15" s="40" t="s">
        <v>43</v>
      </c>
      <c r="D15" s="40" t="s">
        <v>93</v>
      </c>
      <c r="E15" s="40" t="s">
        <v>94</v>
      </c>
      <c r="F15" s="40" t="s">
        <v>279</v>
      </c>
      <c r="G15" s="40" t="s">
        <v>96</v>
      </c>
      <c r="H15" s="44"/>
      <c r="I15" s="112"/>
      <c r="J15" s="40">
        <v>1</v>
      </c>
      <c r="K15" s="42">
        <v>89</v>
      </c>
      <c r="L15" s="40">
        <f>IF(K15&gt;=91, 4.00, IF(K15&gt;=81, 3.50, IF(K15&gt;=70, 3.00, IF(K15&gt;=65, 2.50, IF(K15&gt;=60, 2.00, IF(K15&gt;=55, 1.50, IF(K15&gt;=50, 1.00, 0.00)))))))</f>
      </c>
      <c r="M15" s="40">
        <f>IF(K15&gt;=91,"A",IF(K15&gt;=81,"B+",IF(K15&gt;=70,"B",IF(K15&gt;=65,"C+",IF(K15&gt;=60,"C",IF(K15&gt;=55,"D+",IF(K15&gt;=50,"D","F")))))))</f>
      </c>
      <c r="N15" s="42">
        <v>92</v>
      </c>
      <c r="O15" s="40">
        <f>IF(N15&gt;=91, 4.00, IF(N15&gt;=81, 3.50, IF(N15&gt;=70, 3.00, IF(N15&gt;=65, 2.50, IF(N15&gt;=60, 2.00, IF(N15&gt;=55, 1.50, IF(N15&gt;=50, 1.00, 0.00)))))))</f>
      </c>
      <c r="P15" s="40">
        <f>IF(N15&gt;=91,"A",IF(N15&gt;=81,"B+",IF(N15&gt;=70,"B",IF(N15&gt;=65,"C+",IF(N15&gt;=60,"C",IF(N15&gt;=55,"D+",IF(N15&gt;=50,"D","F")))))))</f>
      </c>
      <c r="Q15" s="42">
        <v>95</v>
      </c>
      <c r="R15" s="40">
        <f>IF(Q15&gt;=91, 4.00, IF(Q15&gt;=81, 3.50, IF(Q15&gt;=70, 3.00, IF(Q15&gt;=65, 2.50, IF(Q15&gt;=60, 2.00, IF(Q15&gt;=55, 1.50, IF(Q15&gt;=50, 1.00, 0.00)))))))</f>
      </c>
      <c r="S15" s="40">
        <f>IF(Q15&gt;=91,"A",IF(Q15&gt;=81,"B+",IF(Q15&gt;=70,"B",IF(Q15&gt;=65,"C+",IF(Q15&gt;=60,"C",IF(Q15&gt;=55,"D+",IF(Q15&gt;=50,"D","F")))))))</f>
      </c>
      <c r="T15" s="42">
        <v>77</v>
      </c>
      <c r="U15" s="40">
        <f>IF(T15&gt;=91, 4.00, IF(T15&gt;=81, 3.50, IF(T15&gt;=70, 3.00, IF(T15&gt;=65, 2.50, IF(T15&gt;=60, 2.00, IF(T15&gt;=55, 1.50, IF(T15&gt;=50, 1.00, 0.00)))))))</f>
      </c>
      <c r="V15" s="40">
        <f>IF(T15&gt;=91,"A",IF(T15&gt;=81,"B+",IF(T15&gt;=70,"B",IF(T15&gt;=65,"C+",IF(T15&gt;=60,"C",IF(T15&gt;=55,"D+",IF(T15&gt;=50,"D","F")))))))</f>
      </c>
      <c r="W15" s="42">
        <v>80</v>
      </c>
      <c r="X15" s="40">
        <f>IF(W15&gt;=91, 4.00, IF(W15&gt;=81, 3.50, IF(W15&gt;=70, 3.00, IF(W15&gt;=65, 2.50, IF(W15&gt;=60, 2.00, IF(W15&gt;=55, 1.50, IF(W15&gt;=50, 1.00, 0.00)))))))</f>
      </c>
      <c r="Y15" s="40">
        <f>IF(W15&gt;=91,"A",IF(W15&gt;=81,"B+",IF(W15&gt;=70,"B",IF(W15&gt;=65,"C+",IF(W15&gt;=60,"C",IF(W15&gt;=55,"D+",IF(W15&gt;=50,"D","F")))))))</f>
      </c>
      <c r="Z15" s="46">
        <v>83</v>
      </c>
      <c r="AA15" s="40">
        <f>IF(Z15&gt;=91, 4.00, IF(Z15&gt;=81, 3.50, IF(Z15&gt;=70, 3.00, IF(Z15&gt;=65, 2.50, IF(Z15&gt;=60, 2.00, IF(Z15&gt;=55, 1.50, IF(Z15&gt;=50, 1.00, 0.00)))))))</f>
      </c>
      <c r="AB15" s="40">
        <f>IF(Z15&gt;=91,"A",IF(Z15&gt;=81,"B+",IF(Z15&gt;=70,"B",IF(Z15&gt;=65,"C+",IF(Z15&gt;=60,"C",IF(Z15&gt;=55,"D+",IF(Z15&gt;=50,"D","F")))))))</f>
      </c>
      <c r="AC15" s="42">
        <v>86</v>
      </c>
      <c r="AD15" s="40">
        <f>IF(AC15&gt;=91, 4.00, IF(AC15&gt;=81, 3.50, IF(AC15&gt;=70, 3.00, IF(AC15&gt;=65, 2.50, IF(AC15&gt;=60, 2.00, IF(AC15&gt;=55, 1.50, IF(AC15&gt;=50, 1.00, 0.00)))))))</f>
      </c>
      <c r="AE15" s="40">
        <f>IF(AC15&gt;=91,"A",IF(AC15&gt;=81,"B+",IF(AC15&gt;=70,"B",IF(AC15&gt;=65,"C+",IF(AC15&gt;=60,"C",IF(AC15&gt;=55,"D+",IF(AC15&gt;=50,"D","F")))))))</f>
      </c>
      <c r="AF15" s="40">
        <v>89</v>
      </c>
      <c r="AG15" s="40">
        <f>IF(AF15&gt;=91, 4.00, IF(AF15&gt;=81, 3.50, IF(AF15&gt;=70, 3.00, IF(AF15&gt;=65, 2.50, IF(AF15&gt;=60, 2.00, IF(AF15&gt;=55, 1.50, IF(AF15&gt;=50, 1.00, 0.00)))))))</f>
      </c>
      <c r="AH15" s="40">
        <f>IF(AF15&gt;=91,"A",IF(AF15&gt;=81,"B+",IF(AF15&gt;=70,"B",IF(AF15&gt;=65,"C+",IF(AF15&gt;=60,"C",IF(AF15&gt;=55,"D+",IF(AF15&gt;=50,"D","F")))))))</f>
      </c>
      <c r="AI15" s="46">
        <v>92</v>
      </c>
      <c r="AJ15" s="40">
        <f>IF(AI15&gt;=91, 4.00, IF(AI15&gt;=81, 3.50, IF(AI15&gt;=70, 3.00, IF(AI15&gt;=65, 2.50, IF(AI15&gt;=60, 2.00, IF(AI15&gt;=55, 1.50, IF(AI15&gt;=50, 1.00, 0.00)))))))</f>
      </c>
      <c r="AK15" s="40">
        <f>IF(AI15&gt;=91,"A",IF(AI15&gt;=81,"B+",IF(AI15&gt;=70,"B",IF(AI15&gt;=65,"C+",IF(AI15&gt;=60,"C",IF(AI15&gt;=55,"D+",IF(AI15&gt;=50,"D","F")))))))</f>
      </c>
      <c r="AL15" s="42">
        <v>95</v>
      </c>
      <c r="AM15" s="40">
        <f>IF(AL15&gt;=91, 4.00, IF(AL15&gt;=81, 3.50, IF(AL15&gt;=70, 3.00, IF(AL15&gt;=65, 2.50, IF(AL15&gt;=60, 2.00, IF(AL15&gt;=55, 1.50, IF(AL15&gt;=50, 1.00, 0.00)))))))</f>
      </c>
      <c r="AN15" s="40">
        <f>IF(AL15&gt;=91,"A",IF(AL15&gt;=81,"B+",IF(AL15&gt;=70,"B",IF(AL15&gt;=65,"C+",IF(AL15&gt;=60,"C",IF(AL15&gt;=55,"D+",IF(AL15&gt;=50,"D","F")))))))</f>
      </c>
      <c r="AO15" s="40">
        <v>77</v>
      </c>
      <c r="AP15" s="40">
        <f>IF(AO15&gt;=91, 4.00, IF(AO15&gt;=81, 3.50, IF(AO15&gt;=70, 3.00, IF(AO15&gt;=65, 2.50, IF(AO15&gt;=60, 2.00, IF(AO15&gt;=55, 1.50, IF(AO15&gt;=50, 1.00, 0.00)))))))</f>
      </c>
      <c r="AQ15" s="40">
        <f>IF(AO15&gt;=91,"A",IF(AO15&gt;=81,"B+",IF(AO15&gt;=70,"B",IF(AO15&gt;=65,"C+",IF(AO15&gt;=60,"C",IF(AO15&gt;=55,"D+",IF(AO15&gt;=50,"D","F")))))))</f>
      </c>
      <c r="AR15" s="40">
        <f>ROUND((L15*3+O15*2+R15*1+U15*1+X15*1+AA15*2+AD15*2+AG15*2+AJ15*1+AM15*2+AP15*2)/19, 2)</f>
      </c>
      <c r="AS15" s="47">
        <v>81</v>
      </c>
      <c r="AT15" s="40">
        <f>IF(AS15&gt;=91, 4.00, IF(AS15&gt;=81, 3.50, IF(AS15&gt;=70, 3.00, IF(AS15&gt;=65, 2.50, IF(AS15&gt;=60, 2.00, IF(AS15&gt;=55, 1.50, IF(AS15&gt;=50, 1.00, 0.00)))))))</f>
      </c>
      <c r="AU15" s="40">
        <f>IF(AS15&gt;=91,"A",IF(AS15&gt;=81,"B+",IF(AS15&gt;=70,"B",IF(AS15&gt;=65,"C+",IF(AS15&gt;=60,"C",IF(AS15&gt;=55,"D+",IF(AS15&gt;=50,"D","F")))))))</f>
      </c>
      <c r="AV15" s="40" t="s">
        <v>43</v>
      </c>
      <c r="AW15" s="40">
        <f>IF(AV15&gt;=91, 4.00, IF(AV15&gt;=81, 3.50, IF(AV15&gt;=70, 3.00, IF(AV15&gt;=65, 2.50, IF(AV15&gt;=60, 2.00, IF(AV15&gt;=55, 1.50, IF(AV15&gt;=50, 1.00, 0.00)))))))</f>
      </c>
      <c r="AX15" s="40">
        <f>IF(AV15&gt;=91,"A",IF(AV15&gt;=81,"B+",IF(AV15&gt;=70,"B",IF(AV15&gt;=65,"C+",IF(AV15&gt;=60,"C",IF(AV15&gt;=55,"D+",IF(AV15&gt;=50,"D","F")))))))</f>
      </c>
      <c r="AY15" s="40" t="s">
        <v>279</v>
      </c>
      <c r="AZ15" s="40">
        <f>IF(AY15&gt;=91, 4.00, IF(AY15&gt;=81, 3.50, IF(AY15&gt;=70, 3.00, IF(AY15&gt;=65, 2.50, IF(AY15&gt;=60, 2.00, IF(AY15&gt;=55, 1.50, IF(AY15&gt;=50, 1.00, 0.00)))))))</f>
      </c>
      <c r="BA15" s="44">
        <f>IF(AY15&gt;=91,"A",IF(AY15&gt;=81,"B+",IF(AY15&gt;=70,"B",IF(AY15&gt;=65,"C+",IF(AY15&gt;=60,"C",IF(AY15&gt;=55,"D+",IF(AY15&gt;=50,"D","F")))))))</f>
      </c>
      <c r="BB15" s="112">
        <v>90</v>
      </c>
      <c r="BC15" s="40">
        <f>IF(BB15&gt;=91, 4.00, IF(BB15&gt;=81, 3.50, IF(BB15&gt;=70, 3.00, IF(BB15&gt;=65, 2.50, IF(BB15&gt;=60, 2.00, IF(BB15&gt;=55, 1.50, IF(BB15&gt;=50, 1.00, 0.00)))))))</f>
      </c>
      <c r="BD15" s="49">
        <f>IF(BB15&gt;=91,"A",IF(BB15&gt;=81,"B+",IF(BB15&gt;=70,"B",IF(BB15&gt;=65,"C+",IF(BB15&gt;=60,"C",IF(BB15&gt;=55,"D+",IF(BB15&gt;=50,"D","F")))))))</f>
      </c>
      <c r="BE15" s="40" t="str">
        <f>IF(BC15&gt;90,"A",IF(BC15&gt;80,"B+",IF(BC15&gt;69,"B",IF(BC15&gt;64,"C+",IF(BC15&gt;59,"C",IF(BC15&gt;54,"D+",IF(BC15&gt;49,"D",IF(BC15&gt;=0,"F"))))))))</f>
        <v>F</v>
      </c>
      <c r="BF15" s="48">
        <f>IF(BE15&gt;=91, 4.00, IF(BE15&gt;=81, 3.50, IF(BE15&gt;=70, 3.00, IF(BE15&gt;=65, 2.50, IF(BE15&gt;=60, 2.00, IF(BE15&gt;=55, 1.50, IF(BE15&gt;=50, 1.00, 0.00)))))))</f>
      </c>
      <c r="BG15" s="49">
        <f>IF(BE15&gt;=91,"A",IF(BE15&gt;=81,"B+",IF(BE15&gt;=70,"B",IF(BE15&gt;=65,"C+",IF(BE15&gt;=60,"C",IF(BE15&gt;=55,"D+",IF(BE15&gt;=50,"D","F")))))))</f>
      </c>
      <c r="BH15" s="40" t="str">
        <f>IF(BF15&gt;90,"A",IF(BF15&gt;80,"B+",IF(BF15&gt;69,"B",IF(BF15&gt;64,"C+",IF(BF15&gt;59,"C",IF(BF15&gt;54,"D+",IF(BF15&gt;49,"D",IF(BF15&gt;=0,"F"))))))))</f>
        <v>F</v>
      </c>
      <c r="BI15" s="43">
        <f>IF(BH15&gt;=91, 4.00, IF(BH15&gt;=81, 3.50, IF(BH15&gt;=70, 3.00, IF(BH15&gt;=65, 2.50, IF(BH15&gt;=60, 2.00, IF(BH15&gt;=55, 1.50, IF(BH15&gt;=50, 1.00, 0.00)))))))</f>
      </c>
      <c r="BJ15" s="49">
        <f>IF(BH15&gt;=91,"A",IF(BH15&gt;=81,"B+",IF(BH15&gt;=70,"B",IF(BH15&gt;=65,"C+",IF(BH15&gt;=60,"C",IF(BH15&gt;=55,"D+",IF(BH15&gt;=50,"D","F")))))))</f>
      </c>
      <c r="BK15" s="40" t="str">
        <f>IF(BI15&gt;90,"A",IF(BI15&gt;80,"B+",IF(BI15&gt;69,"B",IF(BI15&gt;64,"C+",IF(BI15&gt;59,"C",IF(BI15&gt;54,"D+",IF(BI15&gt;49,"D",IF(BI15&gt;=0,"F"))))))))</f>
        <v>F</v>
      </c>
      <c r="BL15" s="48">
        <f>IF(BK15&gt;=91, 4.00, IF(BK15&gt;=81, 3.50, IF(BK15&gt;=70, 3.00, IF(BK15&gt;=65, 2.50, IF(BK15&gt;=60, 2.00, IF(BK15&gt;=55, 1.50, IF(BK15&gt;=50, 1.00, 0.00)))))))</f>
      </c>
      <c r="BM15" s="49">
        <f>IF(BK15&gt;=91,"A",IF(BK15&gt;=81,"B+",IF(BK15&gt;=70,"B",IF(BK15&gt;=65,"C+",IF(BK15&gt;=60,"C",IF(BK15&gt;=55,"D+",IF(BK15&gt;=50,"D","F")))))))</f>
      </c>
      <c r="BN15" s="40" t="str">
        <f>IF(BL15&gt;90,"A",IF(BL15&gt;80,"B+",IF(BL15&gt;69,"B",IF(BL15&gt;64,"C+",IF(BL15&gt;59,"C",IF(BL15&gt;54,"D+",IF(BL15&gt;49,"D",IF(BL15&gt;=0,"F"))))))))</f>
        <v>F</v>
      </c>
      <c r="BO15" s="43">
        <f>IF(BN15&gt;=91, 4.00, IF(BN15&gt;=81, 3.50, IF(BN15&gt;=70, 3.00, IF(BN15&gt;=65, 2.50, IF(BN15&gt;=60, 2.00, IF(BN15&gt;=55, 1.50, IF(BN15&gt;=50, 1.00, 0.00)))))))</f>
      </c>
      <c r="BP15" s="49">
        <f>IF(BN15&gt;=91,"A",IF(BN15&gt;=81,"B+",IF(BN15&gt;=70,"B",IF(BN15&gt;=65,"C+",IF(BN15&gt;=60,"C",IF(BN15&gt;=55,"D+",IF(BN15&gt;=50,"D","F")))))))</f>
      </c>
      <c r="BQ15" s="40" t="str">
        <f>IF(BO15&gt;90,"A",IF(BO15&gt;80,"B+",IF(BO15&gt;69,"B",IF(BO15&gt;64,"C+",IF(BO15&gt;59,"C",IF(BO15&gt;54,"D+",IF(BO15&gt;49,"D",IF(BO15&gt;=0,"F"))))))))</f>
        <v>F</v>
      </c>
      <c r="BR15" s="43">
        <f>IF(BQ15&gt;=91, 4.00, IF(BQ15&gt;=81, 3.50, IF(BQ15&gt;=70, 3.00, IF(BQ15&gt;=65, 2.50, IF(BQ15&gt;=60, 2.00, IF(BQ15&gt;=55, 1.50, IF(BQ15&gt;=50, 1.00, 0.00)))))))</f>
      </c>
      <c r="BS15" s="49">
        <f>IF(BQ15&gt;=91,"A",IF(BQ15&gt;=81,"B+",IF(BQ15&gt;=70,"B",IF(BQ15&gt;=65,"C+",IF(BQ15&gt;=60,"C",IF(BQ15&gt;=55,"D+",IF(BQ15&gt;=50,"D","F")))))))</f>
      </c>
      <c r="BT15" s="40" t="str">
        <f>IF(BR15&gt;90,"A",IF(BR15&gt;80,"B+",IF(BR15&gt;69,"B",IF(BR15&gt;64,"C+",IF(BR15&gt;59,"C",IF(BR15&gt;54,"D+",IF(BR15&gt;49,"D",IF(BR15&gt;=0,"F"))))))))</f>
        <v>F</v>
      </c>
      <c r="BU15" s="49">
        <f>IF(BT15&gt;=91, 4.00, IF(BT15&gt;=81, 3.50, IF(BT15&gt;=70, 3.00, IF(BT15&gt;=65, 2.50, IF(BT15&gt;=60, 2.00, IF(BT15&gt;=55, 1.50, IF(BT15&gt;=50, 1.00, 0.00)))))))</f>
      </c>
      <c r="BV15" s="49">
        <f>IF(BT15&gt;=91,"A",IF(BT15&gt;=81,"B+",IF(BT15&gt;=70,"B",IF(BT15&gt;=65,"C+",IF(BT15&gt;=60,"C",IF(BT15&gt;=55,"D+",IF(BT15&gt;=50,"D","F")))))))</f>
      </c>
      <c r="BW15" s="40">
        <f>ROUND((AT15*3+AW15*2+AZ15*1+BC15*1+BF15*1+BI15*2+BL15*2+BO15*1+BR15*2+BU15*3)/18, 2)</f>
      </c>
      <c r="BX15" s="49"/>
      <c r="BY15" s="49" t="str">
        <f>IF(BX15&gt;90,"4.00",IF(BX15&gt;80,"3.50",IF(BX15&gt;69,"3.00",IF(BX15&gt;64,"2.50",IF(BX15&gt;59,"2.00",IF(BX15&gt;54,"1.50",IF(BX15&gt;49,"1.00","0.00")))))))</f>
        <v>0.00</v>
      </c>
      <c r="BZ15" s="40" t="str">
        <f>IF(BX15&gt;90,"A",IF(BX15&gt;80,"B+",IF(BX15&gt;69,"B",IF(BX15&gt;64,"C+",IF(BX15&gt;59,"C",IF(BX15&gt;54,"D+",IF(BX15&gt;49,"D",IF(BX15&gt;=0,"F"))))))))</f>
        <v>F</v>
      </c>
      <c r="CA15" s="49"/>
      <c r="CB15" s="49" t="str">
        <f>IF(CA15&gt;90,"4.00",IF(CA15&gt;80,"3.50",IF(CA15&gt;69,"3.00",IF(CA15&gt;64,"2.50",IF(CA15&gt;59,"2.00",IF(CA15&gt;54,"1.50",IF(CA15&gt;49,"1.00","0.00")))))))</f>
        <v>0.00</v>
      </c>
      <c r="CC15" s="40" t="str">
        <f>IF(CA15&gt;90,"A",IF(CA15&gt;80,"B+",IF(CA15&gt;69,"B",IF(CA15&gt;64,"C+",IF(CA15&gt;59,"C",IF(CA15&gt;54,"D+",IF(CA15&gt;49,"D",IF(CA15&gt;=0,"F"))))))))</f>
        <v>F</v>
      </c>
      <c r="CD15" s="49"/>
      <c r="CE15" s="49" t="str">
        <f>IF(CD15&gt;90,"4.00",IF(CD15&gt;80,"3.50",IF(CD15&gt;69,"3.00",IF(CD15&gt;64,"2.50",IF(CD15&gt;59,"2.00",IF(CD15&gt;54,"1.50",IF(CD15&gt;49,"1.00","0.00")))))))</f>
        <v>0.00</v>
      </c>
      <c r="CF15" s="40" t="str">
        <f>IF(CD15&gt;90,"A",IF(CD15&gt;80,"B+",IF(CD15&gt;69,"B",IF(CD15&gt;64,"C+",IF(CD15&gt;59,"C",IF(CD15&gt;54,"D+",IF(CD15&gt;49,"D",IF(CD15&gt;=0,"F"))))))))</f>
        <v>F</v>
      </c>
      <c r="CG15" s="50">
        <f>(BD15*3+BG15*1+BJ15*1+BM15*2+BP15*1+BS15*2+BV15*2+BY15*1+CB15*2+CE15*2)/(3+1+1+2+1+2+2+1+2+2)</f>
        <v>0</v>
      </c>
      <c r="CH15" s="50">
        <f>(AR15+CG15)/2</f>
        <v>0</v>
      </c>
      <c r="CI15" s="51">
        <f>RANK(CH15,$CH$7:CH44)</f>
        <v>1</v>
      </c>
      <c r="CJ15" s="58"/>
      <c r="CK15" s="52"/>
      <c r="CL15" s="52"/>
      <c r="CM15" s="52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  <c r="FN15" s="53"/>
      <c r="FO15" s="53"/>
      <c r="FP15" s="53"/>
      <c r="FQ15" s="53"/>
      <c r="FR15" s="53"/>
      <c r="FS15" s="53"/>
      <c r="FT15" s="53"/>
      <c r="FU15" s="53"/>
      <c r="FV15" s="53"/>
      <c r="FW15" s="53"/>
      <c r="FX15" s="53"/>
      <c r="FY15" s="53"/>
      <c r="FZ15" s="53"/>
      <c r="GA15" s="53"/>
      <c r="GB15" s="53"/>
      <c r="GC15" s="53"/>
      <c r="GD15" s="53"/>
      <c r="GE15" s="53"/>
      <c r="GF15" s="53"/>
      <c r="GG15" s="53"/>
      <c r="GH15" s="53"/>
      <c r="GI15" s="53"/>
      <c r="GJ15" s="53"/>
      <c r="GK15" s="53"/>
      <c r="GL15" s="53"/>
      <c r="GM15" s="53"/>
      <c r="GN15" s="53"/>
      <c r="GO15" s="53"/>
      <c r="GP15" s="53"/>
      <c r="GQ15" s="53"/>
      <c r="GR15" s="53"/>
      <c r="GS15" s="53"/>
      <c r="GT15" s="53"/>
    </row>
    <row r="16" ht="20" customHeight="1" spans="1:202" s="39" customFormat="1" x14ac:dyDescent="0.25">
      <c r="A16" s="40">
        <v>10</v>
      </c>
      <c r="B16" s="40" t="s">
        <v>280</v>
      </c>
      <c r="C16" s="40" t="s">
        <v>43</v>
      </c>
      <c r="D16" s="40" t="s">
        <v>99</v>
      </c>
      <c r="E16" s="40" t="s">
        <v>100</v>
      </c>
      <c r="F16" s="40" t="s">
        <v>281</v>
      </c>
      <c r="G16" s="40" t="s">
        <v>102</v>
      </c>
      <c r="H16" s="111"/>
      <c r="I16" s="112"/>
      <c r="J16" s="40">
        <v>1</v>
      </c>
      <c r="K16" s="42">
        <v>92</v>
      </c>
      <c r="L16" s="40">
        <f>IF(K16&gt;=91, 4.00, IF(K16&gt;=81, 3.50, IF(K16&gt;=70, 3.00, IF(K16&gt;=65, 2.50, IF(K16&gt;=60, 2.00, IF(K16&gt;=55, 1.50, IF(K16&gt;=50, 1.00, 0.00)))))))</f>
      </c>
      <c r="M16" s="40">
        <f>IF(K16&gt;=91,"A",IF(K16&gt;=81,"B+",IF(K16&gt;=70,"B",IF(K16&gt;=65,"C+",IF(K16&gt;=60,"C",IF(K16&gt;=55,"D+",IF(K16&gt;=50,"D","F")))))))</f>
      </c>
      <c r="N16" s="42">
        <v>95</v>
      </c>
      <c r="O16" s="40">
        <f>IF(N16&gt;=91, 4.00, IF(N16&gt;=81, 3.50, IF(N16&gt;=70, 3.00, IF(N16&gt;=65, 2.50, IF(N16&gt;=60, 2.00, IF(N16&gt;=55, 1.50, IF(N16&gt;=50, 1.00, 0.00)))))))</f>
      </c>
      <c r="P16" s="40">
        <f>IF(N16&gt;=91,"A",IF(N16&gt;=81,"B+",IF(N16&gt;=70,"B",IF(N16&gt;=65,"C+",IF(N16&gt;=60,"C",IF(N16&gt;=55,"D+",IF(N16&gt;=50,"D","F")))))))</f>
      </c>
      <c r="Q16" s="42">
        <v>77</v>
      </c>
      <c r="R16" s="40">
        <f>IF(Q16&gt;=91, 4.00, IF(Q16&gt;=81, 3.50, IF(Q16&gt;=70, 3.00, IF(Q16&gt;=65, 2.50, IF(Q16&gt;=60, 2.00, IF(Q16&gt;=55, 1.50, IF(Q16&gt;=50, 1.00, 0.00)))))))</f>
      </c>
      <c r="S16" s="40">
        <f>IF(Q16&gt;=91,"A",IF(Q16&gt;=81,"B+",IF(Q16&gt;=70,"B",IF(Q16&gt;=65,"C+",IF(Q16&gt;=60,"C",IF(Q16&gt;=55,"D+",IF(Q16&gt;=50,"D","F")))))))</f>
      </c>
      <c r="T16" s="42">
        <v>80</v>
      </c>
      <c r="U16" s="40">
        <f>IF(T16&gt;=91, 4.00, IF(T16&gt;=81, 3.50, IF(T16&gt;=70, 3.00, IF(T16&gt;=65, 2.50, IF(T16&gt;=60, 2.00, IF(T16&gt;=55, 1.50, IF(T16&gt;=50, 1.00, 0.00)))))))</f>
      </c>
      <c r="V16" s="40">
        <f>IF(T16&gt;=91,"A",IF(T16&gt;=81,"B+",IF(T16&gt;=70,"B",IF(T16&gt;=65,"C+",IF(T16&gt;=60,"C",IF(T16&gt;=55,"D+",IF(T16&gt;=50,"D","F")))))))</f>
      </c>
      <c r="W16" s="42">
        <v>83</v>
      </c>
      <c r="X16" s="40">
        <f>IF(W16&gt;=91, 4.00, IF(W16&gt;=81, 3.50, IF(W16&gt;=70, 3.00, IF(W16&gt;=65, 2.50, IF(W16&gt;=60, 2.00, IF(W16&gt;=55, 1.50, IF(W16&gt;=50, 1.00, 0.00)))))))</f>
      </c>
      <c r="Y16" s="40">
        <f>IF(W16&gt;=91,"A",IF(W16&gt;=81,"B+",IF(W16&gt;=70,"B",IF(W16&gt;=65,"C+",IF(W16&gt;=60,"C",IF(W16&gt;=55,"D+",IF(W16&gt;=50,"D","F")))))))</f>
      </c>
      <c r="Z16" s="46">
        <v>86</v>
      </c>
      <c r="AA16" s="40">
        <f>IF(Z16&gt;=91, 4.00, IF(Z16&gt;=81, 3.50, IF(Z16&gt;=70, 3.00, IF(Z16&gt;=65, 2.50, IF(Z16&gt;=60, 2.00, IF(Z16&gt;=55, 1.50, IF(Z16&gt;=50, 1.00, 0.00)))))))</f>
      </c>
      <c r="AB16" s="40">
        <f>IF(Z16&gt;=91,"A",IF(Z16&gt;=81,"B+",IF(Z16&gt;=70,"B",IF(Z16&gt;=65,"C+",IF(Z16&gt;=60,"C",IF(Z16&gt;=55,"D+",IF(Z16&gt;=50,"D","F")))))))</f>
      </c>
      <c r="AC16" s="42">
        <v>89</v>
      </c>
      <c r="AD16" s="40">
        <f>IF(AC16&gt;=91, 4.00, IF(AC16&gt;=81, 3.50, IF(AC16&gt;=70, 3.00, IF(AC16&gt;=65, 2.50, IF(AC16&gt;=60, 2.00, IF(AC16&gt;=55, 1.50, IF(AC16&gt;=50, 1.00, 0.00)))))))</f>
      </c>
      <c r="AE16" s="40">
        <f>IF(AC16&gt;=91,"A",IF(AC16&gt;=81,"B+",IF(AC16&gt;=70,"B",IF(AC16&gt;=65,"C+",IF(AC16&gt;=60,"C",IF(AC16&gt;=55,"D+",IF(AC16&gt;=50,"D","F")))))))</f>
      </c>
      <c r="AF16" s="40">
        <v>92</v>
      </c>
      <c r="AG16" s="40">
        <f>IF(AF16&gt;=91, 4.00, IF(AF16&gt;=81, 3.50, IF(AF16&gt;=70, 3.00, IF(AF16&gt;=65, 2.50, IF(AF16&gt;=60, 2.00, IF(AF16&gt;=55, 1.50, IF(AF16&gt;=50, 1.00, 0.00)))))))</f>
      </c>
      <c r="AH16" s="40">
        <f>IF(AF16&gt;=91,"A",IF(AF16&gt;=81,"B+",IF(AF16&gt;=70,"B",IF(AF16&gt;=65,"C+",IF(AF16&gt;=60,"C",IF(AF16&gt;=55,"D+",IF(AF16&gt;=50,"D","F")))))))</f>
      </c>
      <c r="AI16" s="46">
        <v>95</v>
      </c>
      <c r="AJ16" s="40">
        <f>IF(AI16&gt;=91, 4.00, IF(AI16&gt;=81, 3.50, IF(AI16&gt;=70, 3.00, IF(AI16&gt;=65, 2.50, IF(AI16&gt;=60, 2.00, IF(AI16&gt;=55, 1.50, IF(AI16&gt;=50, 1.00, 0.00)))))))</f>
      </c>
      <c r="AK16" s="40">
        <f>IF(AI16&gt;=91,"A",IF(AI16&gt;=81,"B+",IF(AI16&gt;=70,"B",IF(AI16&gt;=65,"C+",IF(AI16&gt;=60,"C",IF(AI16&gt;=55,"D+",IF(AI16&gt;=50,"D","F")))))))</f>
      </c>
      <c r="AL16" s="42">
        <v>77</v>
      </c>
      <c r="AM16" s="40">
        <f>IF(AL16&gt;=91, 4.00, IF(AL16&gt;=81, 3.50, IF(AL16&gt;=70, 3.00, IF(AL16&gt;=65, 2.50, IF(AL16&gt;=60, 2.00, IF(AL16&gt;=55, 1.50, IF(AL16&gt;=50, 1.00, 0.00)))))))</f>
      </c>
      <c r="AN16" s="40">
        <f>IF(AL16&gt;=91,"A",IF(AL16&gt;=81,"B+",IF(AL16&gt;=70,"B",IF(AL16&gt;=65,"C+",IF(AL16&gt;=60,"C",IF(AL16&gt;=55,"D+",IF(AL16&gt;=50,"D","F")))))))</f>
      </c>
      <c r="AO16" s="40">
        <v>80</v>
      </c>
      <c r="AP16" s="40">
        <f>IF(AO16&gt;=91, 4.00, IF(AO16&gt;=81, 3.50, IF(AO16&gt;=70, 3.00, IF(AO16&gt;=65, 2.50, IF(AO16&gt;=60, 2.00, IF(AO16&gt;=55, 1.50, IF(AO16&gt;=50, 1.00, 0.00)))))))</f>
      </c>
      <c r="AQ16" s="40">
        <f>IF(AO16&gt;=91,"A",IF(AO16&gt;=81,"B+",IF(AO16&gt;=70,"B",IF(AO16&gt;=65,"C+",IF(AO16&gt;=60,"C",IF(AO16&gt;=55,"D+",IF(AO16&gt;=50,"D","F")))))))</f>
      </c>
      <c r="AR16" s="40">
        <f>ROUND((L16*3+O16*2+R16*1+U16*1+X16*1+AA16*2+AD16*2+AG16*2+AJ16*1+AM16*2+AP16*2)/19, 2)</f>
      </c>
      <c r="AS16" s="47">
        <v>84</v>
      </c>
      <c r="AT16" s="40">
        <f>IF(AS16&gt;=91, 4.00, IF(AS16&gt;=81, 3.50, IF(AS16&gt;=70, 3.00, IF(AS16&gt;=65, 2.50, IF(AS16&gt;=60, 2.00, IF(AS16&gt;=55, 1.50, IF(AS16&gt;=50, 1.00, 0.00)))))))</f>
      </c>
      <c r="AU16" s="40">
        <f>IF(AS16&gt;=91,"A",IF(AS16&gt;=81,"B+",IF(AS16&gt;=70,"B",IF(AS16&gt;=65,"C+",IF(AS16&gt;=60,"C",IF(AS16&gt;=55,"D+",IF(AS16&gt;=50,"D","F")))))))</f>
      </c>
      <c r="AV16" s="40" t="s">
        <v>43</v>
      </c>
      <c r="AW16" s="40">
        <f>IF(AV16&gt;=91, 4.00, IF(AV16&gt;=81, 3.50, IF(AV16&gt;=70, 3.00, IF(AV16&gt;=65, 2.50, IF(AV16&gt;=60, 2.00, IF(AV16&gt;=55, 1.50, IF(AV16&gt;=50, 1.00, 0.00)))))))</f>
      </c>
      <c r="AX16" s="40">
        <f>IF(AV16&gt;=91,"A",IF(AV16&gt;=81,"B+",IF(AV16&gt;=70,"B",IF(AV16&gt;=65,"C+",IF(AV16&gt;=60,"C",IF(AV16&gt;=55,"D+",IF(AV16&gt;=50,"D","F")))))))</f>
      </c>
      <c r="AY16" s="40" t="s">
        <v>281</v>
      </c>
      <c r="AZ16" s="40">
        <f>IF(AY16&gt;=91, 4.00, IF(AY16&gt;=81, 3.50, IF(AY16&gt;=70, 3.00, IF(AY16&gt;=65, 2.50, IF(AY16&gt;=60, 2.00, IF(AY16&gt;=55, 1.50, IF(AY16&gt;=50, 1.00, 0.00)))))))</f>
      </c>
      <c r="BA16" s="111">
        <f>IF(AY16&gt;=91,"A",IF(AY16&gt;=81,"B+",IF(AY16&gt;=70,"B",IF(AY16&gt;=65,"C+",IF(AY16&gt;=60,"C",IF(AY16&gt;=55,"D+",IF(AY16&gt;=50,"D","F")))))))</f>
      </c>
      <c r="BB16" s="112">
        <v>93</v>
      </c>
      <c r="BC16" s="48">
        <f>IF(BB16&gt;=91, 4.00, IF(BB16&gt;=81, 3.50, IF(BB16&gt;=70, 3.00, IF(BB16&gt;=65, 2.50, IF(BB16&gt;=60, 2.00, IF(BB16&gt;=55, 1.50, IF(BB16&gt;=50, 1.00, 0.00)))))))</f>
      </c>
      <c r="BD16" s="49">
        <f>IF(BB16&gt;=91,"A",IF(BB16&gt;=81,"B+",IF(BB16&gt;=70,"B",IF(BB16&gt;=65,"C+",IF(BB16&gt;=60,"C",IF(BB16&gt;=55,"D+",IF(BB16&gt;=50,"D","F")))))))</f>
      </c>
      <c r="BE16" s="40" t="str">
        <f>IF(BC16&gt;90,"A",IF(BC16&gt;80,"B+",IF(BC16&gt;69,"B",IF(BC16&gt;64,"C+",IF(BC16&gt;59,"C",IF(BC16&gt;54,"D+",IF(BC16&gt;49,"D",IF(BC16&gt;=0,"F"))))))))</f>
        <v>F</v>
      </c>
      <c r="BF16" s="48">
        <f>IF(BE16&gt;=91, 4.00, IF(BE16&gt;=81, 3.50, IF(BE16&gt;=70, 3.00, IF(BE16&gt;=65, 2.50, IF(BE16&gt;=60, 2.00, IF(BE16&gt;=55, 1.50, IF(BE16&gt;=50, 1.00, 0.00)))))))</f>
      </c>
      <c r="BG16" s="49">
        <f>IF(BE16&gt;=91,"A",IF(BE16&gt;=81,"B+",IF(BE16&gt;=70,"B",IF(BE16&gt;=65,"C+",IF(BE16&gt;=60,"C",IF(BE16&gt;=55,"D+",IF(BE16&gt;=50,"D","F")))))))</f>
      </c>
      <c r="BH16" s="40" t="str">
        <f>IF(BF16&gt;90,"A",IF(BF16&gt;80,"B+",IF(BF16&gt;69,"B",IF(BF16&gt;64,"C+",IF(BF16&gt;59,"C",IF(BF16&gt;54,"D+",IF(BF16&gt;49,"D",IF(BF16&gt;=0,"F"))))))))</f>
        <v>F</v>
      </c>
      <c r="BI16" s="43">
        <f>IF(BH16&gt;=91, 4.00, IF(BH16&gt;=81, 3.50, IF(BH16&gt;=70, 3.00, IF(BH16&gt;=65, 2.50, IF(BH16&gt;=60, 2.00, IF(BH16&gt;=55, 1.50, IF(BH16&gt;=50, 1.00, 0.00)))))))</f>
      </c>
      <c r="BJ16" s="49">
        <f>IF(BH16&gt;=91,"A",IF(BH16&gt;=81,"B+",IF(BH16&gt;=70,"B",IF(BH16&gt;=65,"C+",IF(BH16&gt;=60,"C",IF(BH16&gt;=55,"D+",IF(BH16&gt;=50,"D","F")))))))</f>
      </c>
      <c r="BK16" s="40" t="str">
        <f>IF(BI16&gt;90,"A",IF(BI16&gt;80,"B+",IF(BI16&gt;69,"B",IF(BI16&gt;64,"C+",IF(BI16&gt;59,"C",IF(BI16&gt;54,"D+",IF(BI16&gt;49,"D",IF(BI16&gt;=0,"F"))))))))</f>
        <v>F</v>
      </c>
      <c r="BL16" s="48">
        <f>IF(BK16&gt;=91, 4.00, IF(BK16&gt;=81, 3.50, IF(BK16&gt;=70, 3.00, IF(BK16&gt;=65, 2.50, IF(BK16&gt;=60, 2.00, IF(BK16&gt;=55, 1.50, IF(BK16&gt;=50, 1.00, 0.00)))))))</f>
      </c>
      <c r="BM16" s="49">
        <f>IF(BK16&gt;=91,"A",IF(BK16&gt;=81,"B+",IF(BK16&gt;=70,"B",IF(BK16&gt;=65,"C+",IF(BK16&gt;=60,"C",IF(BK16&gt;=55,"D+",IF(BK16&gt;=50,"D","F")))))))</f>
      </c>
      <c r="BN16" s="40" t="str">
        <f>IF(BL16&gt;90,"A",IF(BL16&gt;80,"B+",IF(BL16&gt;69,"B",IF(BL16&gt;64,"C+",IF(BL16&gt;59,"C",IF(BL16&gt;54,"D+",IF(BL16&gt;49,"D",IF(BL16&gt;=0,"F"))))))))</f>
        <v>F</v>
      </c>
      <c r="BO16" s="43">
        <f>IF(BN16&gt;=91, 4.00, IF(BN16&gt;=81, 3.50, IF(BN16&gt;=70, 3.00, IF(BN16&gt;=65, 2.50, IF(BN16&gt;=60, 2.00, IF(BN16&gt;=55, 1.50, IF(BN16&gt;=50, 1.00, 0.00)))))))</f>
      </c>
      <c r="BP16" s="49">
        <f>IF(BN16&gt;=91,"A",IF(BN16&gt;=81,"B+",IF(BN16&gt;=70,"B",IF(BN16&gt;=65,"C+",IF(BN16&gt;=60,"C",IF(BN16&gt;=55,"D+",IF(BN16&gt;=50,"D","F")))))))</f>
      </c>
      <c r="BQ16" s="40" t="str">
        <f>IF(BO16&gt;90,"A",IF(BO16&gt;80,"B+",IF(BO16&gt;69,"B",IF(BO16&gt;64,"C+",IF(BO16&gt;59,"C",IF(BO16&gt;54,"D+",IF(BO16&gt;49,"D",IF(BO16&gt;=0,"F"))))))))</f>
        <v>F</v>
      </c>
      <c r="BR16" s="43">
        <f>IF(BQ16&gt;=91, 4.00, IF(BQ16&gt;=81, 3.50, IF(BQ16&gt;=70, 3.00, IF(BQ16&gt;=65, 2.50, IF(BQ16&gt;=60, 2.00, IF(BQ16&gt;=55, 1.50, IF(BQ16&gt;=50, 1.00, 0.00)))))))</f>
      </c>
      <c r="BS16" s="49">
        <f>IF(BQ16&gt;=91,"A",IF(BQ16&gt;=81,"B+",IF(BQ16&gt;=70,"B",IF(BQ16&gt;=65,"C+",IF(BQ16&gt;=60,"C",IF(BQ16&gt;=55,"D+",IF(BQ16&gt;=50,"D","F")))))))</f>
      </c>
      <c r="BT16" s="40" t="str">
        <f>IF(BR16&gt;90,"A",IF(BR16&gt;80,"B+",IF(BR16&gt;69,"B",IF(BR16&gt;64,"C+",IF(BR16&gt;59,"C",IF(BR16&gt;54,"D+",IF(BR16&gt;49,"D",IF(BR16&gt;=0,"F"))))))))</f>
        <v>F</v>
      </c>
      <c r="BU16" s="49">
        <f>IF(BT16&gt;=91, 4.00, IF(BT16&gt;=81, 3.50, IF(BT16&gt;=70, 3.00, IF(BT16&gt;=65, 2.50, IF(BT16&gt;=60, 2.00, IF(BT16&gt;=55, 1.50, IF(BT16&gt;=50, 1.00, 0.00)))))))</f>
      </c>
      <c r="BV16" s="49">
        <f>IF(BT16&gt;=91,"A",IF(BT16&gt;=81,"B+",IF(BT16&gt;=70,"B",IF(BT16&gt;=65,"C+",IF(BT16&gt;=60,"C",IF(BT16&gt;=55,"D+",IF(BT16&gt;=50,"D","F")))))))</f>
      </c>
      <c r="BW16" s="40">
        <f>ROUND((AT16*3+AW16*2+AZ16*1+BC16*1+BF16*1+BI16*2+BL16*2+BO16*1+BR16*2+BU16*3)/18, 2)</f>
      </c>
      <c r="BX16" s="49"/>
      <c r="BY16" s="49" t="str">
        <f>IF(BX16&gt;90,"4.00",IF(BX16&gt;80,"3.50",IF(BX16&gt;69,"3.00",IF(BX16&gt;64,"2.50",IF(BX16&gt;59,"2.00",IF(BX16&gt;54,"1.50",IF(BX16&gt;49,"1.00","0.00")))))))</f>
        <v>0.00</v>
      </c>
      <c r="BZ16" s="40" t="str">
        <f>IF(BX16&gt;90,"A",IF(BX16&gt;80,"B+",IF(BX16&gt;69,"B",IF(BX16&gt;64,"C+",IF(BX16&gt;59,"C",IF(BX16&gt;54,"D+",IF(BX16&gt;49,"D",IF(BX16&gt;=0,"F"))))))))</f>
        <v>F</v>
      </c>
      <c r="CA16" s="49"/>
      <c r="CB16" s="49" t="str">
        <f>IF(CA16&gt;90,"4.00",IF(CA16&gt;80,"3.50",IF(CA16&gt;69,"3.00",IF(CA16&gt;64,"2.50",IF(CA16&gt;59,"2.00",IF(CA16&gt;54,"1.50",IF(CA16&gt;49,"1.00","0.00")))))))</f>
        <v>0.00</v>
      </c>
      <c r="CC16" s="40" t="str">
        <f>IF(CA16&gt;90,"A",IF(CA16&gt;80,"B+",IF(CA16&gt;69,"B",IF(CA16&gt;64,"C+",IF(CA16&gt;59,"C",IF(CA16&gt;54,"D+",IF(CA16&gt;49,"D",IF(CA16&gt;=0,"F"))))))))</f>
        <v>F</v>
      </c>
      <c r="CD16" s="49"/>
      <c r="CE16" s="49" t="str">
        <f>IF(CD16&gt;90,"4.00",IF(CD16&gt;80,"3.50",IF(CD16&gt;69,"3.00",IF(CD16&gt;64,"2.50",IF(CD16&gt;59,"2.00",IF(CD16&gt;54,"1.50",IF(CD16&gt;49,"1.00","0.00")))))))</f>
        <v>0.00</v>
      </c>
      <c r="CF16" s="40" t="str">
        <f>IF(CD16&gt;90,"A",IF(CD16&gt;80,"B+",IF(CD16&gt;69,"B",IF(CD16&gt;64,"C+",IF(CD16&gt;59,"C",IF(CD16&gt;54,"D+",IF(CD16&gt;49,"D",IF(CD16&gt;=0,"F"))))))))</f>
        <v>F</v>
      </c>
      <c r="CG16" s="50">
        <f>(BD16*3+BG16*1+BJ16*1+BM16*2+BP16*1+BS16*2+BV16*2+BY16*1+CB16*2+CE16*2)/(3+1+1+2+1+2+2+1+2+2)</f>
        <v>0</v>
      </c>
      <c r="CH16" s="50">
        <f>(AR16+CG16)/2</f>
        <v>0</v>
      </c>
      <c r="CI16" s="51">
        <f>RANK(CH16,$CH$7:CH45)</f>
        <v>1</v>
      </c>
      <c r="CJ16" s="40"/>
      <c r="CK16" s="52"/>
      <c r="CL16" s="52"/>
      <c r="CM16" s="52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  <c r="FN16" s="53"/>
      <c r="FO16" s="53"/>
      <c r="FP16" s="53"/>
      <c r="FQ16" s="53"/>
      <c r="FR16" s="53"/>
      <c r="FS16" s="53"/>
      <c r="FT16" s="53"/>
      <c r="FU16" s="53"/>
      <c r="FV16" s="53"/>
      <c r="FW16" s="53"/>
      <c r="FX16" s="53"/>
      <c r="FY16" s="53"/>
      <c r="FZ16" s="53"/>
      <c r="GA16" s="53"/>
      <c r="GB16" s="53"/>
      <c r="GC16" s="53"/>
      <c r="GD16" s="53"/>
      <c r="GE16" s="53"/>
      <c r="GF16" s="53"/>
      <c r="GG16" s="53"/>
      <c r="GH16" s="53"/>
      <c r="GI16" s="53"/>
      <c r="GJ16" s="53"/>
      <c r="GK16" s="53"/>
      <c r="GL16" s="53"/>
      <c r="GM16" s="53"/>
      <c r="GN16" s="53"/>
      <c r="GO16" s="53"/>
      <c r="GP16" s="53"/>
      <c r="GQ16" s="53"/>
      <c r="GR16" s="53"/>
      <c r="GS16" s="53"/>
      <c r="GT16" s="53"/>
    </row>
    <row r="17" ht="20" customHeight="1" spans="1:202" s="39" customFormat="1" x14ac:dyDescent="0.25">
      <c r="A17" s="40">
        <v>11</v>
      </c>
      <c r="B17" s="40" t="s">
        <v>282</v>
      </c>
      <c r="C17" s="40" t="s">
        <v>51</v>
      </c>
      <c r="D17" s="40" t="s">
        <v>105</v>
      </c>
      <c r="E17" s="40" t="s">
        <v>106</v>
      </c>
      <c r="F17" s="40" t="s">
        <v>283</v>
      </c>
      <c r="G17" s="40" t="s">
        <v>284</v>
      </c>
      <c r="H17" s="111"/>
      <c r="I17" s="112"/>
      <c r="J17" s="40">
        <v>1</v>
      </c>
      <c r="K17" s="42">
        <v>95</v>
      </c>
      <c r="L17" s="40">
        <f>IF(K17&gt;=91, 4.00, IF(K17&gt;=81, 3.50, IF(K17&gt;=70, 3.00, IF(K17&gt;=65, 2.50, IF(K17&gt;=60, 2.00, IF(K17&gt;=55, 1.50, IF(K17&gt;=50, 1.00, 0.00)))))))</f>
      </c>
      <c r="M17" s="40">
        <f>IF(K17&gt;=91,"A",IF(K17&gt;=81,"B+",IF(K17&gt;=70,"B",IF(K17&gt;=65,"C+",IF(K17&gt;=60,"C",IF(K17&gt;=55,"D+",IF(K17&gt;=50,"D","F")))))))</f>
      </c>
      <c r="N17" s="42">
        <v>77</v>
      </c>
      <c r="O17" s="40">
        <f>IF(N17&gt;=91, 4.00, IF(N17&gt;=81, 3.50, IF(N17&gt;=70, 3.00, IF(N17&gt;=65, 2.50, IF(N17&gt;=60, 2.00, IF(N17&gt;=55, 1.50, IF(N17&gt;=50, 1.00, 0.00)))))))</f>
      </c>
      <c r="P17" s="40">
        <f>IF(N17&gt;=91,"A",IF(N17&gt;=81,"B+",IF(N17&gt;=70,"B",IF(N17&gt;=65,"C+",IF(N17&gt;=60,"C",IF(N17&gt;=55,"D+",IF(N17&gt;=50,"D","F")))))))</f>
      </c>
      <c r="Q17" s="42">
        <v>80</v>
      </c>
      <c r="R17" s="40">
        <f>IF(Q17&gt;=91, 4.00, IF(Q17&gt;=81, 3.50, IF(Q17&gt;=70, 3.00, IF(Q17&gt;=65, 2.50, IF(Q17&gt;=60, 2.00, IF(Q17&gt;=55, 1.50, IF(Q17&gt;=50, 1.00, 0.00)))))))</f>
      </c>
      <c r="S17" s="40">
        <f>IF(Q17&gt;=91,"A",IF(Q17&gt;=81,"B+",IF(Q17&gt;=70,"B",IF(Q17&gt;=65,"C+",IF(Q17&gt;=60,"C",IF(Q17&gt;=55,"D+",IF(Q17&gt;=50,"D","F")))))))</f>
      </c>
      <c r="T17" s="42">
        <v>83</v>
      </c>
      <c r="U17" s="40">
        <f>IF(T17&gt;=91, 4.00, IF(T17&gt;=81, 3.50, IF(T17&gt;=70, 3.00, IF(T17&gt;=65, 2.50, IF(T17&gt;=60, 2.00, IF(T17&gt;=55, 1.50, IF(T17&gt;=50, 1.00, 0.00)))))))</f>
      </c>
      <c r="V17" s="40">
        <f>IF(T17&gt;=91,"A",IF(T17&gt;=81,"B+",IF(T17&gt;=70,"B",IF(T17&gt;=65,"C+",IF(T17&gt;=60,"C",IF(T17&gt;=55,"D+",IF(T17&gt;=50,"D","F")))))))</f>
      </c>
      <c r="W17" s="42">
        <v>86</v>
      </c>
      <c r="X17" s="40">
        <f>IF(W17&gt;=91, 4.00, IF(W17&gt;=81, 3.50, IF(W17&gt;=70, 3.00, IF(W17&gt;=65, 2.50, IF(W17&gt;=60, 2.00, IF(W17&gt;=55, 1.50, IF(W17&gt;=50, 1.00, 0.00)))))))</f>
      </c>
      <c r="Y17" s="40">
        <f>IF(W17&gt;=91,"A",IF(W17&gt;=81,"B+",IF(W17&gt;=70,"B",IF(W17&gt;=65,"C+",IF(W17&gt;=60,"C",IF(W17&gt;=55,"D+",IF(W17&gt;=50,"D","F")))))))</f>
      </c>
      <c r="Z17" s="46">
        <v>89</v>
      </c>
      <c r="AA17" s="40">
        <f>IF(Z17&gt;=91, 4.00, IF(Z17&gt;=81, 3.50, IF(Z17&gt;=70, 3.00, IF(Z17&gt;=65, 2.50, IF(Z17&gt;=60, 2.00, IF(Z17&gt;=55, 1.50, IF(Z17&gt;=50, 1.00, 0.00)))))))</f>
      </c>
      <c r="AB17" s="40">
        <f>IF(Z17&gt;=91,"A",IF(Z17&gt;=81,"B+",IF(Z17&gt;=70,"B",IF(Z17&gt;=65,"C+",IF(Z17&gt;=60,"C",IF(Z17&gt;=55,"D+",IF(Z17&gt;=50,"D","F")))))))</f>
      </c>
      <c r="AC17" s="42">
        <v>92</v>
      </c>
      <c r="AD17" s="40">
        <f>IF(AC17&gt;=91, 4.00, IF(AC17&gt;=81, 3.50, IF(AC17&gt;=70, 3.00, IF(AC17&gt;=65, 2.50, IF(AC17&gt;=60, 2.00, IF(AC17&gt;=55, 1.50, IF(AC17&gt;=50, 1.00, 0.00)))))))</f>
      </c>
      <c r="AE17" s="40">
        <f>IF(AC17&gt;=91,"A",IF(AC17&gt;=81,"B+",IF(AC17&gt;=70,"B",IF(AC17&gt;=65,"C+",IF(AC17&gt;=60,"C",IF(AC17&gt;=55,"D+",IF(AC17&gt;=50,"D","F")))))))</f>
      </c>
      <c r="AF17" s="40">
        <v>95</v>
      </c>
      <c r="AG17" s="40">
        <f>IF(AF17&gt;=91, 4.00, IF(AF17&gt;=81, 3.50, IF(AF17&gt;=70, 3.00, IF(AF17&gt;=65, 2.50, IF(AF17&gt;=60, 2.00, IF(AF17&gt;=55, 1.50, IF(AF17&gt;=50, 1.00, 0.00)))))))</f>
      </c>
      <c r="AH17" s="40">
        <f>IF(AF17&gt;=91,"A",IF(AF17&gt;=81,"B+",IF(AF17&gt;=70,"B",IF(AF17&gt;=65,"C+",IF(AF17&gt;=60,"C",IF(AF17&gt;=55,"D+",IF(AF17&gt;=50,"D","F")))))))</f>
      </c>
      <c r="AI17" s="46">
        <v>77</v>
      </c>
      <c r="AJ17" s="40">
        <f>IF(AI17&gt;=91, 4.00, IF(AI17&gt;=81, 3.50, IF(AI17&gt;=70, 3.00, IF(AI17&gt;=65, 2.50, IF(AI17&gt;=60, 2.00, IF(AI17&gt;=55, 1.50, IF(AI17&gt;=50, 1.00, 0.00)))))))</f>
      </c>
      <c r="AK17" s="40">
        <f>IF(AI17&gt;=91,"A",IF(AI17&gt;=81,"B+",IF(AI17&gt;=70,"B",IF(AI17&gt;=65,"C+",IF(AI17&gt;=60,"C",IF(AI17&gt;=55,"D+",IF(AI17&gt;=50,"D","F")))))))</f>
      </c>
      <c r="AL17" s="42">
        <v>80</v>
      </c>
      <c r="AM17" s="40">
        <f>IF(AL17&gt;=91, 4.00, IF(AL17&gt;=81, 3.50, IF(AL17&gt;=70, 3.00, IF(AL17&gt;=65, 2.50, IF(AL17&gt;=60, 2.00, IF(AL17&gt;=55, 1.50, IF(AL17&gt;=50, 1.00, 0.00)))))))</f>
      </c>
      <c r="AN17" s="40">
        <f>IF(AL17&gt;=91,"A",IF(AL17&gt;=81,"B+",IF(AL17&gt;=70,"B",IF(AL17&gt;=65,"C+",IF(AL17&gt;=60,"C",IF(AL17&gt;=55,"D+",IF(AL17&gt;=50,"D","F")))))))</f>
      </c>
      <c r="AO17" s="40">
        <v>83</v>
      </c>
      <c r="AP17" s="40">
        <f>IF(AO17&gt;=91, 4.00, IF(AO17&gt;=81, 3.50, IF(AO17&gt;=70, 3.00, IF(AO17&gt;=65, 2.50, IF(AO17&gt;=60, 2.00, IF(AO17&gt;=55, 1.50, IF(AO17&gt;=50, 1.00, 0.00)))))))</f>
      </c>
      <c r="AQ17" s="40">
        <f>IF(AO17&gt;=91,"A",IF(AO17&gt;=81,"B+",IF(AO17&gt;=70,"B",IF(AO17&gt;=65,"C+",IF(AO17&gt;=60,"C",IF(AO17&gt;=55,"D+",IF(AO17&gt;=50,"D","F")))))))</f>
      </c>
      <c r="AR17" s="40">
        <f>ROUND((L17*3+O17*2+R17*1+U17*1+X17*1+AA17*2+AD17*2+AG17*2+AJ17*1+AM17*2+AP17*2)/19, 2)</f>
      </c>
      <c r="AS17" s="47">
        <v>87</v>
      </c>
      <c r="AT17" s="40">
        <f>IF(AS17&gt;=91, 4.00, IF(AS17&gt;=81, 3.50, IF(AS17&gt;=70, 3.00, IF(AS17&gt;=65, 2.50, IF(AS17&gt;=60, 2.00, IF(AS17&gt;=55, 1.50, IF(AS17&gt;=50, 1.00, 0.00)))))))</f>
      </c>
      <c r="AU17" s="40">
        <f>IF(AS17&gt;=91,"A",IF(AS17&gt;=81,"B+",IF(AS17&gt;=70,"B",IF(AS17&gt;=65,"C+",IF(AS17&gt;=60,"C",IF(AS17&gt;=55,"D+",IF(AS17&gt;=50,"D","F")))))))</f>
      </c>
      <c r="AV17" s="40" t="s">
        <v>51</v>
      </c>
      <c r="AW17" s="40">
        <f>IF(AV17&gt;=91, 4.00, IF(AV17&gt;=81, 3.50, IF(AV17&gt;=70, 3.00, IF(AV17&gt;=65, 2.50, IF(AV17&gt;=60, 2.00, IF(AV17&gt;=55, 1.50, IF(AV17&gt;=50, 1.00, 0.00)))))))</f>
      </c>
      <c r="AX17" s="40">
        <f>IF(AV17&gt;=91,"A",IF(AV17&gt;=81,"B+",IF(AV17&gt;=70,"B",IF(AV17&gt;=65,"C+",IF(AV17&gt;=60,"C",IF(AV17&gt;=55,"D+",IF(AV17&gt;=50,"D","F")))))))</f>
      </c>
      <c r="AY17" s="40" t="s">
        <v>283</v>
      </c>
      <c r="AZ17" s="40">
        <f>IF(AY17&gt;=91, 4.00, IF(AY17&gt;=81, 3.50, IF(AY17&gt;=70, 3.00, IF(AY17&gt;=65, 2.50, IF(AY17&gt;=60, 2.00, IF(AY17&gt;=55, 1.50, IF(AY17&gt;=50, 1.00, 0.00)))))))</f>
      </c>
      <c r="BA17" s="111">
        <f>IF(AY17&gt;=91,"A",IF(AY17&gt;=81,"B+",IF(AY17&gt;=70,"B",IF(AY17&gt;=65,"C+",IF(AY17&gt;=60,"C",IF(AY17&gt;=55,"D+",IF(AY17&gt;=50,"D","F")))))))</f>
      </c>
      <c r="BB17" s="112">
        <v>75</v>
      </c>
      <c r="BC17" s="48">
        <f>IF(BB17&gt;=91, 4.00, IF(BB17&gt;=81, 3.50, IF(BB17&gt;=70, 3.00, IF(BB17&gt;=65, 2.50, IF(BB17&gt;=60, 2.00, IF(BB17&gt;=55, 1.50, IF(BB17&gt;=50, 1.00, 0.00)))))))</f>
      </c>
      <c r="BD17" s="49">
        <f>IF(BB17&gt;=91,"A",IF(BB17&gt;=81,"B+",IF(BB17&gt;=70,"B",IF(BB17&gt;=65,"C+",IF(BB17&gt;=60,"C",IF(BB17&gt;=55,"D+",IF(BB17&gt;=50,"D","F")))))))</f>
      </c>
      <c r="BE17" s="40" t="str">
        <f>IF(BC17&gt;90,"A",IF(BC17&gt;80,"B+",IF(BC17&gt;69,"B",IF(BC17&gt;64,"C+",IF(BC17&gt;59,"C",IF(BC17&gt;54,"D+",IF(BC17&gt;49,"D",IF(BC17&gt;=0,"F"))))))))</f>
        <v>F</v>
      </c>
      <c r="BF17" s="48">
        <f>IF(BE17&gt;=91, 4.00, IF(BE17&gt;=81, 3.50, IF(BE17&gt;=70, 3.00, IF(BE17&gt;=65, 2.50, IF(BE17&gt;=60, 2.00, IF(BE17&gt;=55, 1.50, IF(BE17&gt;=50, 1.00, 0.00)))))))</f>
      </c>
      <c r="BG17" s="49">
        <f>IF(BE17&gt;=91,"A",IF(BE17&gt;=81,"B+",IF(BE17&gt;=70,"B",IF(BE17&gt;=65,"C+",IF(BE17&gt;=60,"C",IF(BE17&gt;=55,"D+",IF(BE17&gt;=50,"D","F")))))))</f>
      </c>
      <c r="BH17" s="40" t="str">
        <f>IF(BF17&gt;90,"A",IF(BF17&gt;80,"B+",IF(BF17&gt;69,"B",IF(BF17&gt;64,"C+",IF(BF17&gt;59,"C",IF(BF17&gt;54,"D+",IF(BF17&gt;49,"D",IF(BF17&gt;=0,"F"))))))))</f>
        <v>F</v>
      </c>
      <c r="BI17" s="43">
        <f>IF(BH17&gt;=91, 4.00, IF(BH17&gt;=81, 3.50, IF(BH17&gt;=70, 3.00, IF(BH17&gt;=65, 2.50, IF(BH17&gt;=60, 2.00, IF(BH17&gt;=55, 1.50, IF(BH17&gt;=50, 1.00, 0.00)))))))</f>
      </c>
      <c r="BJ17" s="49">
        <f>IF(BH17&gt;=91,"A",IF(BH17&gt;=81,"B+",IF(BH17&gt;=70,"B",IF(BH17&gt;=65,"C+",IF(BH17&gt;=60,"C",IF(BH17&gt;=55,"D+",IF(BH17&gt;=50,"D","F")))))))</f>
      </c>
      <c r="BK17" s="40" t="str">
        <f>IF(BI17&gt;90,"A",IF(BI17&gt;80,"B+",IF(BI17&gt;69,"B",IF(BI17&gt;64,"C+",IF(BI17&gt;59,"C",IF(BI17&gt;54,"D+",IF(BI17&gt;49,"D",IF(BI17&gt;=0,"F"))))))))</f>
        <v>F</v>
      </c>
      <c r="BL17" s="48">
        <f>IF(BK17&gt;=91, 4.00, IF(BK17&gt;=81, 3.50, IF(BK17&gt;=70, 3.00, IF(BK17&gt;=65, 2.50, IF(BK17&gt;=60, 2.00, IF(BK17&gt;=55, 1.50, IF(BK17&gt;=50, 1.00, 0.00)))))))</f>
      </c>
      <c r="BM17" s="49">
        <f>IF(BK17&gt;=91,"A",IF(BK17&gt;=81,"B+",IF(BK17&gt;=70,"B",IF(BK17&gt;=65,"C+",IF(BK17&gt;=60,"C",IF(BK17&gt;=55,"D+",IF(BK17&gt;=50,"D","F")))))))</f>
      </c>
      <c r="BN17" s="40" t="str">
        <f>IF(BL17&gt;90,"A",IF(BL17&gt;80,"B+",IF(BL17&gt;69,"B",IF(BL17&gt;64,"C+",IF(BL17&gt;59,"C",IF(BL17&gt;54,"D+",IF(BL17&gt;49,"D",IF(BL17&gt;=0,"F"))))))))</f>
        <v>F</v>
      </c>
      <c r="BO17" s="43">
        <f>IF(BN17&gt;=91, 4.00, IF(BN17&gt;=81, 3.50, IF(BN17&gt;=70, 3.00, IF(BN17&gt;=65, 2.50, IF(BN17&gt;=60, 2.00, IF(BN17&gt;=55, 1.50, IF(BN17&gt;=50, 1.00, 0.00)))))))</f>
      </c>
      <c r="BP17" s="49">
        <f>IF(BN17&gt;=91,"A",IF(BN17&gt;=81,"B+",IF(BN17&gt;=70,"B",IF(BN17&gt;=65,"C+",IF(BN17&gt;=60,"C",IF(BN17&gt;=55,"D+",IF(BN17&gt;=50,"D","F")))))))</f>
      </c>
      <c r="BQ17" s="40" t="str">
        <f>IF(BO17&gt;90,"A",IF(BO17&gt;80,"B+",IF(BO17&gt;69,"B",IF(BO17&gt;64,"C+",IF(BO17&gt;59,"C",IF(BO17&gt;54,"D+",IF(BO17&gt;49,"D",IF(BO17&gt;=0,"F"))))))))</f>
        <v>F</v>
      </c>
      <c r="BR17" s="43">
        <f>IF(BQ17&gt;=91, 4.00, IF(BQ17&gt;=81, 3.50, IF(BQ17&gt;=70, 3.00, IF(BQ17&gt;=65, 2.50, IF(BQ17&gt;=60, 2.00, IF(BQ17&gt;=55, 1.50, IF(BQ17&gt;=50, 1.00, 0.00)))))))</f>
      </c>
      <c r="BS17" s="49">
        <f>IF(BQ17&gt;=91,"A",IF(BQ17&gt;=81,"B+",IF(BQ17&gt;=70,"B",IF(BQ17&gt;=65,"C+",IF(BQ17&gt;=60,"C",IF(BQ17&gt;=55,"D+",IF(BQ17&gt;=50,"D","F")))))))</f>
      </c>
      <c r="BT17" s="40" t="str">
        <f>IF(BR17&gt;90,"A",IF(BR17&gt;80,"B+",IF(BR17&gt;69,"B",IF(BR17&gt;64,"C+",IF(BR17&gt;59,"C",IF(BR17&gt;54,"D+",IF(BR17&gt;49,"D",IF(BR17&gt;=0,"F"))))))))</f>
        <v>F</v>
      </c>
      <c r="BU17" s="49">
        <f>IF(BT17&gt;=91, 4.00, IF(BT17&gt;=81, 3.50, IF(BT17&gt;=70, 3.00, IF(BT17&gt;=65, 2.50, IF(BT17&gt;=60, 2.00, IF(BT17&gt;=55, 1.50, IF(BT17&gt;=50, 1.00, 0.00)))))))</f>
      </c>
      <c r="BV17" s="49">
        <f>IF(BT17&gt;=91,"A",IF(BT17&gt;=81,"B+",IF(BT17&gt;=70,"B",IF(BT17&gt;=65,"C+",IF(BT17&gt;=60,"C",IF(BT17&gt;=55,"D+",IF(BT17&gt;=50,"D","F")))))))</f>
      </c>
      <c r="BW17" s="40">
        <f>ROUND((AT17*3+AW17*2+AZ17*1+BC17*1+BF17*1+BI17*2+BL17*2+BO17*1+BR17*2+BU17*3)/18, 2)</f>
      </c>
      <c r="BX17" s="49"/>
      <c r="BY17" s="49" t="str">
        <f>IF(BX17&gt;90,"4.00",IF(BX17&gt;80,"3.50",IF(BX17&gt;69,"3.00",IF(BX17&gt;64,"2.50",IF(BX17&gt;59,"2.00",IF(BX17&gt;54,"1.50",IF(BX17&gt;49,"1.00","0.00")))))))</f>
        <v>0.00</v>
      </c>
      <c r="BZ17" s="40" t="str">
        <f>IF(BX17&gt;90,"A",IF(BX17&gt;80,"B+",IF(BX17&gt;69,"B",IF(BX17&gt;64,"C+",IF(BX17&gt;59,"C",IF(BX17&gt;54,"D+",IF(BX17&gt;49,"D",IF(BX17&gt;=0,"F"))))))))</f>
        <v>F</v>
      </c>
      <c r="CA17" s="49"/>
      <c r="CB17" s="49" t="str">
        <f>IF(CA17&gt;90,"4.00",IF(CA17&gt;80,"3.50",IF(CA17&gt;69,"3.00",IF(CA17&gt;64,"2.50",IF(CA17&gt;59,"2.00",IF(CA17&gt;54,"1.50",IF(CA17&gt;49,"1.00","0.00")))))))</f>
        <v>0.00</v>
      </c>
      <c r="CC17" s="40" t="str">
        <f>IF(CA17&gt;90,"A",IF(CA17&gt;80,"B+",IF(CA17&gt;69,"B",IF(CA17&gt;64,"C+",IF(CA17&gt;59,"C",IF(CA17&gt;54,"D+",IF(CA17&gt;49,"D",IF(CA17&gt;=0,"F"))))))))</f>
        <v>F</v>
      </c>
      <c r="CD17" s="49"/>
      <c r="CE17" s="49" t="str">
        <f>IF(CD17&gt;90,"4.00",IF(CD17&gt;80,"3.50",IF(CD17&gt;69,"3.00",IF(CD17&gt;64,"2.50",IF(CD17&gt;59,"2.00",IF(CD17&gt;54,"1.50",IF(CD17&gt;49,"1.00","0.00")))))))</f>
        <v>0.00</v>
      </c>
      <c r="CF17" s="40" t="str">
        <f>IF(CD17&gt;90,"A",IF(CD17&gt;80,"B+",IF(CD17&gt;69,"B",IF(CD17&gt;64,"C+",IF(CD17&gt;59,"C",IF(CD17&gt;54,"D+",IF(CD17&gt;49,"D",IF(CD17&gt;=0,"F"))))))))</f>
        <v>F</v>
      </c>
      <c r="CG17" s="50">
        <f>(BD17*3+BG17*1+BJ17*1+BM17*2+BP17*1+BS17*2+BV17*2+BY17*1+CB17*2+CE17*2)/(3+1+1+2+1+2+2+1+2+2)</f>
        <v>0</v>
      </c>
      <c r="CH17" s="50">
        <f>(AR17+CG17)/2</f>
        <v>0</v>
      </c>
      <c r="CI17" s="51">
        <f>RANK(CH17,$CH$7:CH46)</f>
        <v>1</v>
      </c>
      <c r="CJ17" s="58"/>
      <c r="CK17" s="52"/>
      <c r="CL17" s="52"/>
      <c r="CM17" s="52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  <c r="FN17" s="53"/>
      <c r="FO17" s="53"/>
      <c r="FP17" s="53"/>
      <c r="FQ17" s="53"/>
      <c r="FR17" s="53"/>
      <c r="FS17" s="53"/>
      <c r="FT17" s="53"/>
      <c r="FU17" s="53"/>
      <c r="FV17" s="53"/>
      <c r="FW17" s="53"/>
      <c r="FX17" s="53"/>
      <c r="FY17" s="53"/>
      <c r="FZ17" s="53"/>
      <c r="GA17" s="53"/>
      <c r="GB17" s="53"/>
      <c r="GC17" s="53"/>
      <c r="GD17" s="53"/>
      <c r="GE17" s="53"/>
      <c r="GF17" s="53"/>
      <c r="GG17" s="53"/>
      <c r="GH17" s="53"/>
      <c r="GI17" s="53"/>
      <c r="GJ17" s="53"/>
      <c r="GK17" s="53"/>
      <c r="GL17" s="53"/>
      <c r="GM17" s="53"/>
      <c r="GN17" s="53"/>
      <c r="GO17" s="53"/>
      <c r="GP17" s="53"/>
      <c r="GQ17" s="53"/>
      <c r="GR17" s="53"/>
      <c r="GS17" s="53"/>
      <c r="GT17" s="53"/>
    </row>
    <row r="18" ht="20" customHeight="1" spans="1:202" s="39" customFormat="1" x14ac:dyDescent="0.25">
      <c r="A18" s="40">
        <v>12</v>
      </c>
      <c r="B18" s="40" t="s">
        <v>285</v>
      </c>
      <c r="C18" s="40" t="s">
        <v>43</v>
      </c>
      <c r="D18" s="40" t="s">
        <v>111</v>
      </c>
      <c r="E18" s="40" t="s">
        <v>112</v>
      </c>
      <c r="F18" s="40" t="s">
        <v>286</v>
      </c>
      <c r="G18" s="40" t="s">
        <v>114</v>
      </c>
      <c r="H18" s="111"/>
      <c r="I18" s="112"/>
      <c r="J18" s="40">
        <v>1</v>
      </c>
      <c r="K18" s="42">
        <v>77</v>
      </c>
      <c r="L18" s="40">
        <f>IF(K18&gt;=91, 4.00, IF(K18&gt;=81, 3.50, IF(K18&gt;=70, 3.00, IF(K18&gt;=65, 2.50, IF(K18&gt;=60, 2.00, IF(K18&gt;=55, 1.50, IF(K18&gt;=50, 1.00, 0.00)))))))</f>
      </c>
      <c r="M18" s="40">
        <f>IF(K18&gt;=91,"A",IF(K18&gt;=81,"B+",IF(K18&gt;=70,"B",IF(K18&gt;=65,"C+",IF(K18&gt;=60,"C",IF(K18&gt;=55,"D+",IF(K18&gt;=50,"D","F")))))))</f>
      </c>
      <c r="N18" s="42">
        <v>80</v>
      </c>
      <c r="O18" s="40">
        <f>IF(N18&gt;=91, 4.00, IF(N18&gt;=81, 3.50, IF(N18&gt;=70, 3.00, IF(N18&gt;=65, 2.50, IF(N18&gt;=60, 2.00, IF(N18&gt;=55, 1.50, IF(N18&gt;=50, 1.00, 0.00)))))))</f>
      </c>
      <c r="P18" s="40">
        <f>IF(N18&gt;=91,"A",IF(N18&gt;=81,"B+",IF(N18&gt;=70,"B",IF(N18&gt;=65,"C+",IF(N18&gt;=60,"C",IF(N18&gt;=55,"D+",IF(N18&gt;=50,"D","F")))))))</f>
      </c>
      <c r="Q18" s="42">
        <v>83</v>
      </c>
      <c r="R18" s="40">
        <f>IF(Q18&gt;=91, 4.00, IF(Q18&gt;=81, 3.50, IF(Q18&gt;=70, 3.00, IF(Q18&gt;=65, 2.50, IF(Q18&gt;=60, 2.00, IF(Q18&gt;=55, 1.50, IF(Q18&gt;=50, 1.00, 0.00)))))))</f>
      </c>
      <c r="S18" s="40">
        <f>IF(Q18&gt;=91,"A",IF(Q18&gt;=81,"B+",IF(Q18&gt;=70,"B",IF(Q18&gt;=65,"C+",IF(Q18&gt;=60,"C",IF(Q18&gt;=55,"D+",IF(Q18&gt;=50,"D","F")))))))</f>
      </c>
      <c r="T18" s="42">
        <v>86</v>
      </c>
      <c r="U18" s="40">
        <f>IF(T18&gt;=91, 4.00, IF(T18&gt;=81, 3.50, IF(T18&gt;=70, 3.00, IF(T18&gt;=65, 2.50, IF(T18&gt;=60, 2.00, IF(T18&gt;=55, 1.50, IF(T18&gt;=50, 1.00, 0.00)))))))</f>
      </c>
      <c r="V18" s="40">
        <f>IF(T18&gt;=91,"A",IF(T18&gt;=81,"B+",IF(T18&gt;=70,"B",IF(T18&gt;=65,"C+",IF(T18&gt;=60,"C",IF(T18&gt;=55,"D+",IF(T18&gt;=50,"D","F")))))))</f>
      </c>
      <c r="W18" s="42">
        <v>89</v>
      </c>
      <c r="X18" s="40">
        <f>IF(W18&gt;=91, 4.00, IF(W18&gt;=81, 3.50, IF(W18&gt;=70, 3.00, IF(W18&gt;=65, 2.50, IF(W18&gt;=60, 2.00, IF(W18&gt;=55, 1.50, IF(W18&gt;=50, 1.00, 0.00)))))))</f>
      </c>
      <c r="Y18" s="40">
        <f>IF(W18&gt;=91,"A",IF(W18&gt;=81,"B+",IF(W18&gt;=70,"B",IF(W18&gt;=65,"C+",IF(W18&gt;=60,"C",IF(W18&gt;=55,"D+",IF(W18&gt;=50,"D","F")))))))</f>
      </c>
      <c r="Z18" s="46">
        <v>92</v>
      </c>
      <c r="AA18" s="40">
        <f>IF(Z18&gt;=91, 4.00, IF(Z18&gt;=81, 3.50, IF(Z18&gt;=70, 3.00, IF(Z18&gt;=65, 2.50, IF(Z18&gt;=60, 2.00, IF(Z18&gt;=55, 1.50, IF(Z18&gt;=50, 1.00, 0.00)))))))</f>
      </c>
      <c r="AB18" s="40">
        <f>IF(Z18&gt;=91,"A",IF(Z18&gt;=81,"B+",IF(Z18&gt;=70,"B",IF(Z18&gt;=65,"C+",IF(Z18&gt;=60,"C",IF(Z18&gt;=55,"D+",IF(Z18&gt;=50,"D","F")))))))</f>
      </c>
      <c r="AC18" s="42">
        <v>95</v>
      </c>
      <c r="AD18" s="40">
        <f>IF(AC18&gt;=91, 4.00, IF(AC18&gt;=81, 3.50, IF(AC18&gt;=70, 3.00, IF(AC18&gt;=65, 2.50, IF(AC18&gt;=60, 2.00, IF(AC18&gt;=55, 1.50, IF(AC18&gt;=50, 1.00, 0.00)))))))</f>
      </c>
      <c r="AE18" s="40">
        <f>IF(AC18&gt;=91,"A",IF(AC18&gt;=81,"B+",IF(AC18&gt;=70,"B",IF(AC18&gt;=65,"C+",IF(AC18&gt;=60,"C",IF(AC18&gt;=55,"D+",IF(AC18&gt;=50,"D","F")))))))</f>
      </c>
      <c r="AF18" s="40">
        <v>77</v>
      </c>
      <c r="AG18" s="40">
        <f>IF(AF18&gt;=91, 4.00, IF(AF18&gt;=81, 3.50, IF(AF18&gt;=70, 3.00, IF(AF18&gt;=65, 2.50, IF(AF18&gt;=60, 2.00, IF(AF18&gt;=55, 1.50, IF(AF18&gt;=50, 1.00, 0.00)))))))</f>
      </c>
      <c r="AH18" s="40">
        <f>IF(AF18&gt;=91,"A",IF(AF18&gt;=81,"B+",IF(AF18&gt;=70,"B",IF(AF18&gt;=65,"C+",IF(AF18&gt;=60,"C",IF(AF18&gt;=55,"D+",IF(AF18&gt;=50,"D","F")))))))</f>
      </c>
      <c r="AI18" s="46">
        <v>80</v>
      </c>
      <c r="AJ18" s="40">
        <f>IF(AI18&gt;=91, 4.00, IF(AI18&gt;=81, 3.50, IF(AI18&gt;=70, 3.00, IF(AI18&gt;=65, 2.50, IF(AI18&gt;=60, 2.00, IF(AI18&gt;=55, 1.50, IF(AI18&gt;=50, 1.00, 0.00)))))))</f>
      </c>
      <c r="AK18" s="40">
        <f>IF(AI18&gt;=91,"A",IF(AI18&gt;=81,"B+",IF(AI18&gt;=70,"B",IF(AI18&gt;=65,"C+",IF(AI18&gt;=60,"C",IF(AI18&gt;=55,"D+",IF(AI18&gt;=50,"D","F")))))))</f>
      </c>
      <c r="AL18" s="42">
        <v>83</v>
      </c>
      <c r="AM18" s="40">
        <f>IF(AL18&gt;=91, 4.00, IF(AL18&gt;=81, 3.50, IF(AL18&gt;=70, 3.00, IF(AL18&gt;=65, 2.50, IF(AL18&gt;=60, 2.00, IF(AL18&gt;=55, 1.50, IF(AL18&gt;=50, 1.00, 0.00)))))))</f>
      </c>
      <c r="AN18" s="40">
        <f>IF(AL18&gt;=91,"A",IF(AL18&gt;=81,"B+",IF(AL18&gt;=70,"B",IF(AL18&gt;=65,"C+",IF(AL18&gt;=60,"C",IF(AL18&gt;=55,"D+",IF(AL18&gt;=50,"D","F")))))))</f>
      </c>
      <c r="AO18" s="40">
        <v>86</v>
      </c>
      <c r="AP18" s="40">
        <f>IF(AO18&gt;=91, 4.00, IF(AO18&gt;=81, 3.50, IF(AO18&gt;=70, 3.00, IF(AO18&gt;=65, 2.50, IF(AO18&gt;=60, 2.00, IF(AO18&gt;=55, 1.50, IF(AO18&gt;=50, 1.00, 0.00)))))))</f>
      </c>
      <c r="AQ18" s="40">
        <f>IF(AO18&gt;=91,"A",IF(AO18&gt;=81,"B+",IF(AO18&gt;=70,"B",IF(AO18&gt;=65,"C+",IF(AO18&gt;=60,"C",IF(AO18&gt;=55,"D+",IF(AO18&gt;=50,"D","F")))))))</f>
      </c>
      <c r="AR18" s="40">
        <f>ROUND((L18*3+O18*2+R18*1+U18*1+X18*1+AA18*2+AD18*2+AG18*2+AJ18*1+AM18*2+AP18*2)/19, 2)</f>
      </c>
      <c r="AS18" s="47">
        <v>90</v>
      </c>
      <c r="AT18" s="40">
        <f>IF(AS18&gt;=91, 4.00, IF(AS18&gt;=81, 3.50, IF(AS18&gt;=70, 3.00, IF(AS18&gt;=65, 2.50, IF(AS18&gt;=60, 2.00, IF(AS18&gt;=55, 1.50, IF(AS18&gt;=50, 1.00, 0.00)))))))</f>
      </c>
      <c r="AU18" s="40">
        <f>IF(AS18&gt;=91,"A",IF(AS18&gt;=81,"B+",IF(AS18&gt;=70,"B",IF(AS18&gt;=65,"C+",IF(AS18&gt;=60,"C",IF(AS18&gt;=55,"D+",IF(AS18&gt;=50,"D","F")))))))</f>
      </c>
      <c r="AV18" s="40" t="s">
        <v>43</v>
      </c>
      <c r="AW18" s="40">
        <f>IF(AV18&gt;=91, 4.00, IF(AV18&gt;=81, 3.50, IF(AV18&gt;=70, 3.00, IF(AV18&gt;=65, 2.50, IF(AV18&gt;=60, 2.00, IF(AV18&gt;=55, 1.50, IF(AV18&gt;=50, 1.00, 0.00)))))))</f>
      </c>
      <c r="AX18" s="40">
        <f>IF(AV18&gt;=91,"A",IF(AV18&gt;=81,"B+",IF(AV18&gt;=70,"B",IF(AV18&gt;=65,"C+",IF(AV18&gt;=60,"C",IF(AV18&gt;=55,"D+",IF(AV18&gt;=50,"D","F")))))))</f>
      </c>
      <c r="AY18" s="40" t="s">
        <v>286</v>
      </c>
      <c r="AZ18" s="40">
        <f>IF(AY18&gt;=91, 4.00, IF(AY18&gt;=81, 3.50, IF(AY18&gt;=70, 3.00, IF(AY18&gt;=65, 2.50, IF(AY18&gt;=60, 2.00, IF(AY18&gt;=55, 1.50, IF(AY18&gt;=50, 1.00, 0.00)))))))</f>
      </c>
      <c r="BA18" s="111">
        <f>IF(AY18&gt;=91,"A",IF(AY18&gt;=81,"B+",IF(AY18&gt;=70,"B",IF(AY18&gt;=65,"C+",IF(AY18&gt;=60,"C",IF(AY18&gt;=55,"D+",IF(AY18&gt;=50,"D","F")))))))</f>
      </c>
      <c r="BB18" s="112">
        <v>78</v>
      </c>
      <c r="BC18" s="48">
        <f>IF(BB18&gt;=91, 4.00, IF(BB18&gt;=81, 3.50, IF(BB18&gt;=70, 3.00, IF(BB18&gt;=65, 2.50, IF(BB18&gt;=60, 2.00, IF(BB18&gt;=55, 1.50, IF(BB18&gt;=50, 1.00, 0.00)))))))</f>
      </c>
      <c r="BD18" s="49">
        <f>IF(BB18&gt;=91,"A",IF(BB18&gt;=81,"B+",IF(BB18&gt;=70,"B",IF(BB18&gt;=65,"C+",IF(BB18&gt;=60,"C",IF(BB18&gt;=55,"D+",IF(BB18&gt;=50,"D","F")))))))</f>
      </c>
      <c r="BE18" s="40" t="str">
        <f>IF(BC18&gt;90,"A",IF(BC18&gt;80,"B+",IF(BC18&gt;69,"B",IF(BC18&gt;64,"C+",IF(BC18&gt;59,"C",IF(BC18&gt;54,"D+",IF(BC18&gt;49,"D",IF(BC18&gt;=0,"F"))))))))</f>
        <v>F</v>
      </c>
      <c r="BF18" s="48">
        <f>IF(BE18&gt;=91, 4.00, IF(BE18&gt;=81, 3.50, IF(BE18&gt;=70, 3.00, IF(BE18&gt;=65, 2.50, IF(BE18&gt;=60, 2.00, IF(BE18&gt;=55, 1.50, IF(BE18&gt;=50, 1.00, 0.00)))))))</f>
      </c>
      <c r="BG18" s="49">
        <f>IF(BE18&gt;=91,"A",IF(BE18&gt;=81,"B+",IF(BE18&gt;=70,"B",IF(BE18&gt;=65,"C+",IF(BE18&gt;=60,"C",IF(BE18&gt;=55,"D+",IF(BE18&gt;=50,"D","F")))))))</f>
      </c>
      <c r="BH18" s="40" t="str">
        <f>IF(BF18&gt;90,"A",IF(BF18&gt;80,"B+",IF(BF18&gt;69,"B",IF(BF18&gt;64,"C+",IF(BF18&gt;59,"C",IF(BF18&gt;54,"D+",IF(BF18&gt;49,"D",IF(BF18&gt;=0,"F"))))))))</f>
        <v>F</v>
      </c>
      <c r="BI18" s="43">
        <f>IF(BH18&gt;=91, 4.00, IF(BH18&gt;=81, 3.50, IF(BH18&gt;=70, 3.00, IF(BH18&gt;=65, 2.50, IF(BH18&gt;=60, 2.00, IF(BH18&gt;=55, 1.50, IF(BH18&gt;=50, 1.00, 0.00)))))))</f>
      </c>
      <c r="BJ18" s="49">
        <f>IF(BH18&gt;=91,"A",IF(BH18&gt;=81,"B+",IF(BH18&gt;=70,"B",IF(BH18&gt;=65,"C+",IF(BH18&gt;=60,"C",IF(BH18&gt;=55,"D+",IF(BH18&gt;=50,"D","F")))))))</f>
      </c>
      <c r="BK18" s="40" t="str">
        <f>IF(BI18&gt;90,"A",IF(BI18&gt;80,"B+",IF(BI18&gt;69,"B",IF(BI18&gt;64,"C+",IF(BI18&gt;59,"C",IF(BI18&gt;54,"D+",IF(BI18&gt;49,"D",IF(BI18&gt;=0,"F"))))))))</f>
        <v>F</v>
      </c>
      <c r="BL18" s="48">
        <f>IF(BK18&gt;=91, 4.00, IF(BK18&gt;=81, 3.50, IF(BK18&gt;=70, 3.00, IF(BK18&gt;=65, 2.50, IF(BK18&gt;=60, 2.00, IF(BK18&gt;=55, 1.50, IF(BK18&gt;=50, 1.00, 0.00)))))))</f>
      </c>
      <c r="BM18" s="49">
        <f>IF(BK18&gt;=91,"A",IF(BK18&gt;=81,"B+",IF(BK18&gt;=70,"B",IF(BK18&gt;=65,"C+",IF(BK18&gt;=60,"C",IF(BK18&gt;=55,"D+",IF(BK18&gt;=50,"D","F")))))))</f>
      </c>
      <c r="BN18" s="40" t="str">
        <f>IF(BL18&gt;90,"A",IF(BL18&gt;80,"B+",IF(BL18&gt;69,"B",IF(BL18&gt;64,"C+",IF(BL18&gt;59,"C",IF(BL18&gt;54,"D+",IF(BL18&gt;49,"D",IF(BL18&gt;=0,"F"))))))))</f>
        <v>F</v>
      </c>
      <c r="BO18" s="43">
        <f>IF(BN18&gt;=91, 4.00, IF(BN18&gt;=81, 3.50, IF(BN18&gt;=70, 3.00, IF(BN18&gt;=65, 2.50, IF(BN18&gt;=60, 2.00, IF(BN18&gt;=55, 1.50, IF(BN18&gt;=50, 1.00, 0.00)))))))</f>
      </c>
      <c r="BP18" s="49">
        <f>IF(BN18&gt;=91,"A",IF(BN18&gt;=81,"B+",IF(BN18&gt;=70,"B",IF(BN18&gt;=65,"C+",IF(BN18&gt;=60,"C",IF(BN18&gt;=55,"D+",IF(BN18&gt;=50,"D","F")))))))</f>
      </c>
      <c r="BQ18" s="40" t="str">
        <f>IF(BO18&gt;90,"A",IF(BO18&gt;80,"B+",IF(BO18&gt;69,"B",IF(BO18&gt;64,"C+",IF(BO18&gt;59,"C",IF(BO18&gt;54,"D+",IF(BO18&gt;49,"D",IF(BO18&gt;=0,"F"))))))))</f>
        <v>F</v>
      </c>
      <c r="BR18" s="43">
        <f>IF(BQ18&gt;=91, 4.00, IF(BQ18&gt;=81, 3.50, IF(BQ18&gt;=70, 3.00, IF(BQ18&gt;=65, 2.50, IF(BQ18&gt;=60, 2.00, IF(BQ18&gt;=55, 1.50, IF(BQ18&gt;=50, 1.00, 0.00)))))))</f>
      </c>
      <c r="BS18" s="49">
        <f>IF(BQ18&gt;=91,"A",IF(BQ18&gt;=81,"B+",IF(BQ18&gt;=70,"B",IF(BQ18&gt;=65,"C+",IF(BQ18&gt;=60,"C",IF(BQ18&gt;=55,"D+",IF(BQ18&gt;=50,"D","F")))))))</f>
      </c>
      <c r="BT18" s="40" t="str">
        <f>IF(BR18&gt;90,"A",IF(BR18&gt;80,"B+",IF(BR18&gt;69,"B",IF(BR18&gt;64,"C+",IF(BR18&gt;59,"C",IF(BR18&gt;54,"D+",IF(BR18&gt;49,"D",IF(BR18&gt;=0,"F"))))))))</f>
        <v>F</v>
      </c>
      <c r="BU18" s="49">
        <f>IF(BT18&gt;=91, 4.00, IF(BT18&gt;=81, 3.50, IF(BT18&gt;=70, 3.00, IF(BT18&gt;=65, 2.50, IF(BT18&gt;=60, 2.00, IF(BT18&gt;=55, 1.50, IF(BT18&gt;=50, 1.00, 0.00)))))))</f>
      </c>
      <c r="BV18" s="49">
        <f>IF(BT18&gt;=91,"A",IF(BT18&gt;=81,"B+",IF(BT18&gt;=70,"B",IF(BT18&gt;=65,"C+",IF(BT18&gt;=60,"C",IF(BT18&gt;=55,"D+",IF(BT18&gt;=50,"D","F")))))))</f>
      </c>
      <c r="BW18" s="40">
        <f>ROUND((AT18*3+AW18*2+AZ18*1+BC18*1+BF18*1+BI18*2+BL18*2+BO18*1+BR18*2+BU18*3)/18, 2)</f>
      </c>
      <c r="BX18" s="49"/>
      <c r="BY18" s="49" t="str">
        <f>IF(BX18&gt;90,"4.00",IF(BX18&gt;80,"3.50",IF(BX18&gt;69,"3.00",IF(BX18&gt;64,"2.50",IF(BX18&gt;59,"2.00",IF(BX18&gt;54,"1.50",IF(BX18&gt;49,"1.00","0.00")))))))</f>
        <v>0.00</v>
      </c>
      <c r="BZ18" s="40" t="str">
        <f>IF(BX18&gt;90,"A",IF(BX18&gt;80,"B+",IF(BX18&gt;69,"B",IF(BX18&gt;64,"C+",IF(BX18&gt;59,"C",IF(BX18&gt;54,"D+",IF(BX18&gt;49,"D",IF(BX18&gt;=0,"F"))))))))</f>
        <v>F</v>
      </c>
      <c r="CA18" s="49"/>
      <c r="CB18" s="49" t="str">
        <f>IF(CA18&gt;90,"4.00",IF(CA18&gt;80,"3.50",IF(CA18&gt;69,"3.00",IF(CA18&gt;64,"2.50",IF(CA18&gt;59,"2.00",IF(CA18&gt;54,"1.50",IF(CA18&gt;49,"1.00","0.00")))))))</f>
        <v>0.00</v>
      </c>
      <c r="CC18" s="40" t="str">
        <f>IF(CA18&gt;90,"A",IF(CA18&gt;80,"B+",IF(CA18&gt;69,"B",IF(CA18&gt;64,"C+",IF(CA18&gt;59,"C",IF(CA18&gt;54,"D+",IF(CA18&gt;49,"D",IF(CA18&gt;=0,"F"))))))))</f>
        <v>F</v>
      </c>
      <c r="CD18" s="49"/>
      <c r="CE18" s="49" t="str">
        <f>IF(CD18&gt;90,"4.00",IF(CD18&gt;80,"3.50",IF(CD18&gt;69,"3.00",IF(CD18&gt;64,"2.50",IF(CD18&gt;59,"2.00",IF(CD18&gt;54,"1.50",IF(CD18&gt;49,"1.00","0.00")))))))</f>
        <v>0.00</v>
      </c>
      <c r="CF18" s="40" t="str">
        <f>IF(CD18&gt;90,"A",IF(CD18&gt;80,"B+",IF(CD18&gt;69,"B",IF(CD18&gt;64,"C+",IF(CD18&gt;59,"C",IF(CD18&gt;54,"D+",IF(CD18&gt;49,"D",IF(CD18&gt;=0,"F"))))))))</f>
        <v>F</v>
      </c>
      <c r="CG18" s="50">
        <f>(BD18*3+BG18*1+BJ18*1+BM18*2+BP18*1+BS18*2+BV18*2+BY18*1+CB18*2+CE18*2)/(3+1+1+2+1+2+2+1+2+2)</f>
        <v>0</v>
      </c>
      <c r="CH18" s="50">
        <f>(AR18+CG18)/2</f>
        <v>0</v>
      </c>
      <c r="CI18" s="51">
        <f>RANK(CH18,$CH$7:CH47)</f>
        <v>1</v>
      </c>
      <c r="CJ18" s="40"/>
      <c r="CK18" s="52"/>
      <c r="CL18" s="52"/>
      <c r="CM18" s="52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  <c r="FN18" s="53"/>
      <c r="FO18" s="53"/>
      <c r="FP18" s="53"/>
      <c r="FQ18" s="53"/>
      <c r="FR18" s="53"/>
      <c r="FS18" s="53"/>
      <c r="FT18" s="53"/>
      <c r="FU18" s="53"/>
      <c r="FV18" s="53"/>
      <c r="FW18" s="53"/>
      <c r="FX18" s="53"/>
      <c r="FY18" s="53"/>
      <c r="FZ18" s="53"/>
      <c r="GA18" s="53"/>
      <c r="GB18" s="53"/>
      <c r="GC18" s="53"/>
      <c r="GD18" s="53"/>
      <c r="GE18" s="53"/>
      <c r="GF18" s="53"/>
      <c r="GG18" s="53"/>
      <c r="GH18" s="53"/>
      <c r="GI18" s="53"/>
      <c r="GJ18" s="53"/>
      <c r="GK18" s="53"/>
      <c r="GL18" s="53"/>
      <c r="GM18" s="53"/>
      <c r="GN18" s="53"/>
      <c r="GO18" s="53"/>
      <c r="GP18" s="53"/>
      <c r="GQ18" s="53"/>
      <c r="GR18" s="53"/>
      <c r="GS18" s="53"/>
      <c r="GT18" s="53"/>
    </row>
    <row r="19" ht="20" customHeight="1" spans="1:202" s="39" customFormat="1" x14ac:dyDescent="0.25">
      <c r="A19" s="40">
        <v>13</v>
      </c>
      <c r="B19" s="40" t="s">
        <v>287</v>
      </c>
      <c r="C19" s="40" t="s">
        <v>43</v>
      </c>
      <c r="D19" s="40" t="s">
        <v>118</v>
      </c>
      <c r="E19" s="40" t="s">
        <v>119</v>
      </c>
      <c r="F19" s="40" t="s">
        <v>288</v>
      </c>
      <c r="G19" s="40" t="s">
        <v>121</v>
      </c>
      <c r="H19" s="111"/>
      <c r="I19" s="112"/>
      <c r="J19" s="40">
        <v>1</v>
      </c>
      <c r="K19" s="42">
        <v>80</v>
      </c>
      <c r="L19" s="40">
        <f>IF(K19&gt;=91, 4.00, IF(K19&gt;=81, 3.50, IF(K19&gt;=70, 3.00, IF(K19&gt;=65, 2.50, IF(K19&gt;=60, 2.00, IF(K19&gt;=55, 1.50, IF(K19&gt;=50, 1.00, 0.00)))))))</f>
      </c>
      <c r="M19" s="40">
        <f>IF(K19&gt;=91,"A",IF(K19&gt;=81,"B+",IF(K19&gt;=70,"B",IF(K19&gt;=65,"C+",IF(K19&gt;=60,"C",IF(K19&gt;=55,"D+",IF(K19&gt;=50,"D","F")))))))</f>
      </c>
      <c r="N19" s="42">
        <v>83</v>
      </c>
      <c r="O19" s="40">
        <f>IF(N19&gt;=91, 4.00, IF(N19&gt;=81, 3.50, IF(N19&gt;=70, 3.00, IF(N19&gt;=65, 2.50, IF(N19&gt;=60, 2.00, IF(N19&gt;=55, 1.50, IF(N19&gt;=50, 1.00, 0.00)))))))</f>
      </c>
      <c r="P19" s="40">
        <f>IF(N19&gt;=91,"A",IF(N19&gt;=81,"B+",IF(N19&gt;=70,"B",IF(N19&gt;=65,"C+",IF(N19&gt;=60,"C",IF(N19&gt;=55,"D+",IF(N19&gt;=50,"D","F")))))))</f>
      </c>
      <c r="Q19" s="42">
        <v>86</v>
      </c>
      <c r="R19" s="40">
        <f>IF(Q19&gt;=91, 4.00, IF(Q19&gt;=81, 3.50, IF(Q19&gt;=70, 3.00, IF(Q19&gt;=65, 2.50, IF(Q19&gt;=60, 2.00, IF(Q19&gt;=55, 1.50, IF(Q19&gt;=50, 1.00, 0.00)))))))</f>
      </c>
      <c r="S19" s="40">
        <f>IF(Q19&gt;=91,"A",IF(Q19&gt;=81,"B+",IF(Q19&gt;=70,"B",IF(Q19&gt;=65,"C+",IF(Q19&gt;=60,"C",IF(Q19&gt;=55,"D+",IF(Q19&gt;=50,"D","F")))))))</f>
      </c>
      <c r="T19" s="42">
        <v>89</v>
      </c>
      <c r="U19" s="40">
        <f>IF(T19&gt;=91, 4.00, IF(T19&gt;=81, 3.50, IF(T19&gt;=70, 3.00, IF(T19&gt;=65, 2.50, IF(T19&gt;=60, 2.00, IF(T19&gt;=55, 1.50, IF(T19&gt;=50, 1.00, 0.00)))))))</f>
      </c>
      <c r="V19" s="40">
        <f>IF(T19&gt;=91,"A",IF(T19&gt;=81,"B+",IF(T19&gt;=70,"B",IF(T19&gt;=65,"C+",IF(T19&gt;=60,"C",IF(T19&gt;=55,"D+",IF(T19&gt;=50,"D","F")))))))</f>
      </c>
      <c r="W19" s="42">
        <v>92</v>
      </c>
      <c r="X19" s="40">
        <f>IF(W19&gt;=91, 4.00, IF(W19&gt;=81, 3.50, IF(W19&gt;=70, 3.00, IF(W19&gt;=65, 2.50, IF(W19&gt;=60, 2.00, IF(W19&gt;=55, 1.50, IF(W19&gt;=50, 1.00, 0.00)))))))</f>
      </c>
      <c r="Y19" s="40">
        <f>IF(W19&gt;=91,"A",IF(W19&gt;=81,"B+",IF(W19&gt;=70,"B",IF(W19&gt;=65,"C+",IF(W19&gt;=60,"C",IF(W19&gt;=55,"D+",IF(W19&gt;=50,"D","F")))))))</f>
      </c>
      <c r="Z19" s="46">
        <v>95</v>
      </c>
      <c r="AA19" s="40">
        <f>IF(Z19&gt;=91, 4.00, IF(Z19&gt;=81, 3.50, IF(Z19&gt;=70, 3.00, IF(Z19&gt;=65, 2.50, IF(Z19&gt;=60, 2.00, IF(Z19&gt;=55, 1.50, IF(Z19&gt;=50, 1.00, 0.00)))))))</f>
      </c>
      <c r="AB19" s="40">
        <f>IF(Z19&gt;=91,"A",IF(Z19&gt;=81,"B+",IF(Z19&gt;=70,"B",IF(Z19&gt;=65,"C+",IF(Z19&gt;=60,"C",IF(Z19&gt;=55,"D+",IF(Z19&gt;=50,"D","F")))))))</f>
      </c>
      <c r="AC19" s="42">
        <v>77</v>
      </c>
      <c r="AD19" s="40">
        <f>IF(AC19&gt;=91, 4.00, IF(AC19&gt;=81, 3.50, IF(AC19&gt;=70, 3.00, IF(AC19&gt;=65, 2.50, IF(AC19&gt;=60, 2.00, IF(AC19&gt;=55, 1.50, IF(AC19&gt;=50, 1.00, 0.00)))))))</f>
      </c>
      <c r="AE19" s="40">
        <f>IF(AC19&gt;=91,"A",IF(AC19&gt;=81,"B+",IF(AC19&gt;=70,"B",IF(AC19&gt;=65,"C+",IF(AC19&gt;=60,"C",IF(AC19&gt;=55,"D+",IF(AC19&gt;=50,"D","F")))))))</f>
      </c>
      <c r="AF19" s="40">
        <v>80</v>
      </c>
      <c r="AG19" s="40">
        <f>IF(AF19&gt;=91, 4.00, IF(AF19&gt;=81, 3.50, IF(AF19&gt;=70, 3.00, IF(AF19&gt;=65, 2.50, IF(AF19&gt;=60, 2.00, IF(AF19&gt;=55, 1.50, IF(AF19&gt;=50, 1.00, 0.00)))))))</f>
      </c>
      <c r="AH19" s="40">
        <f>IF(AF19&gt;=91,"A",IF(AF19&gt;=81,"B+",IF(AF19&gt;=70,"B",IF(AF19&gt;=65,"C+",IF(AF19&gt;=60,"C",IF(AF19&gt;=55,"D+",IF(AF19&gt;=50,"D","F")))))))</f>
      </c>
      <c r="AI19" s="46">
        <v>83</v>
      </c>
      <c r="AJ19" s="40">
        <f>IF(AI19&gt;=91, 4.00, IF(AI19&gt;=81, 3.50, IF(AI19&gt;=70, 3.00, IF(AI19&gt;=65, 2.50, IF(AI19&gt;=60, 2.00, IF(AI19&gt;=55, 1.50, IF(AI19&gt;=50, 1.00, 0.00)))))))</f>
      </c>
      <c r="AK19" s="40">
        <f>IF(AI19&gt;=91,"A",IF(AI19&gt;=81,"B+",IF(AI19&gt;=70,"B",IF(AI19&gt;=65,"C+",IF(AI19&gt;=60,"C",IF(AI19&gt;=55,"D+",IF(AI19&gt;=50,"D","F")))))))</f>
      </c>
      <c r="AL19" s="42">
        <v>86</v>
      </c>
      <c r="AM19" s="40">
        <f>IF(AL19&gt;=91, 4.00, IF(AL19&gt;=81, 3.50, IF(AL19&gt;=70, 3.00, IF(AL19&gt;=65, 2.50, IF(AL19&gt;=60, 2.00, IF(AL19&gt;=55, 1.50, IF(AL19&gt;=50, 1.00, 0.00)))))))</f>
      </c>
      <c r="AN19" s="40">
        <f>IF(AL19&gt;=91,"A",IF(AL19&gt;=81,"B+",IF(AL19&gt;=70,"B",IF(AL19&gt;=65,"C+",IF(AL19&gt;=60,"C",IF(AL19&gt;=55,"D+",IF(AL19&gt;=50,"D","F")))))))</f>
      </c>
      <c r="AO19" s="40">
        <v>89</v>
      </c>
      <c r="AP19" s="40">
        <f>IF(AO19&gt;=91, 4.00, IF(AO19&gt;=81, 3.50, IF(AO19&gt;=70, 3.00, IF(AO19&gt;=65, 2.50, IF(AO19&gt;=60, 2.00, IF(AO19&gt;=55, 1.50, IF(AO19&gt;=50, 1.00, 0.00)))))))</f>
      </c>
      <c r="AQ19" s="40">
        <f>IF(AO19&gt;=91,"A",IF(AO19&gt;=81,"B+",IF(AO19&gt;=70,"B",IF(AO19&gt;=65,"C+",IF(AO19&gt;=60,"C",IF(AO19&gt;=55,"D+",IF(AO19&gt;=50,"D","F")))))))</f>
      </c>
      <c r="AR19" s="40">
        <f>ROUND((L19*3+O19*2+R19*1+U19*1+X19*1+AA19*2+AD19*2+AG19*2+AJ19*1+AM19*2+AP19*2)/19, 2)</f>
      </c>
      <c r="AS19" s="47">
        <v>93</v>
      </c>
      <c r="AT19" s="40">
        <f>IF(AS19&gt;=91, 4.00, IF(AS19&gt;=81, 3.50, IF(AS19&gt;=70, 3.00, IF(AS19&gt;=65, 2.50, IF(AS19&gt;=60, 2.00, IF(AS19&gt;=55, 1.50, IF(AS19&gt;=50, 1.00, 0.00)))))))</f>
      </c>
      <c r="AU19" s="40">
        <f>IF(AS19&gt;=91,"A",IF(AS19&gt;=81,"B+",IF(AS19&gt;=70,"B",IF(AS19&gt;=65,"C+",IF(AS19&gt;=60,"C",IF(AS19&gt;=55,"D+",IF(AS19&gt;=50,"D","F")))))))</f>
      </c>
      <c r="AV19" s="40" t="s">
        <v>43</v>
      </c>
      <c r="AW19" s="40">
        <f>IF(AV19&gt;=91, 4.00, IF(AV19&gt;=81, 3.50, IF(AV19&gt;=70, 3.00, IF(AV19&gt;=65, 2.50, IF(AV19&gt;=60, 2.00, IF(AV19&gt;=55, 1.50, IF(AV19&gt;=50, 1.00, 0.00)))))))</f>
      </c>
      <c r="AX19" s="40">
        <f>IF(AV19&gt;=91,"A",IF(AV19&gt;=81,"B+",IF(AV19&gt;=70,"B",IF(AV19&gt;=65,"C+",IF(AV19&gt;=60,"C",IF(AV19&gt;=55,"D+",IF(AV19&gt;=50,"D","F")))))))</f>
      </c>
      <c r="AY19" s="40" t="s">
        <v>288</v>
      </c>
      <c r="AZ19" s="40">
        <f>IF(AY19&gt;=91, 4.00, IF(AY19&gt;=81, 3.50, IF(AY19&gt;=70, 3.00, IF(AY19&gt;=65, 2.50, IF(AY19&gt;=60, 2.00, IF(AY19&gt;=55, 1.50, IF(AY19&gt;=50, 1.00, 0.00)))))))</f>
      </c>
      <c r="BA19" s="111">
        <f>IF(AY19&gt;=91,"A",IF(AY19&gt;=81,"B+",IF(AY19&gt;=70,"B",IF(AY19&gt;=65,"C+",IF(AY19&gt;=60,"C",IF(AY19&gt;=55,"D+",IF(AY19&gt;=50,"D","F")))))))</f>
      </c>
      <c r="BB19" s="112">
        <v>81</v>
      </c>
      <c r="BC19" s="48">
        <f>IF(BB19&gt;=91, 4.00, IF(BB19&gt;=81, 3.50, IF(BB19&gt;=70, 3.00, IF(BB19&gt;=65, 2.50, IF(BB19&gt;=60, 2.00, IF(BB19&gt;=55, 1.50, IF(BB19&gt;=50, 1.00, 0.00)))))))</f>
      </c>
      <c r="BD19" s="49">
        <f>IF(BB19&gt;=91,"A",IF(BB19&gt;=81,"B+",IF(BB19&gt;=70,"B",IF(BB19&gt;=65,"C+",IF(BB19&gt;=60,"C",IF(BB19&gt;=55,"D+",IF(BB19&gt;=50,"D","F")))))))</f>
      </c>
      <c r="BE19" s="40" t="str">
        <f>IF(BC19&gt;90,"A",IF(BC19&gt;80,"B+",IF(BC19&gt;69,"B",IF(BC19&gt;64,"C+",IF(BC19&gt;59,"C",IF(BC19&gt;54,"D+",IF(BC19&gt;49,"D",IF(BC19&gt;=0,"F"))))))))</f>
        <v>F</v>
      </c>
      <c r="BF19" s="48">
        <f>IF(BE19&gt;=91, 4.00, IF(BE19&gt;=81, 3.50, IF(BE19&gt;=70, 3.00, IF(BE19&gt;=65, 2.50, IF(BE19&gt;=60, 2.00, IF(BE19&gt;=55, 1.50, IF(BE19&gt;=50, 1.00, 0.00)))))))</f>
      </c>
      <c r="BG19" s="49">
        <f>IF(BE19&gt;=91,"A",IF(BE19&gt;=81,"B+",IF(BE19&gt;=70,"B",IF(BE19&gt;=65,"C+",IF(BE19&gt;=60,"C",IF(BE19&gt;=55,"D+",IF(BE19&gt;=50,"D","F")))))))</f>
      </c>
      <c r="BH19" s="40" t="str">
        <f>IF(BF19&gt;90,"A",IF(BF19&gt;80,"B+",IF(BF19&gt;69,"B",IF(BF19&gt;64,"C+",IF(BF19&gt;59,"C",IF(BF19&gt;54,"D+",IF(BF19&gt;49,"D",IF(BF19&gt;=0,"F"))))))))</f>
        <v>F</v>
      </c>
      <c r="BI19" s="43">
        <f>IF(BH19&gt;=91, 4.00, IF(BH19&gt;=81, 3.50, IF(BH19&gt;=70, 3.00, IF(BH19&gt;=65, 2.50, IF(BH19&gt;=60, 2.00, IF(BH19&gt;=55, 1.50, IF(BH19&gt;=50, 1.00, 0.00)))))))</f>
      </c>
      <c r="BJ19" s="49">
        <f>IF(BH19&gt;=91,"A",IF(BH19&gt;=81,"B+",IF(BH19&gt;=70,"B",IF(BH19&gt;=65,"C+",IF(BH19&gt;=60,"C",IF(BH19&gt;=55,"D+",IF(BH19&gt;=50,"D","F")))))))</f>
      </c>
      <c r="BK19" s="40" t="str">
        <f>IF(BI19&gt;90,"A",IF(BI19&gt;80,"B+",IF(BI19&gt;69,"B",IF(BI19&gt;64,"C+",IF(BI19&gt;59,"C",IF(BI19&gt;54,"D+",IF(BI19&gt;49,"D",IF(BI19&gt;=0,"F"))))))))</f>
        <v>F</v>
      </c>
      <c r="BL19" s="48">
        <f>IF(BK19&gt;=91, 4.00, IF(BK19&gt;=81, 3.50, IF(BK19&gt;=70, 3.00, IF(BK19&gt;=65, 2.50, IF(BK19&gt;=60, 2.00, IF(BK19&gt;=55, 1.50, IF(BK19&gt;=50, 1.00, 0.00)))))))</f>
      </c>
      <c r="BM19" s="49">
        <f>IF(BK19&gt;=91,"A",IF(BK19&gt;=81,"B+",IF(BK19&gt;=70,"B",IF(BK19&gt;=65,"C+",IF(BK19&gt;=60,"C",IF(BK19&gt;=55,"D+",IF(BK19&gt;=50,"D","F")))))))</f>
      </c>
      <c r="BN19" s="40" t="str">
        <f>IF(BL19&gt;90,"A",IF(BL19&gt;80,"B+",IF(BL19&gt;69,"B",IF(BL19&gt;64,"C+",IF(BL19&gt;59,"C",IF(BL19&gt;54,"D+",IF(BL19&gt;49,"D",IF(BL19&gt;=0,"F"))))))))</f>
        <v>F</v>
      </c>
      <c r="BO19" s="43">
        <f>IF(BN19&gt;=91, 4.00, IF(BN19&gt;=81, 3.50, IF(BN19&gt;=70, 3.00, IF(BN19&gt;=65, 2.50, IF(BN19&gt;=60, 2.00, IF(BN19&gt;=55, 1.50, IF(BN19&gt;=50, 1.00, 0.00)))))))</f>
      </c>
      <c r="BP19" s="49">
        <f>IF(BN19&gt;=91,"A",IF(BN19&gt;=81,"B+",IF(BN19&gt;=70,"B",IF(BN19&gt;=65,"C+",IF(BN19&gt;=60,"C",IF(BN19&gt;=55,"D+",IF(BN19&gt;=50,"D","F")))))))</f>
      </c>
      <c r="BQ19" s="40" t="str">
        <f>IF(BO19&gt;90,"A",IF(BO19&gt;80,"B+",IF(BO19&gt;69,"B",IF(BO19&gt;64,"C+",IF(BO19&gt;59,"C",IF(BO19&gt;54,"D+",IF(BO19&gt;49,"D",IF(BO19&gt;=0,"F"))))))))</f>
        <v>F</v>
      </c>
      <c r="BR19" s="43">
        <f>IF(BQ19&gt;=91, 4.00, IF(BQ19&gt;=81, 3.50, IF(BQ19&gt;=70, 3.00, IF(BQ19&gt;=65, 2.50, IF(BQ19&gt;=60, 2.00, IF(BQ19&gt;=55, 1.50, IF(BQ19&gt;=50, 1.00, 0.00)))))))</f>
      </c>
      <c r="BS19" s="49">
        <f>IF(BQ19&gt;=91,"A",IF(BQ19&gt;=81,"B+",IF(BQ19&gt;=70,"B",IF(BQ19&gt;=65,"C+",IF(BQ19&gt;=60,"C",IF(BQ19&gt;=55,"D+",IF(BQ19&gt;=50,"D","F")))))))</f>
      </c>
      <c r="BT19" s="40" t="str">
        <f>IF(BR19&gt;90,"A",IF(BR19&gt;80,"B+",IF(BR19&gt;69,"B",IF(BR19&gt;64,"C+",IF(BR19&gt;59,"C",IF(BR19&gt;54,"D+",IF(BR19&gt;49,"D",IF(BR19&gt;=0,"F"))))))))</f>
        <v>F</v>
      </c>
      <c r="BU19" s="49">
        <f>IF(BT19&gt;=91, 4.00, IF(BT19&gt;=81, 3.50, IF(BT19&gt;=70, 3.00, IF(BT19&gt;=65, 2.50, IF(BT19&gt;=60, 2.00, IF(BT19&gt;=55, 1.50, IF(BT19&gt;=50, 1.00, 0.00)))))))</f>
      </c>
      <c r="BV19" s="49">
        <f>IF(BT19&gt;=91,"A",IF(BT19&gt;=81,"B+",IF(BT19&gt;=70,"B",IF(BT19&gt;=65,"C+",IF(BT19&gt;=60,"C",IF(BT19&gt;=55,"D+",IF(BT19&gt;=50,"D","F")))))))</f>
      </c>
      <c r="BW19" s="40">
        <f>ROUND((AT19*3+AW19*2+AZ19*1+BC19*1+BF19*1+BI19*2+BL19*2+BO19*1+BR19*2+BU19*3)/18, 2)</f>
      </c>
      <c r="BX19" s="49"/>
      <c r="BY19" s="49" t="str">
        <f>IF(BX19&gt;90,"4.00",IF(BX19&gt;80,"3.50",IF(BX19&gt;69,"3.00",IF(BX19&gt;64,"2.50",IF(BX19&gt;59,"2.00",IF(BX19&gt;54,"1.50",IF(BX19&gt;49,"1.00","0.00")))))))</f>
        <v>0.00</v>
      </c>
      <c r="BZ19" s="40" t="str">
        <f>IF(BX19&gt;90,"A",IF(BX19&gt;80,"B+",IF(BX19&gt;69,"B",IF(BX19&gt;64,"C+",IF(BX19&gt;59,"C",IF(BX19&gt;54,"D+",IF(BX19&gt;49,"D",IF(BX19&gt;=0,"F"))))))))</f>
        <v>F</v>
      </c>
      <c r="CA19" s="49"/>
      <c r="CB19" s="49" t="str">
        <f>IF(CA19&gt;90,"4.00",IF(CA19&gt;80,"3.50",IF(CA19&gt;69,"3.00",IF(CA19&gt;64,"2.50",IF(CA19&gt;59,"2.00",IF(CA19&gt;54,"1.50",IF(CA19&gt;49,"1.00","0.00")))))))</f>
        <v>0.00</v>
      </c>
      <c r="CC19" s="40" t="str">
        <f>IF(CA19&gt;90,"A",IF(CA19&gt;80,"B+",IF(CA19&gt;69,"B",IF(CA19&gt;64,"C+",IF(CA19&gt;59,"C",IF(CA19&gt;54,"D+",IF(CA19&gt;49,"D",IF(CA19&gt;=0,"F"))))))))</f>
        <v>F</v>
      </c>
      <c r="CD19" s="49"/>
      <c r="CE19" s="49" t="str">
        <f>IF(CD19&gt;90,"4.00",IF(CD19&gt;80,"3.50",IF(CD19&gt;69,"3.00",IF(CD19&gt;64,"2.50",IF(CD19&gt;59,"2.00",IF(CD19&gt;54,"1.50",IF(CD19&gt;49,"1.00","0.00")))))))</f>
        <v>0.00</v>
      </c>
      <c r="CF19" s="40" t="str">
        <f>IF(CD19&gt;90,"A",IF(CD19&gt;80,"B+",IF(CD19&gt;69,"B",IF(CD19&gt;64,"C+",IF(CD19&gt;59,"C",IF(CD19&gt;54,"D+",IF(CD19&gt;49,"D",IF(CD19&gt;=0,"F"))))))))</f>
        <v>F</v>
      </c>
      <c r="CG19" s="50">
        <f>(BD19*3+BG19*1+BJ19*1+BM19*2+BP19*1+BS19*2+BV19*2+BY19*1+CB19*2+CE19*2)/(3+1+1+2+1+2+2+1+2+2)</f>
        <v>0</v>
      </c>
      <c r="CH19" s="50">
        <f>(AR19+CG19)/2</f>
        <v>0</v>
      </c>
      <c r="CI19" s="51">
        <f>RANK(CH19,$CH$7:CH48)</f>
        <v>1</v>
      </c>
      <c r="CJ19" s="40"/>
      <c r="CK19" s="52"/>
      <c r="CL19" s="52"/>
      <c r="CM19" s="52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  <c r="FN19" s="53"/>
      <c r="FO19" s="53"/>
      <c r="FP19" s="53"/>
      <c r="FQ19" s="53"/>
      <c r="FR19" s="53"/>
      <c r="FS19" s="53"/>
      <c r="FT19" s="53"/>
      <c r="FU19" s="53"/>
      <c r="FV19" s="53"/>
      <c r="FW19" s="53"/>
      <c r="FX19" s="53"/>
      <c r="FY19" s="53"/>
      <c r="FZ19" s="53"/>
      <c r="GA19" s="53"/>
      <c r="GB19" s="53"/>
      <c r="GC19" s="53"/>
      <c r="GD19" s="53"/>
      <c r="GE19" s="53"/>
      <c r="GF19" s="53"/>
      <c r="GG19" s="53"/>
      <c r="GH19" s="53"/>
      <c r="GI19" s="53"/>
      <c r="GJ19" s="53"/>
      <c r="GK19" s="53"/>
      <c r="GL19" s="53"/>
      <c r="GM19" s="53"/>
      <c r="GN19" s="53"/>
      <c r="GO19" s="53"/>
      <c r="GP19" s="53"/>
      <c r="GQ19" s="53"/>
      <c r="GR19" s="53"/>
      <c r="GS19" s="53"/>
      <c r="GT19" s="53"/>
    </row>
    <row r="20" ht="20" customHeight="1" spans="1:202" s="39" customFormat="1" x14ac:dyDescent="0.25">
      <c r="A20" s="40">
        <v>14</v>
      </c>
      <c r="B20" s="40" t="s">
        <v>289</v>
      </c>
      <c r="C20" s="40" t="s">
        <v>43</v>
      </c>
      <c r="D20" s="40" t="s">
        <v>124</v>
      </c>
      <c r="E20" s="40" t="s">
        <v>125</v>
      </c>
      <c r="F20" s="40" t="s">
        <v>290</v>
      </c>
      <c r="G20" s="40" t="s">
        <v>127</v>
      </c>
      <c r="H20" s="44"/>
      <c r="I20" s="112"/>
      <c r="J20" s="40">
        <v>1</v>
      </c>
      <c r="K20" s="42">
        <v>83</v>
      </c>
      <c r="L20" s="40">
        <f>IF(K20&gt;=91, 4.00, IF(K20&gt;=81, 3.50, IF(K20&gt;=70, 3.00, IF(K20&gt;=65, 2.50, IF(K20&gt;=60, 2.00, IF(K20&gt;=55, 1.50, IF(K20&gt;=50, 1.00, 0.00)))))))</f>
      </c>
      <c r="M20" s="40">
        <f>IF(K20&gt;=91,"A",IF(K20&gt;=81,"B+",IF(K20&gt;=70,"B",IF(K20&gt;=65,"C+",IF(K20&gt;=60,"C",IF(K20&gt;=55,"D+",IF(K20&gt;=50,"D","F")))))))</f>
      </c>
      <c r="N20" s="42">
        <v>86</v>
      </c>
      <c r="O20" s="40">
        <f>IF(N20&gt;=91, 4.00, IF(N20&gt;=81, 3.50, IF(N20&gt;=70, 3.00, IF(N20&gt;=65, 2.50, IF(N20&gt;=60, 2.00, IF(N20&gt;=55, 1.50, IF(N20&gt;=50, 1.00, 0.00)))))))</f>
      </c>
      <c r="P20" s="40">
        <f>IF(N20&gt;=91,"A",IF(N20&gt;=81,"B+",IF(N20&gt;=70,"B",IF(N20&gt;=65,"C+",IF(N20&gt;=60,"C",IF(N20&gt;=55,"D+",IF(N20&gt;=50,"D","F")))))))</f>
      </c>
      <c r="Q20" s="42">
        <v>89</v>
      </c>
      <c r="R20" s="40">
        <f>IF(Q20&gt;=91, 4.00, IF(Q20&gt;=81, 3.50, IF(Q20&gt;=70, 3.00, IF(Q20&gt;=65, 2.50, IF(Q20&gt;=60, 2.00, IF(Q20&gt;=55, 1.50, IF(Q20&gt;=50, 1.00, 0.00)))))))</f>
      </c>
      <c r="S20" s="40">
        <f>IF(Q20&gt;=91,"A",IF(Q20&gt;=81,"B+",IF(Q20&gt;=70,"B",IF(Q20&gt;=65,"C+",IF(Q20&gt;=60,"C",IF(Q20&gt;=55,"D+",IF(Q20&gt;=50,"D","F")))))))</f>
      </c>
      <c r="T20" s="42">
        <v>92</v>
      </c>
      <c r="U20" s="40">
        <f>IF(T20&gt;=91, 4.00, IF(T20&gt;=81, 3.50, IF(T20&gt;=70, 3.00, IF(T20&gt;=65, 2.50, IF(T20&gt;=60, 2.00, IF(T20&gt;=55, 1.50, IF(T20&gt;=50, 1.00, 0.00)))))))</f>
      </c>
      <c r="V20" s="40">
        <f>IF(T20&gt;=91,"A",IF(T20&gt;=81,"B+",IF(T20&gt;=70,"B",IF(T20&gt;=65,"C+",IF(T20&gt;=60,"C",IF(T20&gt;=55,"D+",IF(T20&gt;=50,"D","F")))))))</f>
      </c>
      <c r="W20" s="42">
        <v>95</v>
      </c>
      <c r="X20" s="40">
        <f>IF(W20&gt;=91, 4.00, IF(W20&gt;=81, 3.50, IF(W20&gt;=70, 3.00, IF(W20&gt;=65, 2.50, IF(W20&gt;=60, 2.00, IF(W20&gt;=55, 1.50, IF(W20&gt;=50, 1.00, 0.00)))))))</f>
      </c>
      <c r="Y20" s="40">
        <f>IF(W20&gt;=91,"A",IF(W20&gt;=81,"B+",IF(W20&gt;=70,"B",IF(W20&gt;=65,"C+",IF(W20&gt;=60,"C",IF(W20&gt;=55,"D+",IF(W20&gt;=50,"D","F")))))))</f>
      </c>
      <c r="Z20" s="46">
        <v>77</v>
      </c>
      <c r="AA20" s="40">
        <f>IF(Z20&gt;=91, 4.00, IF(Z20&gt;=81, 3.50, IF(Z20&gt;=70, 3.00, IF(Z20&gt;=65, 2.50, IF(Z20&gt;=60, 2.00, IF(Z20&gt;=55, 1.50, IF(Z20&gt;=50, 1.00, 0.00)))))))</f>
      </c>
      <c r="AB20" s="40">
        <f>IF(Z20&gt;=91,"A",IF(Z20&gt;=81,"B+",IF(Z20&gt;=70,"B",IF(Z20&gt;=65,"C+",IF(Z20&gt;=60,"C",IF(Z20&gt;=55,"D+",IF(Z20&gt;=50,"D","F")))))))</f>
      </c>
      <c r="AC20" s="42">
        <v>80</v>
      </c>
      <c r="AD20" s="40">
        <f>IF(AC20&gt;=91, 4.00, IF(AC20&gt;=81, 3.50, IF(AC20&gt;=70, 3.00, IF(AC20&gt;=65, 2.50, IF(AC20&gt;=60, 2.00, IF(AC20&gt;=55, 1.50, IF(AC20&gt;=50, 1.00, 0.00)))))))</f>
      </c>
      <c r="AE20" s="40">
        <f>IF(AC20&gt;=91,"A",IF(AC20&gt;=81,"B+",IF(AC20&gt;=70,"B",IF(AC20&gt;=65,"C+",IF(AC20&gt;=60,"C",IF(AC20&gt;=55,"D+",IF(AC20&gt;=50,"D","F")))))))</f>
      </c>
      <c r="AF20" s="40">
        <v>83</v>
      </c>
      <c r="AG20" s="40">
        <f>IF(AF20&gt;=91, 4.00, IF(AF20&gt;=81, 3.50, IF(AF20&gt;=70, 3.00, IF(AF20&gt;=65, 2.50, IF(AF20&gt;=60, 2.00, IF(AF20&gt;=55, 1.50, IF(AF20&gt;=50, 1.00, 0.00)))))))</f>
      </c>
      <c r="AH20" s="40">
        <f>IF(AF20&gt;=91,"A",IF(AF20&gt;=81,"B+",IF(AF20&gt;=70,"B",IF(AF20&gt;=65,"C+",IF(AF20&gt;=60,"C",IF(AF20&gt;=55,"D+",IF(AF20&gt;=50,"D","F")))))))</f>
      </c>
      <c r="AI20" s="46">
        <v>86</v>
      </c>
      <c r="AJ20" s="40">
        <f>IF(AI20&gt;=91, 4.00, IF(AI20&gt;=81, 3.50, IF(AI20&gt;=70, 3.00, IF(AI20&gt;=65, 2.50, IF(AI20&gt;=60, 2.00, IF(AI20&gt;=55, 1.50, IF(AI20&gt;=50, 1.00, 0.00)))))))</f>
      </c>
      <c r="AK20" s="40">
        <f>IF(AI20&gt;=91,"A",IF(AI20&gt;=81,"B+",IF(AI20&gt;=70,"B",IF(AI20&gt;=65,"C+",IF(AI20&gt;=60,"C",IF(AI20&gt;=55,"D+",IF(AI20&gt;=50,"D","F")))))))</f>
      </c>
      <c r="AL20" s="42">
        <v>89</v>
      </c>
      <c r="AM20" s="40">
        <f>IF(AL20&gt;=91, 4.00, IF(AL20&gt;=81, 3.50, IF(AL20&gt;=70, 3.00, IF(AL20&gt;=65, 2.50, IF(AL20&gt;=60, 2.00, IF(AL20&gt;=55, 1.50, IF(AL20&gt;=50, 1.00, 0.00)))))))</f>
      </c>
      <c r="AN20" s="40">
        <f>IF(AL20&gt;=91,"A",IF(AL20&gt;=81,"B+",IF(AL20&gt;=70,"B",IF(AL20&gt;=65,"C+",IF(AL20&gt;=60,"C",IF(AL20&gt;=55,"D+",IF(AL20&gt;=50,"D","F")))))))</f>
      </c>
      <c r="AO20" s="40">
        <v>92</v>
      </c>
      <c r="AP20" s="40">
        <f>IF(AO20&gt;=91, 4.00, IF(AO20&gt;=81, 3.50, IF(AO20&gt;=70, 3.00, IF(AO20&gt;=65, 2.50, IF(AO20&gt;=60, 2.00, IF(AO20&gt;=55, 1.50, IF(AO20&gt;=50, 1.00, 0.00)))))))</f>
      </c>
      <c r="AQ20" s="40">
        <f>IF(AO20&gt;=91,"A",IF(AO20&gt;=81,"B+",IF(AO20&gt;=70,"B",IF(AO20&gt;=65,"C+",IF(AO20&gt;=60,"C",IF(AO20&gt;=55,"D+",IF(AO20&gt;=50,"D","F")))))))</f>
      </c>
      <c r="AR20" s="40">
        <f>ROUND((L20*3+O20*2+R20*1+U20*1+X20*1+AA20*2+AD20*2+AG20*2+AJ20*1+AM20*2+AP20*2)/19, 2)</f>
      </c>
      <c r="AS20" s="47">
        <v>75</v>
      </c>
      <c r="AT20" s="40">
        <f>IF(AS20&gt;=91, 4.00, IF(AS20&gt;=81, 3.50, IF(AS20&gt;=70, 3.00, IF(AS20&gt;=65, 2.50, IF(AS20&gt;=60, 2.00, IF(AS20&gt;=55, 1.50, IF(AS20&gt;=50, 1.00, 0.00)))))))</f>
      </c>
      <c r="AU20" s="40">
        <f>IF(AS20&gt;=91,"A",IF(AS20&gt;=81,"B+",IF(AS20&gt;=70,"B",IF(AS20&gt;=65,"C+",IF(AS20&gt;=60,"C",IF(AS20&gt;=55,"D+",IF(AS20&gt;=50,"D","F")))))))</f>
      </c>
      <c r="AV20" s="40" t="s">
        <v>43</v>
      </c>
      <c r="AW20" s="40">
        <f>IF(AV20&gt;=91, 4.00, IF(AV20&gt;=81, 3.50, IF(AV20&gt;=70, 3.00, IF(AV20&gt;=65, 2.50, IF(AV20&gt;=60, 2.00, IF(AV20&gt;=55, 1.50, IF(AV20&gt;=50, 1.00, 0.00)))))))</f>
      </c>
      <c r="AX20" s="40">
        <f>IF(AV20&gt;=91,"A",IF(AV20&gt;=81,"B+",IF(AV20&gt;=70,"B",IF(AV20&gt;=65,"C+",IF(AV20&gt;=60,"C",IF(AV20&gt;=55,"D+",IF(AV20&gt;=50,"D","F")))))))</f>
      </c>
      <c r="AY20" s="40" t="s">
        <v>290</v>
      </c>
      <c r="AZ20" s="40">
        <f>IF(AY20&gt;=91, 4.00, IF(AY20&gt;=81, 3.50, IF(AY20&gt;=70, 3.00, IF(AY20&gt;=65, 2.50, IF(AY20&gt;=60, 2.00, IF(AY20&gt;=55, 1.50, IF(AY20&gt;=50, 1.00, 0.00)))))))</f>
      </c>
      <c r="BA20" s="44">
        <f>IF(AY20&gt;=91,"A",IF(AY20&gt;=81,"B+",IF(AY20&gt;=70,"B",IF(AY20&gt;=65,"C+",IF(AY20&gt;=60,"C",IF(AY20&gt;=55,"D+",IF(AY20&gt;=50,"D","F")))))))</f>
      </c>
      <c r="BB20" s="112">
        <v>84</v>
      </c>
      <c r="BC20" s="48">
        <f>IF(BB20&gt;=91, 4.00, IF(BB20&gt;=81, 3.50, IF(BB20&gt;=70, 3.00, IF(BB20&gt;=65, 2.50, IF(BB20&gt;=60, 2.00, IF(BB20&gt;=55, 1.50, IF(BB20&gt;=50, 1.00, 0.00)))))))</f>
      </c>
      <c r="BD20" s="49">
        <f>IF(BB20&gt;=91,"A",IF(BB20&gt;=81,"B+",IF(BB20&gt;=70,"B",IF(BB20&gt;=65,"C+",IF(BB20&gt;=60,"C",IF(BB20&gt;=55,"D+",IF(BB20&gt;=50,"D","F")))))))</f>
      </c>
      <c r="BE20" s="40" t="str">
        <f>IF(BC20&gt;90,"A",IF(BC20&gt;80,"B+",IF(BC20&gt;69,"B",IF(BC20&gt;64,"C+",IF(BC20&gt;59,"C",IF(BC20&gt;54,"D+",IF(BC20&gt;49,"D",IF(BC20&gt;=0,"F"))))))))</f>
        <v>F</v>
      </c>
      <c r="BF20" s="48">
        <f>IF(BE20&gt;=91, 4.00, IF(BE20&gt;=81, 3.50, IF(BE20&gt;=70, 3.00, IF(BE20&gt;=65, 2.50, IF(BE20&gt;=60, 2.00, IF(BE20&gt;=55, 1.50, IF(BE20&gt;=50, 1.00, 0.00)))))))</f>
      </c>
      <c r="BG20" s="49">
        <f>IF(BE20&gt;=91,"A",IF(BE20&gt;=81,"B+",IF(BE20&gt;=70,"B",IF(BE20&gt;=65,"C+",IF(BE20&gt;=60,"C",IF(BE20&gt;=55,"D+",IF(BE20&gt;=50,"D","F")))))))</f>
      </c>
      <c r="BH20" s="40" t="str">
        <f>IF(BF20&gt;90,"A",IF(BF20&gt;80,"B+",IF(BF20&gt;69,"B",IF(BF20&gt;64,"C+",IF(BF20&gt;59,"C",IF(BF20&gt;54,"D+",IF(BF20&gt;49,"D",IF(BF20&gt;=0,"F"))))))))</f>
        <v>F</v>
      </c>
      <c r="BI20" s="43">
        <f>IF(BH20&gt;=91, 4.00, IF(BH20&gt;=81, 3.50, IF(BH20&gt;=70, 3.00, IF(BH20&gt;=65, 2.50, IF(BH20&gt;=60, 2.00, IF(BH20&gt;=55, 1.50, IF(BH20&gt;=50, 1.00, 0.00)))))))</f>
      </c>
      <c r="BJ20" s="49">
        <f>IF(BH20&gt;=91,"A",IF(BH20&gt;=81,"B+",IF(BH20&gt;=70,"B",IF(BH20&gt;=65,"C+",IF(BH20&gt;=60,"C",IF(BH20&gt;=55,"D+",IF(BH20&gt;=50,"D","F")))))))</f>
      </c>
      <c r="BK20" s="40" t="str">
        <f>IF(BI20&gt;90,"A",IF(BI20&gt;80,"B+",IF(BI20&gt;69,"B",IF(BI20&gt;64,"C+",IF(BI20&gt;59,"C",IF(BI20&gt;54,"D+",IF(BI20&gt;49,"D",IF(BI20&gt;=0,"F"))))))))</f>
        <v>F</v>
      </c>
      <c r="BL20" s="48">
        <f>IF(BK20&gt;=91, 4.00, IF(BK20&gt;=81, 3.50, IF(BK20&gt;=70, 3.00, IF(BK20&gt;=65, 2.50, IF(BK20&gt;=60, 2.00, IF(BK20&gt;=55, 1.50, IF(BK20&gt;=50, 1.00, 0.00)))))))</f>
      </c>
      <c r="BM20" s="49">
        <f>IF(BK20&gt;=91,"A",IF(BK20&gt;=81,"B+",IF(BK20&gt;=70,"B",IF(BK20&gt;=65,"C+",IF(BK20&gt;=60,"C",IF(BK20&gt;=55,"D+",IF(BK20&gt;=50,"D","F")))))))</f>
      </c>
      <c r="BN20" s="40" t="str">
        <f>IF(BL20&gt;90,"A",IF(BL20&gt;80,"B+",IF(BL20&gt;69,"B",IF(BL20&gt;64,"C+",IF(BL20&gt;59,"C",IF(BL20&gt;54,"D+",IF(BL20&gt;49,"D",IF(BL20&gt;=0,"F"))))))))</f>
        <v>F</v>
      </c>
      <c r="BO20" s="43">
        <f>IF(BN20&gt;=91, 4.00, IF(BN20&gt;=81, 3.50, IF(BN20&gt;=70, 3.00, IF(BN20&gt;=65, 2.50, IF(BN20&gt;=60, 2.00, IF(BN20&gt;=55, 1.50, IF(BN20&gt;=50, 1.00, 0.00)))))))</f>
      </c>
      <c r="BP20" s="49">
        <f>IF(BN20&gt;=91,"A",IF(BN20&gt;=81,"B+",IF(BN20&gt;=70,"B",IF(BN20&gt;=65,"C+",IF(BN20&gt;=60,"C",IF(BN20&gt;=55,"D+",IF(BN20&gt;=50,"D","F")))))))</f>
      </c>
      <c r="BQ20" s="40" t="str">
        <f>IF(BO20&gt;90,"A",IF(BO20&gt;80,"B+",IF(BO20&gt;69,"B",IF(BO20&gt;64,"C+",IF(BO20&gt;59,"C",IF(BO20&gt;54,"D+",IF(BO20&gt;49,"D",IF(BO20&gt;=0,"F"))))))))</f>
        <v>F</v>
      </c>
      <c r="BR20" s="43">
        <f>IF(BQ20&gt;=91, 4.00, IF(BQ20&gt;=81, 3.50, IF(BQ20&gt;=70, 3.00, IF(BQ20&gt;=65, 2.50, IF(BQ20&gt;=60, 2.00, IF(BQ20&gt;=55, 1.50, IF(BQ20&gt;=50, 1.00, 0.00)))))))</f>
      </c>
      <c r="BS20" s="49">
        <f>IF(BQ20&gt;=91,"A",IF(BQ20&gt;=81,"B+",IF(BQ20&gt;=70,"B",IF(BQ20&gt;=65,"C+",IF(BQ20&gt;=60,"C",IF(BQ20&gt;=55,"D+",IF(BQ20&gt;=50,"D","F")))))))</f>
      </c>
      <c r="BT20" s="40" t="str">
        <f>IF(BR20&gt;90,"A",IF(BR20&gt;80,"B+",IF(BR20&gt;69,"B",IF(BR20&gt;64,"C+",IF(BR20&gt;59,"C",IF(BR20&gt;54,"D+",IF(BR20&gt;49,"D",IF(BR20&gt;=0,"F"))))))))</f>
        <v>F</v>
      </c>
      <c r="BU20" s="49">
        <f>IF(BT20&gt;=91, 4.00, IF(BT20&gt;=81, 3.50, IF(BT20&gt;=70, 3.00, IF(BT20&gt;=65, 2.50, IF(BT20&gt;=60, 2.00, IF(BT20&gt;=55, 1.50, IF(BT20&gt;=50, 1.00, 0.00)))))))</f>
      </c>
      <c r="BV20" s="49">
        <f>IF(BT20&gt;=91,"A",IF(BT20&gt;=81,"B+",IF(BT20&gt;=70,"B",IF(BT20&gt;=65,"C+",IF(BT20&gt;=60,"C",IF(BT20&gt;=55,"D+",IF(BT20&gt;=50,"D","F")))))))</f>
      </c>
      <c r="BW20" s="40">
        <f>ROUND((AT20*3+AW20*2+AZ20*1+BC20*1+BF20*1+BI20*2+BL20*2+BO20*1+BR20*2+BU20*3)/18, 2)</f>
      </c>
      <c r="BX20" s="49"/>
      <c r="BY20" s="49" t="str">
        <f>IF(BX20&gt;90,"4.00",IF(BX20&gt;80,"3.50",IF(BX20&gt;69,"3.00",IF(BX20&gt;64,"2.50",IF(BX20&gt;59,"2.00",IF(BX20&gt;54,"1.50",IF(BX20&gt;49,"1.00","0.00")))))))</f>
        <v>0.00</v>
      </c>
      <c r="BZ20" s="40" t="str">
        <f>IF(BX20&gt;90,"A",IF(BX20&gt;80,"B+",IF(BX20&gt;69,"B",IF(BX20&gt;64,"C+",IF(BX20&gt;59,"C",IF(BX20&gt;54,"D+",IF(BX20&gt;49,"D",IF(BX20&gt;=0,"F"))))))))</f>
        <v>F</v>
      </c>
      <c r="CA20" s="49"/>
      <c r="CB20" s="49" t="str">
        <f>IF(CA20&gt;90,"4.00",IF(CA20&gt;80,"3.50",IF(CA20&gt;69,"3.00",IF(CA20&gt;64,"2.50",IF(CA20&gt;59,"2.00",IF(CA20&gt;54,"1.50",IF(CA20&gt;49,"1.00","0.00")))))))</f>
        <v>0.00</v>
      </c>
      <c r="CC20" s="40" t="str">
        <f>IF(CA20&gt;90,"A",IF(CA20&gt;80,"B+",IF(CA20&gt;69,"B",IF(CA20&gt;64,"C+",IF(CA20&gt;59,"C",IF(CA20&gt;54,"D+",IF(CA20&gt;49,"D",IF(CA20&gt;=0,"F"))))))))</f>
        <v>F</v>
      </c>
      <c r="CD20" s="49"/>
      <c r="CE20" s="49" t="str">
        <f>IF(CD20&gt;90,"4.00",IF(CD20&gt;80,"3.50",IF(CD20&gt;69,"3.00",IF(CD20&gt;64,"2.50",IF(CD20&gt;59,"2.00",IF(CD20&gt;54,"1.50",IF(CD20&gt;49,"1.00","0.00")))))))</f>
        <v>0.00</v>
      </c>
      <c r="CF20" s="40" t="str">
        <f>IF(CD20&gt;90,"A",IF(CD20&gt;80,"B+",IF(CD20&gt;69,"B",IF(CD20&gt;64,"C+",IF(CD20&gt;59,"C",IF(CD20&gt;54,"D+",IF(CD20&gt;49,"D",IF(CD20&gt;=0,"F"))))))))</f>
        <v>F</v>
      </c>
      <c r="CG20" s="50">
        <f>(BD20*3+BG20*1+BJ20*1+BM20*2+BP20*1+BS20*2+BV20*2+BY20*1+CB20*2+CE20*2)/(3+1+1+2+1+2+2+1+2+2)</f>
        <v>0</v>
      </c>
      <c r="CH20" s="50">
        <f>(AR20+CG20)/2</f>
        <v>0</v>
      </c>
      <c r="CI20" s="51">
        <f>RANK(CH20,$CH$7:CH49)</f>
        <v>1</v>
      </c>
      <c r="CJ20" s="58"/>
      <c r="CK20" s="52"/>
      <c r="CL20" s="52"/>
      <c r="CM20" s="52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  <c r="FN20" s="53"/>
      <c r="FO20" s="53"/>
      <c r="FP20" s="53"/>
      <c r="FQ20" s="53"/>
      <c r="FR20" s="53"/>
      <c r="FS20" s="53"/>
      <c r="FT20" s="53"/>
      <c r="FU20" s="53"/>
      <c r="FV20" s="53"/>
      <c r="FW20" s="53"/>
      <c r="FX20" s="53"/>
      <c r="FY20" s="53"/>
      <c r="FZ20" s="53"/>
      <c r="GA20" s="53"/>
      <c r="GB20" s="53"/>
      <c r="GC20" s="53"/>
      <c r="GD20" s="53"/>
      <c r="GE20" s="53"/>
      <c r="GF20" s="53"/>
      <c r="GG20" s="53"/>
      <c r="GH20" s="53"/>
      <c r="GI20" s="53"/>
      <c r="GJ20" s="53"/>
      <c r="GK20" s="53"/>
      <c r="GL20" s="53"/>
      <c r="GM20" s="53"/>
      <c r="GN20" s="53"/>
      <c r="GO20" s="53"/>
      <c r="GP20" s="53"/>
      <c r="GQ20" s="53"/>
      <c r="GR20" s="53"/>
      <c r="GS20" s="53"/>
      <c r="GT20" s="53"/>
    </row>
    <row r="21" ht="20" customHeight="1" spans="1:202" s="39" customFormat="1" x14ac:dyDescent="0.25">
      <c r="A21" s="40">
        <v>15</v>
      </c>
      <c r="B21" s="40" t="s">
        <v>74</v>
      </c>
      <c r="C21" s="40" t="s">
        <v>43</v>
      </c>
      <c r="D21" s="40" t="s">
        <v>130</v>
      </c>
      <c r="E21" s="40" t="s">
        <v>131</v>
      </c>
      <c r="F21" s="40" t="s">
        <v>291</v>
      </c>
      <c r="G21" s="40" t="s">
        <v>133</v>
      </c>
      <c r="H21" s="111"/>
      <c r="I21" s="112"/>
      <c r="J21" s="40">
        <v>1</v>
      </c>
      <c r="K21" s="42">
        <v>86</v>
      </c>
      <c r="L21" s="40">
        <f>IF(K21&gt;=91, 4.00, IF(K21&gt;=81, 3.50, IF(K21&gt;=70, 3.00, IF(K21&gt;=65, 2.50, IF(K21&gt;=60, 2.00, IF(K21&gt;=55, 1.50, IF(K21&gt;=50, 1.00, 0.00)))))))</f>
      </c>
      <c r="M21" s="40">
        <f>IF(K21&gt;=91,"A",IF(K21&gt;=81,"B+",IF(K21&gt;=70,"B",IF(K21&gt;=65,"C+",IF(K21&gt;=60,"C",IF(K21&gt;=55,"D+",IF(K21&gt;=50,"D","F")))))))</f>
      </c>
      <c r="N21" s="42">
        <v>89</v>
      </c>
      <c r="O21" s="40">
        <f>IF(N21&gt;=91, 4.00, IF(N21&gt;=81, 3.50, IF(N21&gt;=70, 3.00, IF(N21&gt;=65, 2.50, IF(N21&gt;=60, 2.00, IF(N21&gt;=55, 1.50, IF(N21&gt;=50, 1.00, 0.00)))))))</f>
      </c>
      <c r="P21" s="40">
        <f>IF(N21&gt;=91,"A",IF(N21&gt;=81,"B+",IF(N21&gt;=70,"B",IF(N21&gt;=65,"C+",IF(N21&gt;=60,"C",IF(N21&gt;=55,"D+",IF(N21&gt;=50,"D","F")))))))</f>
      </c>
      <c r="Q21" s="42">
        <v>92</v>
      </c>
      <c r="R21" s="40">
        <f>IF(Q21&gt;=91, 4.00, IF(Q21&gt;=81, 3.50, IF(Q21&gt;=70, 3.00, IF(Q21&gt;=65, 2.50, IF(Q21&gt;=60, 2.00, IF(Q21&gt;=55, 1.50, IF(Q21&gt;=50, 1.00, 0.00)))))))</f>
      </c>
      <c r="S21" s="40">
        <f>IF(Q21&gt;=91,"A",IF(Q21&gt;=81,"B+",IF(Q21&gt;=70,"B",IF(Q21&gt;=65,"C+",IF(Q21&gt;=60,"C",IF(Q21&gt;=55,"D+",IF(Q21&gt;=50,"D","F")))))))</f>
      </c>
      <c r="T21" s="42">
        <v>95</v>
      </c>
      <c r="U21" s="40">
        <f>IF(T21&gt;=91, 4.00, IF(T21&gt;=81, 3.50, IF(T21&gt;=70, 3.00, IF(T21&gt;=65, 2.50, IF(T21&gt;=60, 2.00, IF(T21&gt;=55, 1.50, IF(T21&gt;=50, 1.00, 0.00)))))))</f>
      </c>
      <c r="V21" s="40">
        <f>IF(T21&gt;=91,"A",IF(T21&gt;=81,"B+",IF(T21&gt;=70,"B",IF(T21&gt;=65,"C+",IF(T21&gt;=60,"C",IF(T21&gt;=55,"D+",IF(T21&gt;=50,"D","F")))))))</f>
      </c>
      <c r="W21" s="42">
        <v>77</v>
      </c>
      <c r="X21" s="40">
        <f>IF(W21&gt;=91, 4.00, IF(W21&gt;=81, 3.50, IF(W21&gt;=70, 3.00, IF(W21&gt;=65, 2.50, IF(W21&gt;=60, 2.00, IF(W21&gt;=55, 1.50, IF(W21&gt;=50, 1.00, 0.00)))))))</f>
      </c>
      <c r="Y21" s="40">
        <f>IF(W21&gt;=91,"A",IF(W21&gt;=81,"B+",IF(W21&gt;=70,"B",IF(W21&gt;=65,"C+",IF(W21&gt;=60,"C",IF(W21&gt;=55,"D+",IF(W21&gt;=50,"D","F")))))))</f>
      </c>
      <c r="Z21" s="46">
        <v>80</v>
      </c>
      <c r="AA21" s="40">
        <f>IF(Z21&gt;=91, 4.00, IF(Z21&gt;=81, 3.50, IF(Z21&gt;=70, 3.00, IF(Z21&gt;=65, 2.50, IF(Z21&gt;=60, 2.00, IF(Z21&gt;=55, 1.50, IF(Z21&gt;=50, 1.00, 0.00)))))))</f>
      </c>
      <c r="AB21" s="40">
        <f>IF(Z21&gt;=91,"A",IF(Z21&gt;=81,"B+",IF(Z21&gt;=70,"B",IF(Z21&gt;=65,"C+",IF(Z21&gt;=60,"C",IF(Z21&gt;=55,"D+",IF(Z21&gt;=50,"D","F")))))))</f>
      </c>
      <c r="AC21" s="42">
        <v>83</v>
      </c>
      <c r="AD21" s="40">
        <f>IF(AC21&gt;=91, 4.00, IF(AC21&gt;=81, 3.50, IF(AC21&gt;=70, 3.00, IF(AC21&gt;=65, 2.50, IF(AC21&gt;=60, 2.00, IF(AC21&gt;=55, 1.50, IF(AC21&gt;=50, 1.00, 0.00)))))))</f>
      </c>
      <c r="AE21" s="40">
        <f>IF(AC21&gt;=91,"A",IF(AC21&gt;=81,"B+",IF(AC21&gt;=70,"B",IF(AC21&gt;=65,"C+",IF(AC21&gt;=60,"C",IF(AC21&gt;=55,"D+",IF(AC21&gt;=50,"D","F")))))))</f>
      </c>
      <c r="AF21" s="40">
        <v>86</v>
      </c>
      <c r="AG21" s="40">
        <f>IF(AF21&gt;=91, 4.00, IF(AF21&gt;=81, 3.50, IF(AF21&gt;=70, 3.00, IF(AF21&gt;=65, 2.50, IF(AF21&gt;=60, 2.00, IF(AF21&gt;=55, 1.50, IF(AF21&gt;=50, 1.00, 0.00)))))))</f>
      </c>
      <c r="AH21" s="40">
        <f>IF(AF21&gt;=91,"A",IF(AF21&gt;=81,"B+",IF(AF21&gt;=70,"B",IF(AF21&gt;=65,"C+",IF(AF21&gt;=60,"C",IF(AF21&gt;=55,"D+",IF(AF21&gt;=50,"D","F")))))))</f>
      </c>
      <c r="AI21" s="46">
        <v>89</v>
      </c>
      <c r="AJ21" s="40">
        <f>IF(AI21&gt;=91, 4.00, IF(AI21&gt;=81, 3.50, IF(AI21&gt;=70, 3.00, IF(AI21&gt;=65, 2.50, IF(AI21&gt;=60, 2.00, IF(AI21&gt;=55, 1.50, IF(AI21&gt;=50, 1.00, 0.00)))))))</f>
      </c>
      <c r="AK21" s="40">
        <f>IF(AI21&gt;=91,"A",IF(AI21&gt;=81,"B+",IF(AI21&gt;=70,"B",IF(AI21&gt;=65,"C+",IF(AI21&gt;=60,"C",IF(AI21&gt;=55,"D+",IF(AI21&gt;=50,"D","F")))))))</f>
      </c>
      <c r="AL21" s="42">
        <v>92</v>
      </c>
      <c r="AM21" s="40">
        <f>IF(AL21&gt;=91, 4.00, IF(AL21&gt;=81, 3.50, IF(AL21&gt;=70, 3.00, IF(AL21&gt;=65, 2.50, IF(AL21&gt;=60, 2.00, IF(AL21&gt;=55, 1.50, IF(AL21&gt;=50, 1.00, 0.00)))))))</f>
      </c>
      <c r="AN21" s="40">
        <f>IF(AL21&gt;=91,"A",IF(AL21&gt;=81,"B+",IF(AL21&gt;=70,"B",IF(AL21&gt;=65,"C+",IF(AL21&gt;=60,"C",IF(AL21&gt;=55,"D+",IF(AL21&gt;=50,"D","F")))))))</f>
      </c>
      <c r="AO21" s="40">
        <v>95</v>
      </c>
      <c r="AP21" s="40">
        <f>IF(AO21&gt;=91, 4.00, IF(AO21&gt;=81, 3.50, IF(AO21&gt;=70, 3.00, IF(AO21&gt;=65, 2.50, IF(AO21&gt;=60, 2.00, IF(AO21&gt;=55, 1.50, IF(AO21&gt;=50, 1.00, 0.00)))))))</f>
      </c>
      <c r="AQ21" s="40">
        <f>IF(AO21&gt;=91,"A",IF(AO21&gt;=81,"B+",IF(AO21&gt;=70,"B",IF(AO21&gt;=65,"C+",IF(AO21&gt;=60,"C",IF(AO21&gt;=55,"D+",IF(AO21&gt;=50,"D","F")))))))</f>
      </c>
      <c r="AR21" s="40">
        <f>ROUND((L21*3+O21*2+R21*1+U21*1+X21*1+AA21*2+AD21*2+AG21*2+AJ21*1+AM21*2+AP21*2)/19, 2)</f>
      </c>
      <c r="AS21" s="47">
        <v>78</v>
      </c>
      <c r="AT21" s="40">
        <f>IF(AS21&gt;=91, 4.00, IF(AS21&gt;=81, 3.50, IF(AS21&gt;=70, 3.00, IF(AS21&gt;=65, 2.50, IF(AS21&gt;=60, 2.00, IF(AS21&gt;=55, 1.50, IF(AS21&gt;=50, 1.00, 0.00)))))))</f>
      </c>
      <c r="AU21" s="40">
        <f>IF(AS21&gt;=91,"A",IF(AS21&gt;=81,"B+",IF(AS21&gt;=70,"B",IF(AS21&gt;=65,"C+",IF(AS21&gt;=60,"C",IF(AS21&gt;=55,"D+",IF(AS21&gt;=50,"D","F")))))))</f>
      </c>
      <c r="AV21" s="40" t="s">
        <v>43</v>
      </c>
      <c r="AW21" s="40">
        <f>IF(AV21&gt;=91, 4.00, IF(AV21&gt;=81, 3.50, IF(AV21&gt;=70, 3.00, IF(AV21&gt;=65, 2.50, IF(AV21&gt;=60, 2.00, IF(AV21&gt;=55, 1.50, IF(AV21&gt;=50, 1.00, 0.00)))))))</f>
      </c>
      <c r="AX21" s="40">
        <f>IF(AV21&gt;=91,"A",IF(AV21&gt;=81,"B+",IF(AV21&gt;=70,"B",IF(AV21&gt;=65,"C+",IF(AV21&gt;=60,"C",IF(AV21&gt;=55,"D+",IF(AV21&gt;=50,"D","F")))))))</f>
      </c>
      <c r="AY21" s="40" t="s">
        <v>291</v>
      </c>
      <c r="AZ21" s="40">
        <f>IF(AY21&gt;=91, 4.00, IF(AY21&gt;=81, 3.50, IF(AY21&gt;=70, 3.00, IF(AY21&gt;=65, 2.50, IF(AY21&gt;=60, 2.00, IF(AY21&gt;=55, 1.50, IF(AY21&gt;=50, 1.00, 0.00)))))))</f>
      </c>
      <c r="BA21" s="111">
        <f>IF(AY21&gt;=91,"A",IF(AY21&gt;=81,"B+",IF(AY21&gt;=70,"B",IF(AY21&gt;=65,"C+",IF(AY21&gt;=60,"C",IF(AY21&gt;=55,"D+",IF(AY21&gt;=50,"D","F")))))))</f>
      </c>
      <c r="BB21" s="112">
        <v>87</v>
      </c>
      <c r="BC21" s="48">
        <f>IF(BB21&gt;=91, 4.00, IF(BB21&gt;=81, 3.50, IF(BB21&gt;=70, 3.00, IF(BB21&gt;=65, 2.50, IF(BB21&gt;=60, 2.00, IF(BB21&gt;=55, 1.50, IF(BB21&gt;=50, 1.00, 0.00)))))))</f>
      </c>
      <c r="BD21" s="49">
        <f>IF(BB21&gt;=91,"A",IF(BB21&gt;=81,"B+",IF(BB21&gt;=70,"B",IF(BB21&gt;=65,"C+",IF(BB21&gt;=60,"C",IF(BB21&gt;=55,"D+",IF(BB21&gt;=50,"D","F")))))))</f>
      </c>
      <c r="BE21" s="40" t="str">
        <f>IF(BC21&gt;90,"A",IF(BC21&gt;80,"B+",IF(BC21&gt;69,"B",IF(BC21&gt;64,"C+",IF(BC21&gt;59,"C",IF(BC21&gt;54,"D+",IF(BC21&gt;49,"D",IF(BC21&gt;=0,"F"))))))))</f>
        <v>F</v>
      </c>
      <c r="BF21" s="48">
        <f>IF(BE21&gt;=91, 4.00, IF(BE21&gt;=81, 3.50, IF(BE21&gt;=70, 3.00, IF(BE21&gt;=65, 2.50, IF(BE21&gt;=60, 2.00, IF(BE21&gt;=55, 1.50, IF(BE21&gt;=50, 1.00, 0.00)))))))</f>
      </c>
      <c r="BG21" s="49">
        <f>IF(BE21&gt;=91,"A",IF(BE21&gt;=81,"B+",IF(BE21&gt;=70,"B",IF(BE21&gt;=65,"C+",IF(BE21&gt;=60,"C",IF(BE21&gt;=55,"D+",IF(BE21&gt;=50,"D","F")))))))</f>
      </c>
      <c r="BH21" s="40" t="str">
        <f>IF(BF21&gt;90,"A",IF(BF21&gt;80,"B+",IF(BF21&gt;69,"B",IF(BF21&gt;64,"C+",IF(BF21&gt;59,"C",IF(BF21&gt;54,"D+",IF(BF21&gt;49,"D",IF(BF21&gt;=0,"F"))))))))</f>
        <v>F</v>
      </c>
      <c r="BI21" s="43">
        <f>IF(BH21&gt;=91, 4.00, IF(BH21&gt;=81, 3.50, IF(BH21&gt;=70, 3.00, IF(BH21&gt;=65, 2.50, IF(BH21&gt;=60, 2.00, IF(BH21&gt;=55, 1.50, IF(BH21&gt;=50, 1.00, 0.00)))))))</f>
      </c>
      <c r="BJ21" s="49">
        <f>IF(BH21&gt;=91,"A",IF(BH21&gt;=81,"B+",IF(BH21&gt;=70,"B",IF(BH21&gt;=65,"C+",IF(BH21&gt;=60,"C",IF(BH21&gt;=55,"D+",IF(BH21&gt;=50,"D","F")))))))</f>
      </c>
      <c r="BK21" s="40" t="str">
        <f>IF(BI21&gt;90,"A",IF(BI21&gt;80,"B+",IF(BI21&gt;69,"B",IF(BI21&gt;64,"C+",IF(BI21&gt;59,"C",IF(BI21&gt;54,"D+",IF(BI21&gt;49,"D",IF(BI21&gt;=0,"F"))))))))</f>
        <v>F</v>
      </c>
      <c r="BL21" s="48">
        <f>IF(BK21&gt;=91, 4.00, IF(BK21&gt;=81, 3.50, IF(BK21&gt;=70, 3.00, IF(BK21&gt;=65, 2.50, IF(BK21&gt;=60, 2.00, IF(BK21&gt;=55, 1.50, IF(BK21&gt;=50, 1.00, 0.00)))))))</f>
      </c>
      <c r="BM21" s="49">
        <f>IF(BK21&gt;=91,"A",IF(BK21&gt;=81,"B+",IF(BK21&gt;=70,"B",IF(BK21&gt;=65,"C+",IF(BK21&gt;=60,"C",IF(BK21&gt;=55,"D+",IF(BK21&gt;=50,"D","F")))))))</f>
      </c>
      <c r="BN21" s="40" t="str">
        <f>IF(BL21&gt;90,"A",IF(BL21&gt;80,"B+",IF(BL21&gt;69,"B",IF(BL21&gt;64,"C+",IF(BL21&gt;59,"C",IF(BL21&gt;54,"D+",IF(BL21&gt;49,"D",IF(BL21&gt;=0,"F"))))))))</f>
        <v>F</v>
      </c>
      <c r="BO21" s="43">
        <f>IF(BN21&gt;=91, 4.00, IF(BN21&gt;=81, 3.50, IF(BN21&gt;=70, 3.00, IF(BN21&gt;=65, 2.50, IF(BN21&gt;=60, 2.00, IF(BN21&gt;=55, 1.50, IF(BN21&gt;=50, 1.00, 0.00)))))))</f>
      </c>
      <c r="BP21" s="49">
        <f>IF(BN21&gt;=91,"A",IF(BN21&gt;=81,"B+",IF(BN21&gt;=70,"B",IF(BN21&gt;=65,"C+",IF(BN21&gt;=60,"C",IF(BN21&gt;=55,"D+",IF(BN21&gt;=50,"D","F")))))))</f>
      </c>
      <c r="BQ21" s="40" t="str">
        <f>IF(BO21&gt;90,"A",IF(BO21&gt;80,"B+",IF(BO21&gt;69,"B",IF(BO21&gt;64,"C+",IF(BO21&gt;59,"C",IF(BO21&gt;54,"D+",IF(BO21&gt;49,"D",IF(BO21&gt;=0,"F"))))))))</f>
        <v>F</v>
      </c>
      <c r="BR21" s="43">
        <f>IF(BQ21&gt;=91, 4.00, IF(BQ21&gt;=81, 3.50, IF(BQ21&gt;=70, 3.00, IF(BQ21&gt;=65, 2.50, IF(BQ21&gt;=60, 2.00, IF(BQ21&gt;=55, 1.50, IF(BQ21&gt;=50, 1.00, 0.00)))))))</f>
      </c>
      <c r="BS21" s="49">
        <f>IF(BQ21&gt;=91,"A",IF(BQ21&gt;=81,"B+",IF(BQ21&gt;=70,"B",IF(BQ21&gt;=65,"C+",IF(BQ21&gt;=60,"C",IF(BQ21&gt;=55,"D+",IF(BQ21&gt;=50,"D","F")))))))</f>
      </c>
      <c r="BT21" s="40" t="str">
        <f>IF(BR21&gt;90,"A",IF(BR21&gt;80,"B+",IF(BR21&gt;69,"B",IF(BR21&gt;64,"C+",IF(BR21&gt;59,"C",IF(BR21&gt;54,"D+",IF(BR21&gt;49,"D",IF(BR21&gt;=0,"F"))))))))</f>
        <v>F</v>
      </c>
      <c r="BU21" s="49">
        <f>IF(BT21&gt;=91, 4.00, IF(BT21&gt;=81, 3.50, IF(BT21&gt;=70, 3.00, IF(BT21&gt;=65, 2.50, IF(BT21&gt;=60, 2.00, IF(BT21&gt;=55, 1.50, IF(BT21&gt;=50, 1.00, 0.00)))))))</f>
      </c>
      <c r="BV21" s="49">
        <f>IF(BT21&gt;=91,"A",IF(BT21&gt;=81,"B+",IF(BT21&gt;=70,"B",IF(BT21&gt;=65,"C+",IF(BT21&gt;=60,"C",IF(BT21&gt;=55,"D+",IF(BT21&gt;=50,"D","F")))))))</f>
      </c>
      <c r="BW21" s="40">
        <f>ROUND((AT21*3+AW21*2+AZ21*1+BC21*1+BF21*1+BI21*2+BL21*2+BO21*1+BR21*2+BU21*3)/18, 2)</f>
      </c>
      <c r="BX21" s="49"/>
      <c r="BY21" s="49" t="str">
        <f>IF(BX21&gt;90,"4.00",IF(BX21&gt;80,"3.50",IF(BX21&gt;69,"3.00",IF(BX21&gt;64,"2.50",IF(BX21&gt;59,"2.00",IF(BX21&gt;54,"1.50",IF(BX21&gt;49,"1.00","0.00")))))))</f>
        <v>0.00</v>
      </c>
      <c r="BZ21" s="40" t="str">
        <f>IF(BX21&gt;90,"A",IF(BX21&gt;80,"B+",IF(BX21&gt;69,"B",IF(BX21&gt;64,"C+",IF(BX21&gt;59,"C",IF(BX21&gt;54,"D+",IF(BX21&gt;49,"D",IF(BX21&gt;=0,"F"))))))))</f>
        <v>F</v>
      </c>
      <c r="CA21" s="49"/>
      <c r="CB21" s="49" t="str">
        <f>IF(CA21&gt;90,"4.00",IF(CA21&gt;80,"3.50",IF(CA21&gt;69,"3.00",IF(CA21&gt;64,"2.50",IF(CA21&gt;59,"2.00",IF(CA21&gt;54,"1.50",IF(CA21&gt;49,"1.00","0.00")))))))</f>
        <v>0.00</v>
      </c>
      <c r="CC21" s="40" t="str">
        <f>IF(CA21&gt;90,"A",IF(CA21&gt;80,"B+",IF(CA21&gt;69,"B",IF(CA21&gt;64,"C+",IF(CA21&gt;59,"C",IF(CA21&gt;54,"D+",IF(CA21&gt;49,"D",IF(CA21&gt;=0,"F"))))))))</f>
        <v>F</v>
      </c>
      <c r="CD21" s="49"/>
      <c r="CE21" s="49" t="str">
        <f>IF(CD21&gt;90,"4.00",IF(CD21&gt;80,"3.50",IF(CD21&gt;69,"3.00",IF(CD21&gt;64,"2.50",IF(CD21&gt;59,"2.00",IF(CD21&gt;54,"1.50",IF(CD21&gt;49,"1.00","0.00")))))))</f>
        <v>0.00</v>
      </c>
      <c r="CF21" s="40" t="str">
        <f>IF(CD21&gt;90,"A",IF(CD21&gt;80,"B+",IF(CD21&gt;69,"B",IF(CD21&gt;64,"C+",IF(CD21&gt;59,"C",IF(CD21&gt;54,"D+",IF(CD21&gt;49,"D",IF(CD21&gt;=0,"F"))))))))</f>
        <v>F</v>
      </c>
      <c r="CG21" s="50">
        <f>(BD21*3+BG21*1+BJ21*1+BM21*2+BP21*1+BS21*2+BV21*2+BY21*1+CB21*2+CE21*2)/(3+1+1+2+1+2+2+1+2+2)</f>
        <v>0</v>
      </c>
      <c r="CH21" s="50">
        <f>(AR21+CG21)/2</f>
        <v>0</v>
      </c>
      <c r="CI21" s="51">
        <f>RANK(CH21,$CH$7:CH50)</f>
        <v>1</v>
      </c>
      <c r="CJ21" s="58"/>
      <c r="CK21" s="52"/>
      <c r="CL21" s="52"/>
      <c r="CM21" s="52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  <c r="FN21" s="53"/>
      <c r="FO21" s="53"/>
      <c r="FP21" s="53"/>
      <c r="FQ21" s="53"/>
      <c r="FR21" s="53"/>
      <c r="FS21" s="53"/>
      <c r="FT21" s="53"/>
      <c r="FU21" s="53"/>
      <c r="FV21" s="53"/>
      <c r="FW21" s="53"/>
      <c r="FX21" s="53"/>
      <c r="FY21" s="53"/>
      <c r="FZ21" s="53"/>
      <c r="GA21" s="53"/>
      <c r="GB21" s="53"/>
      <c r="GC21" s="53"/>
      <c r="GD21" s="53"/>
      <c r="GE21" s="53"/>
      <c r="GF21" s="53"/>
      <c r="GG21" s="53"/>
      <c r="GH21" s="53"/>
      <c r="GI21" s="53"/>
      <c r="GJ21" s="53"/>
      <c r="GK21" s="53"/>
      <c r="GL21" s="53"/>
      <c r="GM21" s="53"/>
      <c r="GN21" s="53"/>
      <c r="GO21" s="53"/>
      <c r="GP21" s="53"/>
      <c r="GQ21" s="53"/>
      <c r="GR21" s="53"/>
      <c r="GS21" s="53"/>
      <c r="GT21" s="53"/>
    </row>
    <row r="22" ht="20" customHeight="1" spans="1:91" s="53" customFormat="1" x14ac:dyDescent="0.25">
      <c r="A22" s="40">
        <v>16</v>
      </c>
      <c r="B22" s="40" t="s">
        <v>79</v>
      </c>
      <c r="C22" s="40" t="s">
        <v>43</v>
      </c>
      <c r="D22" s="40" t="s">
        <v>136</v>
      </c>
      <c r="E22" s="40" t="s">
        <v>137</v>
      </c>
      <c r="F22" s="40" t="s">
        <v>292</v>
      </c>
      <c r="G22" s="40" t="s">
        <v>139</v>
      </c>
      <c r="H22" s="111"/>
      <c r="I22" s="112"/>
      <c r="J22" s="40">
        <v>1</v>
      </c>
      <c r="K22" s="42">
        <v>89</v>
      </c>
      <c r="L22" s="40">
        <f>IF(K22&gt;=91, 4.00, IF(K22&gt;=81, 3.50, IF(K22&gt;=70, 3.00, IF(K22&gt;=65, 2.50, IF(K22&gt;=60, 2.00, IF(K22&gt;=55, 1.50, IF(K22&gt;=50, 1.00, 0.00)))))))</f>
      </c>
      <c r="M22" s="40">
        <f>IF(K22&gt;=91,"A",IF(K22&gt;=81,"B+",IF(K22&gt;=70,"B",IF(K22&gt;=65,"C+",IF(K22&gt;=60,"C",IF(K22&gt;=55,"D+",IF(K22&gt;=50,"D","F")))))))</f>
      </c>
      <c r="N22" s="42">
        <v>92</v>
      </c>
      <c r="O22" s="40">
        <f>IF(N22&gt;=91, 4.00, IF(N22&gt;=81, 3.50, IF(N22&gt;=70, 3.00, IF(N22&gt;=65, 2.50, IF(N22&gt;=60, 2.00, IF(N22&gt;=55, 1.50, IF(N22&gt;=50, 1.00, 0.00)))))))</f>
      </c>
      <c r="P22" s="40">
        <f>IF(N22&gt;=91,"A",IF(N22&gt;=81,"B+",IF(N22&gt;=70,"B",IF(N22&gt;=65,"C+",IF(N22&gt;=60,"C",IF(N22&gt;=55,"D+",IF(N22&gt;=50,"D","F")))))))</f>
      </c>
      <c r="Q22" s="42">
        <v>95</v>
      </c>
      <c r="R22" s="40">
        <f>IF(Q22&gt;=91, 4.00, IF(Q22&gt;=81, 3.50, IF(Q22&gt;=70, 3.00, IF(Q22&gt;=65, 2.50, IF(Q22&gt;=60, 2.00, IF(Q22&gt;=55, 1.50, IF(Q22&gt;=50, 1.00, 0.00)))))))</f>
      </c>
      <c r="S22" s="40">
        <f>IF(Q22&gt;=91,"A",IF(Q22&gt;=81,"B+",IF(Q22&gt;=70,"B",IF(Q22&gt;=65,"C+",IF(Q22&gt;=60,"C",IF(Q22&gt;=55,"D+",IF(Q22&gt;=50,"D","F")))))))</f>
      </c>
      <c r="T22" s="42">
        <v>77</v>
      </c>
      <c r="U22" s="40">
        <f>IF(T22&gt;=91, 4.00, IF(T22&gt;=81, 3.50, IF(T22&gt;=70, 3.00, IF(T22&gt;=65, 2.50, IF(T22&gt;=60, 2.00, IF(T22&gt;=55, 1.50, IF(T22&gt;=50, 1.00, 0.00)))))))</f>
      </c>
      <c r="V22" s="40">
        <f>IF(T22&gt;=91,"A",IF(T22&gt;=81,"B+",IF(T22&gt;=70,"B",IF(T22&gt;=65,"C+",IF(T22&gt;=60,"C",IF(T22&gt;=55,"D+",IF(T22&gt;=50,"D","F")))))))</f>
      </c>
      <c r="W22" s="42">
        <v>80</v>
      </c>
      <c r="X22" s="40">
        <f>IF(W22&gt;=91, 4.00, IF(W22&gt;=81, 3.50, IF(W22&gt;=70, 3.00, IF(W22&gt;=65, 2.50, IF(W22&gt;=60, 2.00, IF(W22&gt;=55, 1.50, IF(W22&gt;=50, 1.00, 0.00)))))))</f>
      </c>
      <c r="Y22" s="40">
        <f>IF(W22&gt;=91,"A",IF(W22&gt;=81,"B+",IF(W22&gt;=70,"B",IF(W22&gt;=65,"C+",IF(W22&gt;=60,"C",IF(W22&gt;=55,"D+",IF(W22&gt;=50,"D","F")))))))</f>
      </c>
      <c r="Z22" s="46">
        <v>83</v>
      </c>
      <c r="AA22" s="40">
        <f>IF(Z22&gt;=91, 4.00, IF(Z22&gt;=81, 3.50, IF(Z22&gt;=70, 3.00, IF(Z22&gt;=65, 2.50, IF(Z22&gt;=60, 2.00, IF(Z22&gt;=55, 1.50, IF(Z22&gt;=50, 1.00, 0.00)))))))</f>
      </c>
      <c r="AB22" s="40">
        <f>IF(Z22&gt;=91,"A",IF(Z22&gt;=81,"B+",IF(Z22&gt;=70,"B",IF(Z22&gt;=65,"C+",IF(Z22&gt;=60,"C",IF(Z22&gt;=55,"D+",IF(Z22&gt;=50,"D","F")))))))</f>
      </c>
      <c r="AC22" s="42">
        <v>86</v>
      </c>
      <c r="AD22" s="40">
        <f>IF(AC22&gt;=91, 4.00, IF(AC22&gt;=81, 3.50, IF(AC22&gt;=70, 3.00, IF(AC22&gt;=65, 2.50, IF(AC22&gt;=60, 2.00, IF(AC22&gt;=55, 1.50, IF(AC22&gt;=50, 1.00, 0.00)))))))</f>
      </c>
      <c r="AE22" s="40">
        <f>IF(AC22&gt;=91,"A",IF(AC22&gt;=81,"B+",IF(AC22&gt;=70,"B",IF(AC22&gt;=65,"C+",IF(AC22&gt;=60,"C",IF(AC22&gt;=55,"D+",IF(AC22&gt;=50,"D","F")))))))</f>
      </c>
      <c r="AF22" s="40">
        <v>89</v>
      </c>
      <c r="AG22" s="40">
        <f>IF(AF22&gt;=91, 4.00, IF(AF22&gt;=81, 3.50, IF(AF22&gt;=70, 3.00, IF(AF22&gt;=65, 2.50, IF(AF22&gt;=60, 2.00, IF(AF22&gt;=55, 1.50, IF(AF22&gt;=50, 1.00, 0.00)))))))</f>
      </c>
      <c r="AH22" s="40">
        <f>IF(AF22&gt;=91,"A",IF(AF22&gt;=81,"B+",IF(AF22&gt;=70,"B",IF(AF22&gt;=65,"C+",IF(AF22&gt;=60,"C",IF(AF22&gt;=55,"D+",IF(AF22&gt;=50,"D","F")))))))</f>
      </c>
      <c r="AI22" s="46">
        <v>92</v>
      </c>
      <c r="AJ22" s="40">
        <f>IF(AI22&gt;=91, 4.00, IF(AI22&gt;=81, 3.50, IF(AI22&gt;=70, 3.00, IF(AI22&gt;=65, 2.50, IF(AI22&gt;=60, 2.00, IF(AI22&gt;=55, 1.50, IF(AI22&gt;=50, 1.00, 0.00)))))))</f>
      </c>
      <c r="AK22" s="40">
        <f>IF(AI22&gt;=91,"A",IF(AI22&gt;=81,"B+",IF(AI22&gt;=70,"B",IF(AI22&gt;=65,"C+",IF(AI22&gt;=60,"C",IF(AI22&gt;=55,"D+",IF(AI22&gt;=50,"D","F")))))))</f>
      </c>
      <c r="AL22" s="42">
        <v>95</v>
      </c>
      <c r="AM22" s="40">
        <f>IF(AL22&gt;=91, 4.00, IF(AL22&gt;=81, 3.50, IF(AL22&gt;=70, 3.00, IF(AL22&gt;=65, 2.50, IF(AL22&gt;=60, 2.00, IF(AL22&gt;=55, 1.50, IF(AL22&gt;=50, 1.00, 0.00)))))))</f>
      </c>
      <c r="AN22" s="40">
        <f>IF(AL22&gt;=91,"A",IF(AL22&gt;=81,"B+",IF(AL22&gt;=70,"B",IF(AL22&gt;=65,"C+",IF(AL22&gt;=60,"C",IF(AL22&gt;=55,"D+",IF(AL22&gt;=50,"D","F")))))))</f>
      </c>
      <c r="AO22" s="40">
        <v>77</v>
      </c>
      <c r="AP22" s="40">
        <f>IF(AO22&gt;=91, 4.00, IF(AO22&gt;=81, 3.50, IF(AO22&gt;=70, 3.00, IF(AO22&gt;=65, 2.50, IF(AO22&gt;=60, 2.00, IF(AO22&gt;=55, 1.50, IF(AO22&gt;=50, 1.00, 0.00)))))))</f>
      </c>
      <c r="AQ22" s="40">
        <f>IF(AO22&gt;=91,"A",IF(AO22&gt;=81,"B+",IF(AO22&gt;=70,"B",IF(AO22&gt;=65,"C+",IF(AO22&gt;=60,"C",IF(AO22&gt;=55,"D+",IF(AO22&gt;=50,"D","F")))))))</f>
      </c>
      <c r="AR22" s="40">
        <f>ROUND((L22*3+O22*2+R22*1+U22*1+X22*1+AA22*2+AD22*2+AG22*2+AJ22*1+AM22*2+AP22*2)/19, 2)</f>
      </c>
      <c r="AS22" s="47">
        <v>81</v>
      </c>
      <c r="AT22" s="40">
        <f>IF(AS22&gt;=91, 4.00, IF(AS22&gt;=81, 3.50, IF(AS22&gt;=70, 3.00, IF(AS22&gt;=65, 2.50, IF(AS22&gt;=60, 2.00, IF(AS22&gt;=55, 1.50, IF(AS22&gt;=50, 1.00, 0.00)))))))</f>
      </c>
      <c r="AU22" s="40">
        <f>IF(AS22&gt;=91,"A",IF(AS22&gt;=81,"B+",IF(AS22&gt;=70,"B",IF(AS22&gt;=65,"C+",IF(AS22&gt;=60,"C",IF(AS22&gt;=55,"D+",IF(AS22&gt;=50,"D","F")))))))</f>
      </c>
      <c r="AV22" s="40" t="s">
        <v>43</v>
      </c>
      <c r="AW22" s="40">
        <f>IF(AV22&gt;=91, 4.00, IF(AV22&gt;=81, 3.50, IF(AV22&gt;=70, 3.00, IF(AV22&gt;=65, 2.50, IF(AV22&gt;=60, 2.00, IF(AV22&gt;=55, 1.50, IF(AV22&gt;=50, 1.00, 0.00)))))))</f>
      </c>
      <c r="AX22" s="40">
        <f>IF(AV22&gt;=91,"A",IF(AV22&gt;=81,"B+",IF(AV22&gt;=70,"B",IF(AV22&gt;=65,"C+",IF(AV22&gt;=60,"C",IF(AV22&gt;=55,"D+",IF(AV22&gt;=50,"D","F")))))))</f>
      </c>
      <c r="AY22" s="40" t="s">
        <v>292</v>
      </c>
      <c r="AZ22" s="40">
        <f>IF(AY22&gt;=91, 4.00, IF(AY22&gt;=81, 3.50, IF(AY22&gt;=70, 3.00, IF(AY22&gt;=65, 2.50, IF(AY22&gt;=60, 2.00, IF(AY22&gt;=55, 1.50, IF(AY22&gt;=50, 1.00, 0.00)))))))</f>
      </c>
      <c r="BA22" s="111">
        <f>IF(AY22&gt;=91,"A",IF(AY22&gt;=81,"B+",IF(AY22&gt;=70,"B",IF(AY22&gt;=65,"C+",IF(AY22&gt;=60,"C",IF(AY22&gt;=55,"D+",IF(AY22&gt;=50,"D","F")))))))</f>
      </c>
      <c r="BB22" s="112">
        <v>90</v>
      </c>
      <c r="BC22" s="48">
        <f>IF(BB22&gt;=91, 4.00, IF(BB22&gt;=81, 3.50, IF(BB22&gt;=70, 3.00, IF(BB22&gt;=65, 2.50, IF(BB22&gt;=60, 2.00, IF(BB22&gt;=55, 1.50, IF(BB22&gt;=50, 1.00, 0.00)))))))</f>
      </c>
      <c r="BD22" s="49">
        <f>IF(BB22&gt;=91,"A",IF(BB22&gt;=81,"B+",IF(BB22&gt;=70,"B",IF(BB22&gt;=65,"C+",IF(BB22&gt;=60,"C",IF(BB22&gt;=55,"D+",IF(BB22&gt;=50,"D","F")))))))</f>
      </c>
      <c r="BE22" s="40" t="str">
        <f>IF(BC22&gt;90,"A",IF(BC22&gt;80,"B+",IF(BC22&gt;69,"B",IF(BC22&gt;64,"C+",IF(BC22&gt;59,"C",IF(BC22&gt;54,"D+",IF(BC22&gt;49,"D",IF(BC22&gt;=0,"F"))))))))</f>
        <v>F</v>
      </c>
      <c r="BF22" s="48">
        <f>IF(BE22&gt;=91, 4.00, IF(BE22&gt;=81, 3.50, IF(BE22&gt;=70, 3.00, IF(BE22&gt;=65, 2.50, IF(BE22&gt;=60, 2.00, IF(BE22&gt;=55, 1.50, IF(BE22&gt;=50, 1.00, 0.00)))))))</f>
      </c>
      <c r="BG22" s="49">
        <f>IF(BE22&gt;=91,"A",IF(BE22&gt;=81,"B+",IF(BE22&gt;=70,"B",IF(BE22&gt;=65,"C+",IF(BE22&gt;=60,"C",IF(BE22&gt;=55,"D+",IF(BE22&gt;=50,"D","F")))))))</f>
      </c>
      <c r="BH22" s="40" t="str">
        <f>IF(BF22&gt;90,"A",IF(BF22&gt;80,"B+",IF(BF22&gt;69,"B",IF(BF22&gt;64,"C+",IF(BF22&gt;59,"C",IF(BF22&gt;54,"D+",IF(BF22&gt;49,"D",IF(BF22&gt;=0,"F"))))))))</f>
        <v>F</v>
      </c>
      <c r="BI22" s="43">
        <f>IF(BH22&gt;=91, 4.00, IF(BH22&gt;=81, 3.50, IF(BH22&gt;=70, 3.00, IF(BH22&gt;=65, 2.50, IF(BH22&gt;=60, 2.00, IF(BH22&gt;=55, 1.50, IF(BH22&gt;=50, 1.00, 0.00)))))))</f>
      </c>
      <c r="BJ22" s="49">
        <f>IF(BH22&gt;=91,"A",IF(BH22&gt;=81,"B+",IF(BH22&gt;=70,"B",IF(BH22&gt;=65,"C+",IF(BH22&gt;=60,"C",IF(BH22&gt;=55,"D+",IF(BH22&gt;=50,"D","F")))))))</f>
      </c>
      <c r="BK22" s="40" t="str">
        <f>IF(BI22&gt;90,"A",IF(BI22&gt;80,"B+",IF(BI22&gt;69,"B",IF(BI22&gt;64,"C+",IF(BI22&gt;59,"C",IF(BI22&gt;54,"D+",IF(BI22&gt;49,"D",IF(BI22&gt;=0,"F"))))))))</f>
        <v>F</v>
      </c>
      <c r="BL22" s="48">
        <f>IF(BK22&gt;=91, 4.00, IF(BK22&gt;=81, 3.50, IF(BK22&gt;=70, 3.00, IF(BK22&gt;=65, 2.50, IF(BK22&gt;=60, 2.00, IF(BK22&gt;=55, 1.50, IF(BK22&gt;=50, 1.00, 0.00)))))))</f>
      </c>
      <c r="BM22" s="49">
        <f>IF(BK22&gt;=91,"A",IF(BK22&gt;=81,"B+",IF(BK22&gt;=70,"B",IF(BK22&gt;=65,"C+",IF(BK22&gt;=60,"C",IF(BK22&gt;=55,"D+",IF(BK22&gt;=50,"D","F")))))))</f>
      </c>
      <c r="BN22" s="40" t="str">
        <f>IF(BL22&gt;90,"A",IF(BL22&gt;80,"B+",IF(BL22&gt;69,"B",IF(BL22&gt;64,"C+",IF(BL22&gt;59,"C",IF(BL22&gt;54,"D+",IF(BL22&gt;49,"D",IF(BL22&gt;=0,"F"))))))))</f>
        <v>F</v>
      </c>
      <c r="BO22" s="43">
        <f>IF(BN22&gt;=91, 4.00, IF(BN22&gt;=81, 3.50, IF(BN22&gt;=70, 3.00, IF(BN22&gt;=65, 2.50, IF(BN22&gt;=60, 2.00, IF(BN22&gt;=55, 1.50, IF(BN22&gt;=50, 1.00, 0.00)))))))</f>
      </c>
      <c r="BP22" s="49">
        <f>IF(BN22&gt;=91,"A",IF(BN22&gt;=81,"B+",IF(BN22&gt;=70,"B",IF(BN22&gt;=65,"C+",IF(BN22&gt;=60,"C",IF(BN22&gt;=55,"D+",IF(BN22&gt;=50,"D","F")))))))</f>
      </c>
      <c r="BQ22" s="40" t="str">
        <f>IF(BO22&gt;90,"A",IF(BO22&gt;80,"B+",IF(BO22&gt;69,"B",IF(BO22&gt;64,"C+",IF(BO22&gt;59,"C",IF(BO22&gt;54,"D+",IF(BO22&gt;49,"D",IF(BO22&gt;=0,"F"))))))))</f>
        <v>F</v>
      </c>
      <c r="BR22" s="43">
        <f>IF(BQ22&gt;=91, 4.00, IF(BQ22&gt;=81, 3.50, IF(BQ22&gt;=70, 3.00, IF(BQ22&gt;=65, 2.50, IF(BQ22&gt;=60, 2.00, IF(BQ22&gt;=55, 1.50, IF(BQ22&gt;=50, 1.00, 0.00)))))))</f>
      </c>
      <c r="BS22" s="49">
        <f>IF(BQ22&gt;=91,"A",IF(BQ22&gt;=81,"B+",IF(BQ22&gt;=70,"B",IF(BQ22&gt;=65,"C+",IF(BQ22&gt;=60,"C",IF(BQ22&gt;=55,"D+",IF(BQ22&gt;=50,"D","F")))))))</f>
      </c>
      <c r="BT22" s="40" t="str">
        <f>IF(BR22&gt;90,"A",IF(BR22&gt;80,"B+",IF(BR22&gt;69,"B",IF(BR22&gt;64,"C+",IF(BR22&gt;59,"C",IF(BR22&gt;54,"D+",IF(BR22&gt;49,"D",IF(BR22&gt;=0,"F"))))))))</f>
        <v>F</v>
      </c>
      <c r="BU22" s="49">
        <f>IF(BT22&gt;=91, 4.00, IF(BT22&gt;=81, 3.50, IF(BT22&gt;=70, 3.00, IF(BT22&gt;=65, 2.50, IF(BT22&gt;=60, 2.00, IF(BT22&gt;=55, 1.50, IF(BT22&gt;=50, 1.00, 0.00)))))))</f>
      </c>
      <c r="BV22" s="49">
        <f>IF(BT22&gt;=91,"A",IF(BT22&gt;=81,"B+",IF(BT22&gt;=70,"B",IF(BT22&gt;=65,"C+",IF(BT22&gt;=60,"C",IF(BT22&gt;=55,"D+",IF(BT22&gt;=50,"D","F")))))))</f>
      </c>
      <c r="BW22" s="40">
        <f>ROUND((AT22*3+AW22*2+AZ22*1+BC22*1+BF22*1+BI22*2+BL22*2+BO22*1+BR22*2+BU22*3)/18, 2)</f>
      </c>
      <c r="BX22" s="49"/>
      <c r="BY22" s="49" t="str">
        <f>IF(BX22&gt;90,"4.00",IF(BX22&gt;80,"3.50",IF(BX22&gt;69,"3.00",IF(BX22&gt;64,"2.50",IF(BX22&gt;59,"2.00",IF(BX22&gt;54,"1.50",IF(BX22&gt;49,"1.00","0.00")))))))</f>
        <v>0.00</v>
      </c>
      <c r="BZ22" s="40" t="str">
        <f>IF(BX22&gt;90,"A",IF(BX22&gt;80,"B+",IF(BX22&gt;69,"B",IF(BX22&gt;64,"C+",IF(BX22&gt;59,"C",IF(BX22&gt;54,"D+",IF(BX22&gt;49,"D",IF(BX22&gt;=0,"F"))))))))</f>
        <v>F</v>
      </c>
      <c r="CA22" s="49"/>
      <c r="CB22" s="49" t="str">
        <f>IF(CA22&gt;90,"4.00",IF(CA22&gt;80,"3.50",IF(CA22&gt;69,"3.00",IF(CA22&gt;64,"2.50",IF(CA22&gt;59,"2.00",IF(CA22&gt;54,"1.50",IF(CA22&gt;49,"1.00","0.00")))))))</f>
        <v>0.00</v>
      </c>
      <c r="CC22" s="40" t="str">
        <f>IF(CA22&gt;90,"A",IF(CA22&gt;80,"B+",IF(CA22&gt;69,"B",IF(CA22&gt;64,"C+",IF(CA22&gt;59,"C",IF(CA22&gt;54,"D+",IF(CA22&gt;49,"D",IF(CA22&gt;=0,"F"))))))))</f>
        <v>F</v>
      </c>
      <c r="CD22" s="49"/>
      <c r="CE22" s="49" t="str">
        <f>IF(CD22&gt;90,"4.00",IF(CD22&gt;80,"3.50",IF(CD22&gt;69,"3.00",IF(CD22&gt;64,"2.50",IF(CD22&gt;59,"2.00",IF(CD22&gt;54,"1.50",IF(CD22&gt;49,"1.00","0.00")))))))</f>
        <v>0.00</v>
      </c>
      <c r="CF22" s="40" t="str">
        <f>IF(CD22&gt;90,"A",IF(CD22&gt;80,"B+",IF(CD22&gt;69,"B",IF(CD22&gt;64,"C+",IF(CD22&gt;59,"C",IF(CD22&gt;54,"D+",IF(CD22&gt;49,"D",IF(CD22&gt;=0,"F"))))))))</f>
        <v>F</v>
      </c>
      <c r="CG22" s="50">
        <f>(BD22*3+BG22*1+BJ22*1+BM22*2+BP22*1+BS22*2+BV22*2+BY22*1+CB22*2+CE22*2)/(3+1+1+2+1+2+2+1+2+2)</f>
        <v>0</v>
      </c>
      <c r="CH22" s="50">
        <f>(AR22+CG22)/2</f>
        <v>0</v>
      </c>
      <c r="CI22" s="51">
        <f>RANK(CH22,$CH$7:CH51)</f>
        <v>1</v>
      </c>
      <c r="CJ22" s="113"/>
      <c r="CK22" s="52"/>
      <c r="CL22" s="52"/>
      <c r="CM22" s="52"/>
    </row>
    <row r="23" ht="20" customHeight="1" spans="1:202" s="39" customFormat="1" x14ac:dyDescent="0.25">
      <c r="A23" s="40">
        <v>17</v>
      </c>
      <c r="B23" s="40" t="s">
        <v>86</v>
      </c>
      <c r="C23" s="40" t="s">
        <v>43</v>
      </c>
      <c r="D23" s="40" t="s">
        <v>142</v>
      </c>
      <c r="E23" s="40" t="s">
        <v>143</v>
      </c>
      <c r="F23" s="40" t="s">
        <v>293</v>
      </c>
      <c r="G23" s="40" t="s">
        <v>145</v>
      </c>
      <c r="H23" s="44"/>
      <c r="I23" s="112"/>
      <c r="J23" s="40">
        <v>1</v>
      </c>
      <c r="K23" s="42">
        <v>92</v>
      </c>
      <c r="L23" s="40">
        <f>IF(K23&gt;=91, 4.00, IF(K23&gt;=81, 3.50, IF(K23&gt;=70, 3.00, IF(K23&gt;=65, 2.50, IF(K23&gt;=60, 2.00, IF(K23&gt;=55, 1.50, IF(K23&gt;=50, 1.00, 0.00)))))))</f>
      </c>
      <c r="M23" s="40">
        <f>IF(K23&gt;=91,"A",IF(K23&gt;=81,"B+",IF(K23&gt;=70,"B",IF(K23&gt;=65,"C+",IF(K23&gt;=60,"C",IF(K23&gt;=55,"D+",IF(K23&gt;=50,"D","F")))))))</f>
      </c>
      <c r="N23" s="42">
        <v>95</v>
      </c>
      <c r="O23" s="40">
        <f>IF(N23&gt;=91, 4.00, IF(N23&gt;=81, 3.50, IF(N23&gt;=70, 3.00, IF(N23&gt;=65, 2.50, IF(N23&gt;=60, 2.00, IF(N23&gt;=55, 1.50, IF(N23&gt;=50, 1.00, 0.00)))))))</f>
      </c>
      <c r="P23" s="40">
        <f>IF(N23&gt;=91,"A",IF(N23&gt;=81,"B+",IF(N23&gt;=70,"B",IF(N23&gt;=65,"C+",IF(N23&gt;=60,"C",IF(N23&gt;=55,"D+",IF(N23&gt;=50,"D","F")))))))</f>
      </c>
      <c r="Q23" s="42">
        <v>77</v>
      </c>
      <c r="R23" s="40">
        <f>IF(Q23&gt;=91, 4.00, IF(Q23&gt;=81, 3.50, IF(Q23&gt;=70, 3.00, IF(Q23&gt;=65, 2.50, IF(Q23&gt;=60, 2.00, IF(Q23&gt;=55, 1.50, IF(Q23&gt;=50, 1.00, 0.00)))))))</f>
      </c>
      <c r="S23" s="40">
        <f>IF(Q23&gt;=91,"A",IF(Q23&gt;=81,"B+",IF(Q23&gt;=70,"B",IF(Q23&gt;=65,"C+",IF(Q23&gt;=60,"C",IF(Q23&gt;=55,"D+",IF(Q23&gt;=50,"D","F")))))))</f>
      </c>
      <c r="T23" s="42">
        <v>80</v>
      </c>
      <c r="U23" s="40">
        <f>IF(T23&gt;=91, 4.00, IF(T23&gt;=81, 3.50, IF(T23&gt;=70, 3.00, IF(T23&gt;=65, 2.50, IF(T23&gt;=60, 2.00, IF(T23&gt;=55, 1.50, IF(T23&gt;=50, 1.00, 0.00)))))))</f>
      </c>
      <c r="V23" s="40">
        <f>IF(T23&gt;=91,"A",IF(T23&gt;=81,"B+",IF(T23&gt;=70,"B",IF(T23&gt;=65,"C+",IF(T23&gt;=60,"C",IF(T23&gt;=55,"D+",IF(T23&gt;=50,"D","F")))))))</f>
      </c>
      <c r="W23" s="42">
        <v>83</v>
      </c>
      <c r="X23" s="40">
        <f>IF(W23&gt;=91, 4.00, IF(W23&gt;=81, 3.50, IF(W23&gt;=70, 3.00, IF(W23&gt;=65, 2.50, IF(W23&gt;=60, 2.00, IF(W23&gt;=55, 1.50, IF(W23&gt;=50, 1.00, 0.00)))))))</f>
      </c>
      <c r="Y23" s="40">
        <f>IF(W23&gt;=91,"A",IF(W23&gt;=81,"B+",IF(W23&gt;=70,"B",IF(W23&gt;=65,"C+",IF(W23&gt;=60,"C",IF(W23&gt;=55,"D+",IF(W23&gt;=50,"D","F")))))))</f>
      </c>
      <c r="Z23" s="46">
        <v>86</v>
      </c>
      <c r="AA23" s="40">
        <f>IF(Z23&gt;=91, 4.00, IF(Z23&gt;=81, 3.50, IF(Z23&gt;=70, 3.00, IF(Z23&gt;=65, 2.50, IF(Z23&gt;=60, 2.00, IF(Z23&gt;=55, 1.50, IF(Z23&gt;=50, 1.00, 0.00)))))))</f>
      </c>
      <c r="AB23" s="40">
        <f>IF(Z23&gt;=91,"A",IF(Z23&gt;=81,"B+",IF(Z23&gt;=70,"B",IF(Z23&gt;=65,"C+",IF(Z23&gt;=60,"C",IF(Z23&gt;=55,"D+",IF(Z23&gt;=50,"D","F")))))))</f>
      </c>
      <c r="AC23" s="42">
        <v>89</v>
      </c>
      <c r="AD23" s="40">
        <f>IF(AC23&gt;=91, 4.00, IF(AC23&gt;=81, 3.50, IF(AC23&gt;=70, 3.00, IF(AC23&gt;=65, 2.50, IF(AC23&gt;=60, 2.00, IF(AC23&gt;=55, 1.50, IF(AC23&gt;=50, 1.00, 0.00)))))))</f>
      </c>
      <c r="AE23" s="40">
        <f>IF(AC23&gt;=91,"A",IF(AC23&gt;=81,"B+",IF(AC23&gt;=70,"B",IF(AC23&gt;=65,"C+",IF(AC23&gt;=60,"C",IF(AC23&gt;=55,"D+",IF(AC23&gt;=50,"D","F")))))))</f>
      </c>
      <c r="AF23" s="40">
        <v>92</v>
      </c>
      <c r="AG23" s="40">
        <f>IF(AF23&gt;=91, 4.00, IF(AF23&gt;=81, 3.50, IF(AF23&gt;=70, 3.00, IF(AF23&gt;=65, 2.50, IF(AF23&gt;=60, 2.00, IF(AF23&gt;=55, 1.50, IF(AF23&gt;=50, 1.00, 0.00)))))))</f>
      </c>
      <c r="AH23" s="40">
        <f>IF(AF23&gt;=91,"A",IF(AF23&gt;=81,"B+",IF(AF23&gt;=70,"B",IF(AF23&gt;=65,"C+",IF(AF23&gt;=60,"C",IF(AF23&gt;=55,"D+",IF(AF23&gt;=50,"D","F")))))))</f>
      </c>
      <c r="AI23" s="46">
        <v>95</v>
      </c>
      <c r="AJ23" s="40">
        <f>IF(AI23&gt;=91, 4.00, IF(AI23&gt;=81, 3.50, IF(AI23&gt;=70, 3.00, IF(AI23&gt;=65, 2.50, IF(AI23&gt;=60, 2.00, IF(AI23&gt;=55, 1.50, IF(AI23&gt;=50, 1.00, 0.00)))))))</f>
      </c>
      <c r="AK23" s="40">
        <f>IF(AI23&gt;=91,"A",IF(AI23&gt;=81,"B+",IF(AI23&gt;=70,"B",IF(AI23&gt;=65,"C+",IF(AI23&gt;=60,"C",IF(AI23&gt;=55,"D+",IF(AI23&gt;=50,"D","F")))))))</f>
      </c>
      <c r="AL23" s="42">
        <v>77</v>
      </c>
      <c r="AM23" s="40">
        <f>IF(AL23&gt;=91, 4.00, IF(AL23&gt;=81, 3.50, IF(AL23&gt;=70, 3.00, IF(AL23&gt;=65, 2.50, IF(AL23&gt;=60, 2.00, IF(AL23&gt;=55, 1.50, IF(AL23&gt;=50, 1.00, 0.00)))))))</f>
      </c>
      <c r="AN23" s="40">
        <f>IF(AL23&gt;=91,"A",IF(AL23&gt;=81,"B+",IF(AL23&gt;=70,"B",IF(AL23&gt;=65,"C+",IF(AL23&gt;=60,"C",IF(AL23&gt;=55,"D+",IF(AL23&gt;=50,"D","F")))))))</f>
      </c>
      <c r="AO23" s="40">
        <v>80</v>
      </c>
      <c r="AP23" s="40">
        <f>IF(AO23&gt;=91, 4.00, IF(AO23&gt;=81, 3.50, IF(AO23&gt;=70, 3.00, IF(AO23&gt;=65, 2.50, IF(AO23&gt;=60, 2.00, IF(AO23&gt;=55, 1.50, IF(AO23&gt;=50, 1.00, 0.00)))))))</f>
      </c>
      <c r="AQ23" s="40">
        <f>IF(AO23&gt;=91,"A",IF(AO23&gt;=81,"B+",IF(AO23&gt;=70,"B",IF(AO23&gt;=65,"C+",IF(AO23&gt;=60,"C",IF(AO23&gt;=55,"D+",IF(AO23&gt;=50,"D","F")))))))</f>
      </c>
      <c r="AR23" s="40">
        <f>ROUND((L23*3+O23*2+R23*1+U23*1+X23*1+AA23*2+AD23*2+AG23*2+AJ23*1+AM23*2+AP23*2)/19, 2)</f>
      </c>
      <c r="AS23" s="47">
        <v>84</v>
      </c>
      <c r="AT23" s="40">
        <f>IF(AS23&gt;=91, 4.00, IF(AS23&gt;=81, 3.50, IF(AS23&gt;=70, 3.00, IF(AS23&gt;=65, 2.50, IF(AS23&gt;=60, 2.00, IF(AS23&gt;=55, 1.50, IF(AS23&gt;=50, 1.00, 0.00)))))))</f>
      </c>
      <c r="AU23" s="40">
        <f>IF(AS23&gt;=91,"A",IF(AS23&gt;=81,"B+",IF(AS23&gt;=70,"B",IF(AS23&gt;=65,"C+",IF(AS23&gt;=60,"C",IF(AS23&gt;=55,"D+",IF(AS23&gt;=50,"D","F")))))))</f>
      </c>
      <c r="AV23" s="40" t="s">
        <v>43</v>
      </c>
      <c r="AW23" s="40">
        <f>IF(AV23&gt;=91, 4.00, IF(AV23&gt;=81, 3.50, IF(AV23&gt;=70, 3.00, IF(AV23&gt;=65, 2.50, IF(AV23&gt;=60, 2.00, IF(AV23&gt;=55, 1.50, IF(AV23&gt;=50, 1.00, 0.00)))))))</f>
      </c>
      <c r="AX23" s="40">
        <f>IF(AV23&gt;=91,"A",IF(AV23&gt;=81,"B+",IF(AV23&gt;=70,"B",IF(AV23&gt;=65,"C+",IF(AV23&gt;=60,"C",IF(AV23&gt;=55,"D+",IF(AV23&gt;=50,"D","F")))))))</f>
      </c>
      <c r="AY23" s="40" t="s">
        <v>293</v>
      </c>
      <c r="AZ23" s="40">
        <f>IF(AY23&gt;=91, 4.00, IF(AY23&gt;=81, 3.50, IF(AY23&gt;=70, 3.00, IF(AY23&gt;=65, 2.50, IF(AY23&gt;=60, 2.00, IF(AY23&gt;=55, 1.50, IF(AY23&gt;=50, 1.00, 0.00)))))))</f>
      </c>
      <c r="BA23" s="44">
        <f>IF(AY23&gt;=91,"A",IF(AY23&gt;=81,"B+",IF(AY23&gt;=70,"B",IF(AY23&gt;=65,"C+",IF(AY23&gt;=60,"C",IF(AY23&gt;=55,"D+",IF(AY23&gt;=50,"D","F")))))))</f>
      </c>
      <c r="BB23" s="112">
        <v>93</v>
      </c>
      <c r="BC23" s="48">
        <f>IF(BB23&gt;=91, 4.00, IF(BB23&gt;=81, 3.50, IF(BB23&gt;=70, 3.00, IF(BB23&gt;=65, 2.50, IF(BB23&gt;=60, 2.00, IF(BB23&gt;=55, 1.50, IF(BB23&gt;=50, 1.00, 0.00)))))))</f>
      </c>
      <c r="BD23" s="49">
        <f>IF(BB23&gt;=91,"A",IF(BB23&gt;=81,"B+",IF(BB23&gt;=70,"B",IF(BB23&gt;=65,"C+",IF(BB23&gt;=60,"C",IF(BB23&gt;=55,"D+",IF(BB23&gt;=50,"D","F")))))))</f>
      </c>
      <c r="BE23" s="40" t="str">
        <f>IF(BC23&gt;90,"A",IF(BC23&gt;80,"B+",IF(BC23&gt;69,"B",IF(BC23&gt;64,"C+",IF(BC23&gt;59,"C",IF(BC23&gt;54,"D+",IF(BC23&gt;49,"D",IF(BC23&gt;=0,"F"))))))))</f>
        <v>F</v>
      </c>
      <c r="BF23" s="48">
        <f>IF(BE23&gt;=91, 4.00, IF(BE23&gt;=81, 3.50, IF(BE23&gt;=70, 3.00, IF(BE23&gt;=65, 2.50, IF(BE23&gt;=60, 2.00, IF(BE23&gt;=55, 1.50, IF(BE23&gt;=50, 1.00, 0.00)))))))</f>
      </c>
      <c r="BG23" s="49">
        <f>IF(BE23&gt;=91,"A",IF(BE23&gt;=81,"B+",IF(BE23&gt;=70,"B",IF(BE23&gt;=65,"C+",IF(BE23&gt;=60,"C",IF(BE23&gt;=55,"D+",IF(BE23&gt;=50,"D","F")))))))</f>
      </c>
      <c r="BH23" s="40" t="str">
        <f>IF(BF23&gt;90,"A",IF(BF23&gt;80,"B+",IF(BF23&gt;69,"B",IF(BF23&gt;64,"C+",IF(BF23&gt;59,"C",IF(BF23&gt;54,"D+",IF(BF23&gt;49,"D",IF(BF23&gt;=0,"F"))))))))</f>
        <v>F</v>
      </c>
      <c r="BI23" s="43">
        <f>IF(BH23&gt;=91, 4.00, IF(BH23&gt;=81, 3.50, IF(BH23&gt;=70, 3.00, IF(BH23&gt;=65, 2.50, IF(BH23&gt;=60, 2.00, IF(BH23&gt;=55, 1.50, IF(BH23&gt;=50, 1.00, 0.00)))))))</f>
      </c>
      <c r="BJ23" s="49">
        <f>IF(BH23&gt;=91,"A",IF(BH23&gt;=81,"B+",IF(BH23&gt;=70,"B",IF(BH23&gt;=65,"C+",IF(BH23&gt;=60,"C",IF(BH23&gt;=55,"D+",IF(BH23&gt;=50,"D","F")))))))</f>
      </c>
      <c r="BK23" s="40" t="str">
        <f>IF(BI23&gt;90,"A",IF(BI23&gt;80,"B+",IF(BI23&gt;69,"B",IF(BI23&gt;64,"C+",IF(BI23&gt;59,"C",IF(BI23&gt;54,"D+",IF(BI23&gt;49,"D",IF(BI23&gt;=0,"F"))))))))</f>
        <v>F</v>
      </c>
      <c r="BL23" s="48">
        <f>IF(BK23&gt;=91, 4.00, IF(BK23&gt;=81, 3.50, IF(BK23&gt;=70, 3.00, IF(BK23&gt;=65, 2.50, IF(BK23&gt;=60, 2.00, IF(BK23&gt;=55, 1.50, IF(BK23&gt;=50, 1.00, 0.00)))))))</f>
      </c>
      <c r="BM23" s="49">
        <f>IF(BK23&gt;=91,"A",IF(BK23&gt;=81,"B+",IF(BK23&gt;=70,"B",IF(BK23&gt;=65,"C+",IF(BK23&gt;=60,"C",IF(BK23&gt;=55,"D+",IF(BK23&gt;=50,"D","F")))))))</f>
      </c>
      <c r="BN23" s="40" t="str">
        <f>IF(BL23&gt;90,"A",IF(BL23&gt;80,"B+",IF(BL23&gt;69,"B",IF(BL23&gt;64,"C+",IF(BL23&gt;59,"C",IF(BL23&gt;54,"D+",IF(BL23&gt;49,"D",IF(BL23&gt;=0,"F"))))))))</f>
        <v>F</v>
      </c>
      <c r="BO23" s="43">
        <f>IF(BN23&gt;=91, 4.00, IF(BN23&gt;=81, 3.50, IF(BN23&gt;=70, 3.00, IF(BN23&gt;=65, 2.50, IF(BN23&gt;=60, 2.00, IF(BN23&gt;=55, 1.50, IF(BN23&gt;=50, 1.00, 0.00)))))))</f>
      </c>
      <c r="BP23" s="49">
        <f>IF(BN23&gt;=91,"A",IF(BN23&gt;=81,"B+",IF(BN23&gt;=70,"B",IF(BN23&gt;=65,"C+",IF(BN23&gt;=60,"C",IF(BN23&gt;=55,"D+",IF(BN23&gt;=50,"D","F")))))))</f>
      </c>
      <c r="BQ23" s="40" t="str">
        <f>IF(BO23&gt;90,"A",IF(BO23&gt;80,"B+",IF(BO23&gt;69,"B",IF(BO23&gt;64,"C+",IF(BO23&gt;59,"C",IF(BO23&gt;54,"D+",IF(BO23&gt;49,"D",IF(BO23&gt;=0,"F"))))))))</f>
        <v>F</v>
      </c>
      <c r="BR23" s="43">
        <f>IF(BQ23&gt;=91, 4.00, IF(BQ23&gt;=81, 3.50, IF(BQ23&gt;=70, 3.00, IF(BQ23&gt;=65, 2.50, IF(BQ23&gt;=60, 2.00, IF(BQ23&gt;=55, 1.50, IF(BQ23&gt;=50, 1.00, 0.00)))))))</f>
      </c>
      <c r="BS23" s="49">
        <f>IF(BQ23&gt;=91,"A",IF(BQ23&gt;=81,"B+",IF(BQ23&gt;=70,"B",IF(BQ23&gt;=65,"C+",IF(BQ23&gt;=60,"C",IF(BQ23&gt;=55,"D+",IF(BQ23&gt;=50,"D","F")))))))</f>
      </c>
      <c r="BT23" s="40" t="str">
        <f>IF(BR23&gt;90,"A",IF(BR23&gt;80,"B+",IF(BR23&gt;69,"B",IF(BR23&gt;64,"C+",IF(BR23&gt;59,"C",IF(BR23&gt;54,"D+",IF(BR23&gt;49,"D",IF(BR23&gt;=0,"F"))))))))</f>
        <v>F</v>
      </c>
      <c r="BU23" s="49">
        <f>IF(BT23&gt;=91, 4.00, IF(BT23&gt;=81, 3.50, IF(BT23&gt;=70, 3.00, IF(BT23&gt;=65, 2.50, IF(BT23&gt;=60, 2.00, IF(BT23&gt;=55, 1.50, IF(BT23&gt;=50, 1.00, 0.00)))))))</f>
      </c>
      <c r="BV23" s="49">
        <f>IF(BT23&gt;=91,"A",IF(BT23&gt;=81,"B+",IF(BT23&gt;=70,"B",IF(BT23&gt;=65,"C+",IF(BT23&gt;=60,"C",IF(BT23&gt;=55,"D+",IF(BT23&gt;=50,"D","F")))))))</f>
      </c>
      <c r="BW23" s="40">
        <f>ROUND((AT23*3+AW23*2+AZ23*1+BC23*1+BF23*1+BI23*2+BL23*2+BO23*1+BR23*2+BU23*3)/18, 2)</f>
      </c>
      <c r="BX23" s="49"/>
      <c r="BY23" s="49" t="str">
        <f>IF(BX23&gt;90,"4.00",IF(BX23&gt;80,"3.50",IF(BX23&gt;69,"3.00",IF(BX23&gt;64,"2.50",IF(BX23&gt;59,"2.00",IF(BX23&gt;54,"1.50",IF(BX23&gt;49,"1.00","0.00")))))))</f>
        <v>0.00</v>
      </c>
      <c r="BZ23" s="40" t="str">
        <f>IF(BX23&gt;90,"A",IF(BX23&gt;80,"B+",IF(BX23&gt;69,"B",IF(BX23&gt;64,"C+",IF(BX23&gt;59,"C",IF(BX23&gt;54,"D+",IF(BX23&gt;49,"D",IF(BX23&gt;=0,"F"))))))))</f>
        <v>F</v>
      </c>
      <c r="CA23" s="49"/>
      <c r="CB23" s="49" t="str">
        <f>IF(CA23&gt;90,"4.00",IF(CA23&gt;80,"3.50",IF(CA23&gt;69,"3.00",IF(CA23&gt;64,"2.50",IF(CA23&gt;59,"2.00",IF(CA23&gt;54,"1.50",IF(CA23&gt;49,"1.00","0.00")))))))</f>
        <v>0.00</v>
      </c>
      <c r="CC23" s="40" t="str">
        <f>IF(CA23&gt;90,"A",IF(CA23&gt;80,"B+",IF(CA23&gt;69,"B",IF(CA23&gt;64,"C+",IF(CA23&gt;59,"C",IF(CA23&gt;54,"D+",IF(CA23&gt;49,"D",IF(CA23&gt;=0,"F"))))))))</f>
        <v>F</v>
      </c>
      <c r="CD23" s="49"/>
      <c r="CE23" s="49" t="str">
        <f>IF(CD23&gt;90,"4.00",IF(CD23&gt;80,"3.50",IF(CD23&gt;69,"3.00",IF(CD23&gt;64,"2.50",IF(CD23&gt;59,"2.00",IF(CD23&gt;54,"1.50",IF(CD23&gt;49,"1.00","0.00")))))))</f>
        <v>0.00</v>
      </c>
      <c r="CF23" s="40" t="str">
        <f>IF(CD23&gt;90,"A",IF(CD23&gt;80,"B+",IF(CD23&gt;69,"B",IF(CD23&gt;64,"C+",IF(CD23&gt;59,"C",IF(CD23&gt;54,"D+",IF(CD23&gt;49,"D",IF(CD23&gt;=0,"F"))))))))</f>
        <v>F</v>
      </c>
      <c r="CG23" s="50">
        <f>(BD23*3+BG23*1+BJ23*1+BM23*2+BP23*1+BS23*2+BV23*2+BY23*1+CB23*2+CE23*2)/(3+1+1+2+1+2+2+1+2+2)</f>
        <v>0</v>
      </c>
      <c r="CH23" s="50">
        <f>(AR23+CG23)/2</f>
        <v>0</v>
      </c>
      <c r="CI23" s="51">
        <f>RANK(CH23,$CH$7:CH52)</f>
        <v>1</v>
      </c>
      <c r="CJ23" s="58"/>
      <c r="CK23" s="52"/>
      <c r="CL23" s="52"/>
      <c r="CM23" s="52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  <c r="FN23" s="53"/>
      <c r="FO23" s="53"/>
      <c r="FP23" s="53"/>
      <c r="FQ23" s="53"/>
      <c r="FR23" s="53"/>
      <c r="FS23" s="53"/>
      <c r="FT23" s="53"/>
      <c r="FU23" s="53"/>
      <c r="FV23" s="53"/>
      <c r="FW23" s="53"/>
      <c r="FX23" s="53"/>
      <c r="FY23" s="53"/>
      <c r="FZ23" s="53"/>
      <c r="GA23" s="53"/>
      <c r="GB23" s="53"/>
      <c r="GC23" s="53"/>
      <c r="GD23" s="53"/>
      <c r="GE23" s="53"/>
      <c r="GF23" s="53"/>
      <c r="GG23" s="53"/>
      <c r="GH23" s="53"/>
      <c r="GI23" s="53"/>
      <c r="GJ23" s="53"/>
      <c r="GK23" s="53"/>
      <c r="GL23" s="53"/>
      <c r="GM23" s="53"/>
      <c r="GN23" s="53"/>
      <c r="GO23" s="53"/>
      <c r="GP23" s="53"/>
      <c r="GQ23" s="53"/>
      <c r="GR23" s="53"/>
      <c r="GS23" s="53"/>
      <c r="GT23" s="53"/>
    </row>
    <row r="24" ht="20" customHeight="1" spans="1:91" s="53" customFormat="1" x14ac:dyDescent="0.25">
      <c r="A24" s="40">
        <v>18</v>
      </c>
      <c r="B24" s="40" t="s">
        <v>92</v>
      </c>
      <c r="C24" s="40" t="s">
        <v>51</v>
      </c>
      <c r="D24" s="40" t="s">
        <v>147</v>
      </c>
      <c r="E24" s="40" t="s">
        <v>148</v>
      </c>
      <c r="F24" s="40" t="s">
        <v>294</v>
      </c>
      <c r="G24" s="40" t="s">
        <v>150</v>
      </c>
      <c r="H24" s="44"/>
      <c r="I24" s="112"/>
      <c r="J24" s="40">
        <v>1</v>
      </c>
      <c r="K24" s="42">
        <v>95</v>
      </c>
      <c r="L24" s="40">
        <f>IF(K24&gt;=91, 4.00, IF(K24&gt;=81, 3.50, IF(K24&gt;=70, 3.00, IF(K24&gt;=65, 2.50, IF(K24&gt;=60, 2.00, IF(K24&gt;=55, 1.50, IF(K24&gt;=50, 1.00, 0.00)))))))</f>
      </c>
      <c r="M24" s="40">
        <f>IF(K24&gt;=91,"A",IF(K24&gt;=81,"B+",IF(K24&gt;=70,"B",IF(K24&gt;=65,"C+",IF(K24&gt;=60,"C",IF(K24&gt;=55,"D+",IF(K24&gt;=50,"D","F")))))))</f>
      </c>
      <c r="N24" s="42">
        <v>77</v>
      </c>
      <c r="O24" s="40">
        <f>IF(N24&gt;=91, 4.00, IF(N24&gt;=81, 3.50, IF(N24&gt;=70, 3.00, IF(N24&gt;=65, 2.50, IF(N24&gt;=60, 2.00, IF(N24&gt;=55, 1.50, IF(N24&gt;=50, 1.00, 0.00)))))))</f>
      </c>
      <c r="P24" s="40">
        <f>IF(N24&gt;=91,"A",IF(N24&gt;=81,"B+",IF(N24&gt;=70,"B",IF(N24&gt;=65,"C+",IF(N24&gt;=60,"C",IF(N24&gt;=55,"D+",IF(N24&gt;=50,"D","F")))))))</f>
      </c>
      <c r="Q24" s="42">
        <v>80</v>
      </c>
      <c r="R24" s="40">
        <f>IF(Q24&gt;=91, 4.00, IF(Q24&gt;=81, 3.50, IF(Q24&gt;=70, 3.00, IF(Q24&gt;=65, 2.50, IF(Q24&gt;=60, 2.00, IF(Q24&gt;=55, 1.50, IF(Q24&gt;=50, 1.00, 0.00)))))))</f>
      </c>
      <c r="S24" s="40">
        <f>IF(Q24&gt;=91,"A",IF(Q24&gt;=81,"B+",IF(Q24&gt;=70,"B",IF(Q24&gt;=65,"C+",IF(Q24&gt;=60,"C",IF(Q24&gt;=55,"D+",IF(Q24&gt;=50,"D","F")))))))</f>
      </c>
      <c r="T24" s="42">
        <v>83</v>
      </c>
      <c r="U24" s="40">
        <f>IF(T24&gt;=91, 4.00, IF(T24&gt;=81, 3.50, IF(T24&gt;=70, 3.00, IF(T24&gt;=65, 2.50, IF(T24&gt;=60, 2.00, IF(T24&gt;=55, 1.50, IF(T24&gt;=50, 1.00, 0.00)))))))</f>
      </c>
      <c r="V24" s="40">
        <f>IF(T24&gt;=91,"A",IF(T24&gt;=81,"B+",IF(T24&gt;=70,"B",IF(T24&gt;=65,"C+",IF(T24&gt;=60,"C",IF(T24&gt;=55,"D+",IF(T24&gt;=50,"D","F")))))))</f>
      </c>
      <c r="W24" s="42">
        <v>86</v>
      </c>
      <c r="X24" s="40">
        <f>IF(W24&gt;=91, 4.00, IF(W24&gt;=81, 3.50, IF(W24&gt;=70, 3.00, IF(W24&gt;=65, 2.50, IF(W24&gt;=60, 2.00, IF(W24&gt;=55, 1.50, IF(W24&gt;=50, 1.00, 0.00)))))))</f>
      </c>
      <c r="Y24" s="40">
        <f>IF(W24&gt;=91,"A",IF(W24&gt;=81,"B+",IF(W24&gt;=70,"B",IF(W24&gt;=65,"C+",IF(W24&gt;=60,"C",IF(W24&gt;=55,"D+",IF(W24&gt;=50,"D","F")))))))</f>
      </c>
      <c r="Z24" s="46">
        <v>89</v>
      </c>
      <c r="AA24" s="40">
        <f>IF(Z24&gt;=91, 4.00, IF(Z24&gt;=81, 3.50, IF(Z24&gt;=70, 3.00, IF(Z24&gt;=65, 2.50, IF(Z24&gt;=60, 2.00, IF(Z24&gt;=55, 1.50, IF(Z24&gt;=50, 1.00, 0.00)))))))</f>
      </c>
      <c r="AB24" s="40">
        <f>IF(Z24&gt;=91,"A",IF(Z24&gt;=81,"B+",IF(Z24&gt;=70,"B",IF(Z24&gt;=65,"C+",IF(Z24&gt;=60,"C",IF(Z24&gt;=55,"D+",IF(Z24&gt;=50,"D","F")))))))</f>
      </c>
      <c r="AC24" s="42">
        <v>92</v>
      </c>
      <c r="AD24" s="40">
        <f>IF(AC24&gt;=91, 4.00, IF(AC24&gt;=81, 3.50, IF(AC24&gt;=70, 3.00, IF(AC24&gt;=65, 2.50, IF(AC24&gt;=60, 2.00, IF(AC24&gt;=55, 1.50, IF(AC24&gt;=50, 1.00, 0.00)))))))</f>
      </c>
      <c r="AE24" s="40">
        <f>IF(AC24&gt;=91,"A",IF(AC24&gt;=81,"B+",IF(AC24&gt;=70,"B",IF(AC24&gt;=65,"C+",IF(AC24&gt;=60,"C",IF(AC24&gt;=55,"D+",IF(AC24&gt;=50,"D","F")))))))</f>
      </c>
      <c r="AF24" s="40">
        <v>95</v>
      </c>
      <c r="AG24" s="40">
        <f>IF(AF24&gt;=91, 4.00, IF(AF24&gt;=81, 3.50, IF(AF24&gt;=70, 3.00, IF(AF24&gt;=65, 2.50, IF(AF24&gt;=60, 2.00, IF(AF24&gt;=55, 1.50, IF(AF24&gt;=50, 1.00, 0.00)))))))</f>
      </c>
      <c r="AH24" s="40">
        <f>IF(AF24&gt;=91,"A",IF(AF24&gt;=81,"B+",IF(AF24&gt;=70,"B",IF(AF24&gt;=65,"C+",IF(AF24&gt;=60,"C",IF(AF24&gt;=55,"D+",IF(AF24&gt;=50,"D","F")))))))</f>
      </c>
      <c r="AI24" s="46">
        <v>77</v>
      </c>
      <c r="AJ24" s="40">
        <f>IF(AI24&gt;=91, 4.00, IF(AI24&gt;=81, 3.50, IF(AI24&gt;=70, 3.00, IF(AI24&gt;=65, 2.50, IF(AI24&gt;=60, 2.00, IF(AI24&gt;=55, 1.50, IF(AI24&gt;=50, 1.00, 0.00)))))))</f>
      </c>
      <c r="AK24" s="40">
        <f>IF(AI24&gt;=91,"A",IF(AI24&gt;=81,"B+",IF(AI24&gt;=70,"B",IF(AI24&gt;=65,"C+",IF(AI24&gt;=60,"C",IF(AI24&gt;=55,"D+",IF(AI24&gt;=50,"D","F")))))))</f>
      </c>
      <c r="AL24" s="42">
        <v>80</v>
      </c>
      <c r="AM24" s="40">
        <f>IF(AL24&gt;=91, 4.00, IF(AL24&gt;=81, 3.50, IF(AL24&gt;=70, 3.00, IF(AL24&gt;=65, 2.50, IF(AL24&gt;=60, 2.00, IF(AL24&gt;=55, 1.50, IF(AL24&gt;=50, 1.00, 0.00)))))))</f>
      </c>
      <c r="AN24" s="40">
        <f>IF(AL24&gt;=91,"A",IF(AL24&gt;=81,"B+",IF(AL24&gt;=70,"B",IF(AL24&gt;=65,"C+",IF(AL24&gt;=60,"C",IF(AL24&gt;=55,"D+",IF(AL24&gt;=50,"D","F")))))))</f>
      </c>
      <c r="AO24" s="40">
        <v>83</v>
      </c>
      <c r="AP24" s="40">
        <f>IF(AO24&gt;=91, 4.00, IF(AO24&gt;=81, 3.50, IF(AO24&gt;=70, 3.00, IF(AO24&gt;=65, 2.50, IF(AO24&gt;=60, 2.00, IF(AO24&gt;=55, 1.50, IF(AO24&gt;=50, 1.00, 0.00)))))))</f>
      </c>
      <c r="AQ24" s="40">
        <f>IF(AO24&gt;=91,"A",IF(AO24&gt;=81,"B+",IF(AO24&gt;=70,"B",IF(AO24&gt;=65,"C+",IF(AO24&gt;=60,"C",IF(AO24&gt;=55,"D+",IF(AO24&gt;=50,"D","F")))))))</f>
      </c>
      <c r="AR24" s="40">
        <f>ROUND((L24*3+O24*2+R24*1+U24*1+X24*1+AA24*2+AD24*2+AG24*2+AJ24*1+AM24*2+AP24*2)/19, 2)</f>
      </c>
      <c r="AS24" s="47">
        <v>87</v>
      </c>
      <c r="AT24" s="40">
        <f>IF(AS24&gt;=91, 4.00, IF(AS24&gt;=81, 3.50, IF(AS24&gt;=70, 3.00, IF(AS24&gt;=65, 2.50, IF(AS24&gt;=60, 2.00, IF(AS24&gt;=55, 1.50, IF(AS24&gt;=50, 1.00, 0.00)))))))</f>
      </c>
      <c r="AU24" s="40">
        <f>IF(AS24&gt;=91,"A",IF(AS24&gt;=81,"B+",IF(AS24&gt;=70,"B",IF(AS24&gt;=65,"C+",IF(AS24&gt;=60,"C",IF(AS24&gt;=55,"D+",IF(AS24&gt;=50,"D","F")))))))</f>
      </c>
      <c r="AV24" s="40" t="s">
        <v>51</v>
      </c>
      <c r="AW24" s="40">
        <f>IF(AV24&gt;=91, 4.00, IF(AV24&gt;=81, 3.50, IF(AV24&gt;=70, 3.00, IF(AV24&gt;=65, 2.50, IF(AV24&gt;=60, 2.00, IF(AV24&gt;=55, 1.50, IF(AV24&gt;=50, 1.00, 0.00)))))))</f>
      </c>
      <c r="AX24" s="40">
        <f>IF(AV24&gt;=91,"A",IF(AV24&gt;=81,"B+",IF(AV24&gt;=70,"B",IF(AV24&gt;=65,"C+",IF(AV24&gt;=60,"C",IF(AV24&gt;=55,"D+",IF(AV24&gt;=50,"D","F")))))))</f>
      </c>
      <c r="AY24" s="40" t="s">
        <v>294</v>
      </c>
      <c r="AZ24" s="40">
        <f>IF(AY24&gt;=91, 4.00, IF(AY24&gt;=81, 3.50, IF(AY24&gt;=70, 3.00, IF(AY24&gt;=65, 2.50, IF(AY24&gt;=60, 2.00, IF(AY24&gt;=55, 1.50, IF(AY24&gt;=50, 1.00, 0.00)))))))</f>
      </c>
      <c r="BA24" s="44">
        <f>IF(AY24&gt;=91,"A",IF(AY24&gt;=81,"B+",IF(AY24&gt;=70,"B",IF(AY24&gt;=65,"C+",IF(AY24&gt;=60,"C",IF(AY24&gt;=55,"D+",IF(AY24&gt;=50,"D","F")))))))</f>
      </c>
      <c r="BB24" s="112">
        <v>75</v>
      </c>
      <c r="BC24" s="48">
        <f>IF(BB24&gt;=91, 4.00, IF(BB24&gt;=81, 3.50, IF(BB24&gt;=70, 3.00, IF(BB24&gt;=65, 2.50, IF(BB24&gt;=60, 2.00, IF(BB24&gt;=55, 1.50, IF(BB24&gt;=50, 1.00, 0.00)))))))</f>
      </c>
      <c r="BD24" s="49">
        <f>IF(BB24&gt;=91,"A",IF(BB24&gt;=81,"B+",IF(BB24&gt;=70,"B",IF(BB24&gt;=65,"C+",IF(BB24&gt;=60,"C",IF(BB24&gt;=55,"D+",IF(BB24&gt;=50,"D","F")))))))</f>
      </c>
      <c r="BE24" s="40" t="str">
        <f>IF(BC24&gt;90,"A",IF(BC24&gt;80,"B+",IF(BC24&gt;69,"B",IF(BC24&gt;64,"C+",IF(BC24&gt;59,"C",IF(BC24&gt;54,"D+",IF(BC24&gt;49,"D",IF(BC24&gt;=0,"F"))))))))</f>
        <v>F</v>
      </c>
      <c r="BF24" s="48">
        <f>IF(BE24&gt;=91, 4.00, IF(BE24&gt;=81, 3.50, IF(BE24&gt;=70, 3.00, IF(BE24&gt;=65, 2.50, IF(BE24&gt;=60, 2.00, IF(BE24&gt;=55, 1.50, IF(BE24&gt;=50, 1.00, 0.00)))))))</f>
      </c>
      <c r="BG24" s="49">
        <f>IF(BE24&gt;=91,"A",IF(BE24&gt;=81,"B+",IF(BE24&gt;=70,"B",IF(BE24&gt;=65,"C+",IF(BE24&gt;=60,"C",IF(BE24&gt;=55,"D+",IF(BE24&gt;=50,"D","F")))))))</f>
      </c>
      <c r="BH24" s="40" t="str">
        <f>IF(BF24&gt;90,"A",IF(BF24&gt;80,"B+",IF(BF24&gt;69,"B",IF(BF24&gt;64,"C+",IF(BF24&gt;59,"C",IF(BF24&gt;54,"D+",IF(BF24&gt;49,"D",IF(BF24&gt;=0,"F"))))))))</f>
        <v>F</v>
      </c>
      <c r="BI24" s="43">
        <f>IF(BH24&gt;=91, 4.00, IF(BH24&gt;=81, 3.50, IF(BH24&gt;=70, 3.00, IF(BH24&gt;=65, 2.50, IF(BH24&gt;=60, 2.00, IF(BH24&gt;=55, 1.50, IF(BH24&gt;=50, 1.00, 0.00)))))))</f>
      </c>
      <c r="BJ24" s="49">
        <f>IF(BH24&gt;=91,"A",IF(BH24&gt;=81,"B+",IF(BH24&gt;=70,"B",IF(BH24&gt;=65,"C+",IF(BH24&gt;=60,"C",IF(BH24&gt;=55,"D+",IF(BH24&gt;=50,"D","F")))))))</f>
      </c>
      <c r="BK24" s="40" t="str">
        <f>IF(BI24&gt;90,"A",IF(BI24&gt;80,"B+",IF(BI24&gt;69,"B",IF(BI24&gt;64,"C+",IF(BI24&gt;59,"C",IF(BI24&gt;54,"D+",IF(BI24&gt;49,"D",IF(BI24&gt;=0,"F"))))))))</f>
        <v>F</v>
      </c>
      <c r="BL24" s="48">
        <f>IF(BK24&gt;=91, 4.00, IF(BK24&gt;=81, 3.50, IF(BK24&gt;=70, 3.00, IF(BK24&gt;=65, 2.50, IF(BK24&gt;=60, 2.00, IF(BK24&gt;=55, 1.50, IF(BK24&gt;=50, 1.00, 0.00)))))))</f>
      </c>
      <c r="BM24" s="49">
        <f>IF(BK24&gt;=91,"A",IF(BK24&gt;=81,"B+",IF(BK24&gt;=70,"B",IF(BK24&gt;=65,"C+",IF(BK24&gt;=60,"C",IF(BK24&gt;=55,"D+",IF(BK24&gt;=50,"D","F")))))))</f>
      </c>
      <c r="BN24" s="40" t="str">
        <f>IF(BL24&gt;90,"A",IF(BL24&gt;80,"B+",IF(BL24&gt;69,"B",IF(BL24&gt;64,"C+",IF(BL24&gt;59,"C",IF(BL24&gt;54,"D+",IF(BL24&gt;49,"D",IF(BL24&gt;=0,"F"))))))))</f>
        <v>F</v>
      </c>
      <c r="BO24" s="43">
        <f>IF(BN24&gt;=91, 4.00, IF(BN24&gt;=81, 3.50, IF(BN24&gt;=70, 3.00, IF(BN24&gt;=65, 2.50, IF(BN24&gt;=60, 2.00, IF(BN24&gt;=55, 1.50, IF(BN24&gt;=50, 1.00, 0.00)))))))</f>
      </c>
      <c r="BP24" s="49">
        <f>IF(BN24&gt;=91,"A",IF(BN24&gt;=81,"B+",IF(BN24&gt;=70,"B",IF(BN24&gt;=65,"C+",IF(BN24&gt;=60,"C",IF(BN24&gt;=55,"D+",IF(BN24&gt;=50,"D","F")))))))</f>
      </c>
      <c r="BQ24" s="40" t="str">
        <f>IF(BO24&gt;90,"A",IF(BO24&gt;80,"B+",IF(BO24&gt;69,"B",IF(BO24&gt;64,"C+",IF(BO24&gt;59,"C",IF(BO24&gt;54,"D+",IF(BO24&gt;49,"D",IF(BO24&gt;=0,"F"))))))))</f>
        <v>F</v>
      </c>
      <c r="BR24" s="43">
        <f>IF(BQ24&gt;=91, 4.00, IF(BQ24&gt;=81, 3.50, IF(BQ24&gt;=70, 3.00, IF(BQ24&gt;=65, 2.50, IF(BQ24&gt;=60, 2.00, IF(BQ24&gt;=55, 1.50, IF(BQ24&gt;=50, 1.00, 0.00)))))))</f>
      </c>
      <c r="BS24" s="49">
        <f>IF(BQ24&gt;=91,"A",IF(BQ24&gt;=81,"B+",IF(BQ24&gt;=70,"B",IF(BQ24&gt;=65,"C+",IF(BQ24&gt;=60,"C",IF(BQ24&gt;=55,"D+",IF(BQ24&gt;=50,"D","F")))))))</f>
      </c>
      <c r="BT24" s="40" t="str">
        <f>IF(BR24&gt;90,"A",IF(BR24&gt;80,"B+",IF(BR24&gt;69,"B",IF(BR24&gt;64,"C+",IF(BR24&gt;59,"C",IF(BR24&gt;54,"D+",IF(BR24&gt;49,"D",IF(BR24&gt;=0,"F"))))))))</f>
        <v>F</v>
      </c>
      <c r="BU24" s="49">
        <f>IF(BT24&gt;=91, 4.00, IF(BT24&gt;=81, 3.50, IF(BT24&gt;=70, 3.00, IF(BT24&gt;=65, 2.50, IF(BT24&gt;=60, 2.00, IF(BT24&gt;=55, 1.50, IF(BT24&gt;=50, 1.00, 0.00)))))))</f>
      </c>
      <c r="BV24" s="49">
        <f>IF(BT24&gt;=91,"A",IF(BT24&gt;=81,"B+",IF(BT24&gt;=70,"B",IF(BT24&gt;=65,"C+",IF(BT24&gt;=60,"C",IF(BT24&gt;=55,"D+",IF(BT24&gt;=50,"D","F")))))))</f>
      </c>
      <c r="BW24" s="40">
        <f>ROUND((AT24*3+AW24*2+AZ24*1+BC24*1+BF24*1+BI24*2+BL24*2+BO24*1+BR24*2+BU24*3)/18, 2)</f>
      </c>
      <c r="BX24" s="49"/>
      <c r="BY24" s="49" t="str">
        <f>IF(BX24&gt;90,"4.00",IF(BX24&gt;80,"3.50",IF(BX24&gt;69,"3.00",IF(BX24&gt;64,"2.50",IF(BX24&gt;59,"2.00",IF(BX24&gt;54,"1.50",IF(BX24&gt;49,"1.00","0.00")))))))</f>
        <v>0.00</v>
      </c>
      <c r="BZ24" s="40" t="str">
        <f>IF(BX24&gt;90,"A",IF(BX24&gt;80,"B+",IF(BX24&gt;69,"B",IF(BX24&gt;64,"C+",IF(BX24&gt;59,"C",IF(BX24&gt;54,"D+",IF(BX24&gt;49,"D",IF(BX24&gt;=0,"F"))))))))</f>
        <v>F</v>
      </c>
      <c r="CA24" s="49"/>
      <c r="CB24" s="49" t="str">
        <f>IF(CA24&gt;90,"4.00",IF(CA24&gt;80,"3.50",IF(CA24&gt;69,"3.00",IF(CA24&gt;64,"2.50",IF(CA24&gt;59,"2.00",IF(CA24&gt;54,"1.50",IF(CA24&gt;49,"1.00","0.00")))))))</f>
        <v>0.00</v>
      </c>
      <c r="CC24" s="40" t="str">
        <f>IF(CA24&gt;90,"A",IF(CA24&gt;80,"B+",IF(CA24&gt;69,"B",IF(CA24&gt;64,"C+",IF(CA24&gt;59,"C",IF(CA24&gt;54,"D+",IF(CA24&gt;49,"D",IF(CA24&gt;=0,"F"))))))))</f>
        <v>F</v>
      </c>
      <c r="CD24" s="49"/>
      <c r="CE24" s="49" t="str">
        <f>IF(CD24&gt;90,"4.00",IF(CD24&gt;80,"3.50",IF(CD24&gt;69,"3.00",IF(CD24&gt;64,"2.50",IF(CD24&gt;59,"2.00",IF(CD24&gt;54,"1.50",IF(CD24&gt;49,"1.00","0.00")))))))</f>
        <v>0.00</v>
      </c>
      <c r="CF24" s="40" t="str">
        <f>IF(CD24&gt;90,"A",IF(CD24&gt;80,"B+",IF(CD24&gt;69,"B",IF(CD24&gt;64,"C+",IF(CD24&gt;59,"C",IF(CD24&gt;54,"D+",IF(CD24&gt;49,"D",IF(CD24&gt;=0,"F"))))))))</f>
        <v>F</v>
      </c>
      <c r="CG24" s="50">
        <f>(BD24*3+BG24*1+BJ24*1+BM24*2+BP24*1+BS24*2+BV24*2+BY24*1+CB24*2+CE24*2)/(3+1+1+2+1+2+2+1+2+2)</f>
        <v>0</v>
      </c>
      <c r="CH24" s="50">
        <f>(AR24+CG24)/2</f>
        <v>0</v>
      </c>
      <c r="CI24" s="51">
        <f>RANK(CH24,$CH$7:CH53)</f>
        <v>1</v>
      </c>
      <c r="CJ24" s="114"/>
      <c r="CK24" s="52"/>
      <c r="CL24" s="52"/>
      <c r="CM24" s="52"/>
    </row>
    <row r="25" ht="20" customHeight="1" spans="1:202" s="39" customFormat="1" x14ac:dyDescent="0.25">
      <c r="A25" s="40">
        <v>19</v>
      </c>
      <c r="B25" s="40" t="s">
        <v>98</v>
      </c>
      <c r="C25" s="40" t="s">
        <v>51</v>
      </c>
      <c r="D25" s="40" t="s">
        <v>154</v>
      </c>
      <c r="E25" s="40" t="s">
        <v>155</v>
      </c>
      <c r="F25" s="40" t="s">
        <v>295</v>
      </c>
      <c r="G25" s="40" t="s">
        <v>296</v>
      </c>
      <c r="H25" s="44"/>
      <c r="I25" s="112"/>
      <c r="J25" s="40">
        <v>1</v>
      </c>
      <c r="K25" s="42">
        <v>77</v>
      </c>
      <c r="L25" s="40">
        <f>IF(K25&gt;=91, 4.00, IF(K25&gt;=81, 3.50, IF(K25&gt;=70, 3.00, IF(K25&gt;=65, 2.50, IF(K25&gt;=60, 2.00, IF(K25&gt;=55, 1.50, IF(K25&gt;=50, 1.00, 0.00)))))))</f>
      </c>
      <c r="M25" s="40">
        <f>IF(K25&gt;=91,"A",IF(K25&gt;=81,"B+",IF(K25&gt;=70,"B",IF(K25&gt;=65,"C+",IF(K25&gt;=60,"C",IF(K25&gt;=55,"D+",IF(K25&gt;=50,"D","F")))))))</f>
      </c>
      <c r="N25" s="42">
        <v>80</v>
      </c>
      <c r="O25" s="40">
        <f>IF(N25&gt;=91, 4.00, IF(N25&gt;=81, 3.50, IF(N25&gt;=70, 3.00, IF(N25&gt;=65, 2.50, IF(N25&gt;=60, 2.00, IF(N25&gt;=55, 1.50, IF(N25&gt;=50, 1.00, 0.00)))))))</f>
      </c>
      <c r="P25" s="40">
        <f>IF(N25&gt;=91,"A",IF(N25&gt;=81,"B+",IF(N25&gt;=70,"B",IF(N25&gt;=65,"C+",IF(N25&gt;=60,"C",IF(N25&gt;=55,"D+",IF(N25&gt;=50,"D","F")))))))</f>
      </c>
      <c r="Q25" s="42">
        <v>83</v>
      </c>
      <c r="R25" s="40">
        <f>IF(Q25&gt;=91, 4.00, IF(Q25&gt;=81, 3.50, IF(Q25&gt;=70, 3.00, IF(Q25&gt;=65, 2.50, IF(Q25&gt;=60, 2.00, IF(Q25&gt;=55, 1.50, IF(Q25&gt;=50, 1.00, 0.00)))))))</f>
      </c>
      <c r="S25" s="40">
        <f>IF(Q25&gt;=91,"A",IF(Q25&gt;=81,"B+",IF(Q25&gt;=70,"B",IF(Q25&gt;=65,"C+",IF(Q25&gt;=60,"C",IF(Q25&gt;=55,"D+",IF(Q25&gt;=50,"D","F")))))))</f>
      </c>
      <c r="T25" s="42">
        <v>86</v>
      </c>
      <c r="U25" s="40">
        <f>IF(T25&gt;=91, 4.00, IF(T25&gt;=81, 3.50, IF(T25&gt;=70, 3.00, IF(T25&gt;=65, 2.50, IF(T25&gt;=60, 2.00, IF(T25&gt;=55, 1.50, IF(T25&gt;=50, 1.00, 0.00)))))))</f>
      </c>
      <c r="V25" s="40">
        <f>IF(T25&gt;=91,"A",IF(T25&gt;=81,"B+",IF(T25&gt;=70,"B",IF(T25&gt;=65,"C+",IF(T25&gt;=60,"C",IF(T25&gt;=55,"D+",IF(T25&gt;=50,"D","F")))))))</f>
      </c>
      <c r="W25" s="42">
        <v>89</v>
      </c>
      <c r="X25" s="40">
        <f>IF(W25&gt;=91, 4.00, IF(W25&gt;=81, 3.50, IF(W25&gt;=70, 3.00, IF(W25&gt;=65, 2.50, IF(W25&gt;=60, 2.00, IF(W25&gt;=55, 1.50, IF(W25&gt;=50, 1.00, 0.00)))))))</f>
      </c>
      <c r="Y25" s="40">
        <f>IF(W25&gt;=91,"A",IF(W25&gt;=81,"B+",IF(W25&gt;=70,"B",IF(W25&gt;=65,"C+",IF(W25&gt;=60,"C",IF(W25&gt;=55,"D+",IF(W25&gt;=50,"D","F")))))))</f>
      </c>
      <c r="Z25" s="46">
        <v>92</v>
      </c>
      <c r="AA25" s="40">
        <f>IF(Z25&gt;=91, 4.00, IF(Z25&gt;=81, 3.50, IF(Z25&gt;=70, 3.00, IF(Z25&gt;=65, 2.50, IF(Z25&gt;=60, 2.00, IF(Z25&gt;=55, 1.50, IF(Z25&gt;=50, 1.00, 0.00)))))))</f>
      </c>
      <c r="AB25" s="40">
        <f>IF(Z25&gt;=91,"A",IF(Z25&gt;=81,"B+",IF(Z25&gt;=70,"B",IF(Z25&gt;=65,"C+",IF(Z25&gt;=60,"C",IF(Z25&gt;=55,"D+",IF(Z25&gt;=50,"D","F")))))))</f>
      </c>
      <c r="AC25" s="42">
        <v>95</v>
      </c>
      <c r="AD25" s="40">
        <f>IF(AC25&gt;=91, 4.00, IF(AC25&gt;=81, 3.50, IF(AC25&gt;=70, 3.00, IF(AC25&gt;=65, 2.50, IF(AC25&gt;=60, 2.00, IF(AC25&gt;=55, 1.50, IF(AC25&gt;=50, 1.00, 0.00)))))))</f>
      </c>
      <c r="AE25" s="40">
        <f>IF(AC25&gt;=91,"A",IF(AC25&gt;=81,"B+",IF(AC25&gt;=70,"B",IF(AC25&gt;=65,"C+",IF(AC25&gt;=60,"C",IF(AC25&gt;=55,"D+",IF(AC25&gt;=50,"D","F")))))))</f>
      </c>
      <c r="AF25" s="40">
        <v>77</v>
      </c>
      <c r="AG25" s="40">
        <f>IF(AF25&gt;=91, 4.00, IF(AF25&gt;=81, 3.50, IF(AF25&gt;=70, 3.00, IF(AF25&gt;=65, 2.50, IF(AF25&gt;=60, 2.00, IF(AF25&gt;=55, 1.50, IF(AF25&gt;=50, 1.00, 0.00)))))))</f>
      </c>
      <c r="AH25" s="40">
        <f>IF(AF25&gt;=91,"A",IF(AF25&gt;=81,"B+",IF(AF25&gt;=70,"B",IF(AF25&gt;=65,"C+",IF(AF25&gt;=60,"C",IF(AF25&gt;=55,"D+",IF(AF25&gt;=50,"D","F")))))))</f>
      </c>
      <c r="AI25" s="46">
        <v>80</v>
      </c>
      <c r="AJ25" s="40">
        <f>IF(AI25&gt;=91, 4.00, IF(AI25&gt;=81, 3.50, IF(AI25&gt;=70, 3.00, IF(AI25&gt;=65, 2.50, IF(AI25&gt;=60, 2.00, IF(AI25&gt;=55, 1.50, IF(AI25&gt;=50, 1.00, 0.00)))))))</f>
      </c>
      <c r="AK25" s="40">
        <f>IF(AI25&gt;=91,"A",IF(AI25&gt;=81,"B+",IF(AI25&gt;=70,"B",IF(AI25&gt;=65,"C+",IF(AI25&gt;=60,"C",IF(AI25&gt;=55,"D+",IF(AI25&gt;=50,"D","F")))))))</f>
      </c>
      <c r="AL25" s="42">
        <v>83</v>
      </c>
      <c r="AM25" s="40">
        <f>IF(AL25&gt;=91, 4.00, IF(AL25&gt;=81, 3.50, IF(AL25&gt;=70, 3.00, IF(AL25&gt;=65, 2.50, IF(AL25&gt;=60, 2.00, IF(AL25&gt;=55, 1.50, IF(AL25&gt;=50, 1.00, 0.00)))))))</f>
      </c>
      <c r="AN25" s="40">
        <f>IF(AL25&gt;=91,"A",IF(AL25&gt;=81,"B+",IF(AL25&gt;=70,"B",IF(AL25&gt;=65,"C+",IF(AL25&gt;=60,"C",IF(AL25&gt;=55,"D+",IF(AL25&gt;=50,"D","F")))))))</f>
      </c>
      <c r="AO25" s="40">
        <v>86</v>
      </c>
      <c r="AP25" s="40">
        <f>IF(AO25&gt;=91, 4.00, IF(AO25&gt;=81, 3.50, IF(AO25&gt;=70, 3.00, IF(AO25&gt;=65, 2.50, IF(AO25&gt;=60, 2.00, IF(AO25&gt;=55, 1.50, IF(AO25&gt;=50, 1.00, 0.00)))))))</f>
      </c>
      <c r="AQ25" s="40">
        <f>IF(AO25&gt;=91,"A",IF(AO25&gt;=81,"B+",IF(AO25&gt;=70,"B",IF(AO25&gt;=65,"C+",IF(AO25&gt;=60,"C",IF(AO25&gt;=55,"D+",IF(AO25&gt;=50,"D","F")))))))</f>
      </c>
      <c r="AR25" s="40">
        <f>ROUND((L25*3+O25*2+R25*1+U25*1+X25*1+AA25*2+AD25*2+AG25*2+AJ25*1+AM25*2+AP25*2)/19, 2)</f>
      </c>
      <c r="AS25" s="47">
        <v>90</v>
      </c>
      <c r="AT25" s="40">
        <f>IF(AS25&gt;=91, 4.00, IF(AS25&gt;=81, 3.50, IF(AS25&gt;=70, 3.00, IF(AS25&gt;=65, 2.50, IF(AS25&gt;=60, 2.00, IF(AS25&gt;=55, 1.50, IF(AS25&gt;=50, 1.00, 0.00)))))))</f>
      </c>
      <c r="AU25" s="40">
        <f>IF(AS25&gt;=91,"A",IF(AS25&gt;=81,"B+",IF(AS25&gt;=70,"B",IF(AS25&gt;=65,"C+",IF(AS25&gt;=60,"C",IF(AS25&gt;=55,"D+",IF(AS25&gt;=50,"D","F")))))))</f>
      </c>
      <c r="AV25" s="40" t="s">
        <v>51</v>
      </c>
      <c r="AW25" s="40">
        <f>IF(AV25&gt;=91, 4.00, IF(AV25&gt;=81, 3.50, IF(AV25&gt;=70, 3.00, IF(AV25&gt;=65, 2.50, IF(AV25&gt;=60, 2.00, IF(AV25&gt;=55, 1.50, IF(AV25&gt;=50, 1.00, 0.00)))))))</f>
      </c>
      <c r="AX25" s="40">
        <f>IF(AV25&gt;=91,"A",IF(AV25&gt;=81,"B+",IF(AV25&gt;=70,"B",IF(AV25&gt;=65,"C+",IF(AV25&gt;=60,"C",IF(AV25&gt;=55,"D+",IF(AV25&gt;=50,"D","F")))))))</f>
      </c>
      <c r="AY25" s="40" t="s">
        <v>295</v>
      </c>
      <c r="AZ25" s="40">
        <f>IF(AY25&gt;=91, 4.00, IF(AY25&gt;=81, 3.50, IF(AY25&gt;=70, 3.00, IF(AY25&gt;=65, 2.50, IF(AY25&gt;=60, 2.00, IF(AY25&gt;=55, 1.50, IF(AY25&gt;=50, 1.00, 0.00)))))))</f>
      </c>
      <c r="BA25" s="44">
        <f>IF(AY25&gt;=91,"A",IF(AY25&gt;=81,"B+",IF(AY25&gt;=70,"B",IF(AY25&gt;=65,"C+",IF(AY25&gt;=60,"C",IF(AY25&gt;=55,"D+",IF(AY25&gt;=50,"D","F")))))))</f>
      </c>
      <c r="BB25" s="112">
        <v>78</v>
      </c>
      <c r="BC25" s="48">
        <f>IF(BB25&gt;=91, 4.00, IF(BB25&gt;=81, 3.50, IF(BB25&gt;=70, 3.00, IF(BB25&gt;=65, 2.50, IF(BB25&gt;=60, 2.00, IF(BB25&gt;=55, 1.50, IF(BB25&gt;=50, 1.00, 0.00)))))))</f>
      </c>
      <c r="BD25" s="49">
        <f>IF(BB25&gt;=91,"A",IF(BB25&gt;=81,"B+",IF(BB25&gt;=70,"B",IF(BB25&gt;=65,"C+",IF(BB25&gt;=60,"C",IF(BB25&gt;=55,"D+",IF(BB25&gt;=50,"D","F")))))))</f>
      </c>
      <c r="BE25" s="40" t="str">
        <f>IF(BC25&gt;90,"A",IF(BC25&gt;80,"B+",IF(BC25&gt;69,"B",IF(BC25&gt;64,"C+",IF(BC25&gt;59,"C",IF(BC25&gt;54,"D+",IF(BC25&gt;49,"D",IF(BC25&gt;=0,"F"))))))))</f>
        <v>F</v>
      </c>
      <c r="BF25" s="48">
        <f>IF(BE25&gt;=91, 4.00, IF(BE25&gt;=81, 3.50, IF(BE25&gt;=70, 3.00, IF(BE25&gt;=65, 2.50, IF(BE25&gt;=60, 2.00, IF(BE25&gt;=55, 1.50, IF(BE25&gt;=50, 1.00, 0.00)))))))</f>
      </c>
      <c r="BG25" s="49">
        <f>IF(BE25&gt;=91,"A",IF(BE25&gt;=81,"B+",IF(BE25&gt;=70,"B",IF(BE25&gt;=65,"C+",IF(BE25&gt;=60,"C",IF(BE25&gt;=55,"D+",IF(BE25&gt;=50,"D","F")))))))</f>
      </c>
      <c r="BH25" s="40" t="str">
        <f>IF(BF25&gt;90,"A",IF(BF25&gt;80,"B+",IF(BF25&gt;69,"B",IF(BF25&gt;64,"C+",IF(BF25&gt;59,"C",IF(BF25&gt;54,"D+",IF(BF25&gt;49,"D",IF(BF25&gt;=0,"F"))))))))</f>
        <v>F</v>
      </c>
      <c r="BI25" s="43">
        <f>IF(BH25&gt;=91, 4.00, IF(BH25&gt;=81, 3.50, IF(BH25&gt;=70, 3.00, IF(BH25&gt;=65, 2.50, IF(BH25&gt;=60, 2.00, IF(BH25&gt;=55, 1.50, IF(BH25&gt;=50, 1.00, 0.00)))))))</f>
      </c>
      <c r="BJ25" s="49">
        <f>IF(BH25&gt;=91,"A",IF(BH25&gt;=81,"B+",IF(BH25&gt;=70,"B",IF(BH25&gt;=65,"C+",IF(BH25&gt;=60,"C",IF(BH25&gt;=55,"D+",IF(BH25&gt;=50,"D","F")))))))</f>
      </c>
      <c r="BK25" s="40" t="str">
        <f>IF(BI25&gt;90,"A",IF(BI25&gt;80,"B+",IF(BI25&gt;69,"B",IF(BI25&gt;64,"C+",IF(BI25&gt;59,"C",IF(BI25&gt;54,"D+",IF(BI25&gt;49,"D",IF(BI25&gt;=0,"F"))))))))</f>
        <v>F</v>
      </c>
      <c r="BL25" s="48">
        <f>IF(BK25&gt;=91, 4.00, IF(BK25&gt;=81, 3.50, IF(BK25&gt;=70, 3.00, IF(BK25&gt;=65, 2.50, IF(BK25&gt;=60, 2.00, IF(BK25&gt;=55, 1.50, IF(BK25&gt;=50, 1.00, 0.00)))))))</f>
      </c>
      <c r="BM25" s="49">
        <f>IF(BK25&gt;=91,"A",IF(BK25&gt;=81,"B+",IF(BK25&gt;=70,"B",IF(BK25&gt;=65,"C+",IF(BK25&gt;=60,"C",IF(BK25&gt;=55,"D+",IF(BK25&gt;=50,"D","F")))))))</f>
      </c>
      <c r="BN25" s="40" t="str">
        <f>IF(BL25&gt;90,"A",IF(BL25&gt;80,"B+",IF(BL25&gt;69,"B",IF(BL25&gt;64,"C+",IF(BL25&gt;59,"C",IF(BL25&gt;54,"D+",IF(BL25&gt;49,"D",IF(BL25&gt;=0,"F"))))))))</f>
        <v>F</v>
      </c>
      <c r="BO25" s="43">
        <f>IF(BN25&gt;=91, 4.00, IF(BN25&gt;=81, 3.50, IF(BN25&gt;=70, 3.00, IF(BN25&gt;=65, 2.50, IF(BN25&gt;=60, 2.00, IF(BN25&gt;=55, 1.50, IF(BN25&gt;=50, 1.00, 0.00)))))))</f>
      </c>
      <c r="BP25" s="49">
        <f>IF(BN25&gt;=91,"A",IF(BN25&gt;=81,"B+",IF(BN25&gt;=70,"B",IF(BN25&gt;=65,"C+",IF(BN25&gt;=60,"C",IF(BN25&gt;=55,"D+",IF(BN25&gt;=50,"D","F")))))))</f>
      </c>
      <c r="BQ25" s="40" t="str">
        <f>IF(BO25&gt;90,"A",IF(BO25&gt;80,"B+",IF(BO25&gt;69,"B",IF(BO25&gt;64,"C+",IF(BO25&gt;59,"C",IF(BO25&gt;54,"D+",IF(BO25&gt;49,"D",IF(BO25&gt;=0,"F"))))))))</f>
        <v>F</v>
      </c>
      <c r="BR25" s="43">
        <f>IF(BQ25&gt;=91, 4.00, IF(BQ25&gt;=81, 3.50, IF(BQ25&gt;=70, 3.00, IF(BQ25&gt;=65, 2.50, IF(BQ25&gt;=60, 2.00, IF(BQ25&gt;=55, 1.50, IF(BQ25&gt;=50, 1.00, 0.00)))))))</f>
      </c>
      <c r="BS25" s="49">
        <f>IF(BQ25&gt;=91,"A",IF(BQ25&gt;=81,"B+",IF(BQ25&gt;=70,"B",IF(BQ25&gt;=65,"C+",IF(BQ25&gt;=60,"C",IF(BQ25&gt;=55,"D+",IF(BQ25&gt;=50,"D","F")))))))</f>
      </c>
      <c r="BT25" s="40" t="str">
        <f>IF(BR25&gt;90,"A",IF(BR25&gt;80,"B+",IF(BR25&gt;69,"B",IF(BR25&gt;64,"C+",IF(BR25&gt;59,"C",IF(BR25&gt;54,"D+",IF(BR25&gt;49,"D",IF(BR25&gt;=0,"F"))))))))</f>
        <v>F</v>
      </c>
      <c r="BU25" s="49">
        <f>IF(BT25&gt;=91, 4.00, IF(BT25&gt;=81, 3.50, IF(BT25&gt;=70, 3.00, IF(BT25&gt;=65, 2.50, IF(BT25&gt;=60, 2.00, IF(BT25&gt;=55, 1.50, IF(BT25&gt;=50, 1.00, 0.00)))))))</f>
      </c>
      <c r="BV25" s="49">
        <f>IF(BT25&gt;=91,"A",IF(BT25&gt;=81,"B+",IF(BT25&gt;=70,"B",IF(BT25&gt;=65,"C+",IF(BT25&gt;=60,"C",IF(BT25&gt;=55,"D+",IF(BT25&gt;=50,"D","F")))))))</f>
      </c>
      <c r="BW25" s="40">
        <f>ROUND((AT25*3+AW25*2+AZ25*1+BC25*1+BF25*1+BI25*2+BL25*2+BO25*1+BR25*2+BU25*3)/18, 2)</f>
      </c>
      <c r="BX25" s="49"/>
      <c r="BY25" s="49" t="str">
        <f>IF(BX25&gt;90,"4.00",IF(BX25&gt;80,"3.50",IF(BX25&gt;69,"3.00",IF(BX25&gt;64,"2.50",IF(BX25&gt;59,"2.00",IF(BX25&gt;54,"1.50",IF(BX25&gt;49,"1.00","0.00")))))))</f>
        <v>0.00</v>
      </c>
      <c r="BZ25" s="40" t="str">
        <f>IF(BX25&gt;90,"A",IF(BX25&gt;80,"B+",IF(BX25&gt;69,"B",IF(BX25&gt;64,"C+",IF(BX25&gt;59,"C",IF(BX25&gt;54,"D+",IF(BX25&gt;49,"D",IF(BX25&gt;=0,"F"))))))))</f>
        <v>F</v>
      </c>
      <c r="CA25" s="49"/>
      <c r="CB25" s="49" t="str">
        <f>IF(CA25&gt;90,"4.00",IF(CA25&gt;80,"3.50",IF(CA25&gt;69,"3.00",IF(CA25&gt;64,"2.50",IF(CA25&gt;59,"2.00",IF(CA25&gt;54,"1.50",IF(CA25&gt;49,"1.00","0.00")))))))</f>
        <v>0.00</v>
      </c>
      <c r="CC25" s="40" t="str">
        <f>IF(CA25&gt;90,"A",IF(CA25&gt;80,"B+",IF(CA25&gt;69,"B",IF(CA25&gt;64,"C+",IF(CA25&gt;59,"C",IF(CA25&gt;54,"D+",IF(CA25&gt;49,"D",IF(CA25&gt;=0,"F"))))))))</f>
        <v>F</v>
      </c>
      <c r="CD25" s="49"/>
      <c r="CE25" s="49" t="str">
        <f>IF(CD25&gt;90,"4.00",IF(CD25&gt;80,"3.50",IF(CD25&gt;69,"3.00",IF(CD25&gt;64,"2.50",IF(CD25&gt;59,"2.00",IF(CD25&gt;54,"1.50",IF(CD25&gt;49,"1.00","0.00")))))))</f>
        <v>0.00</v>
      </c>
      <c r="CF25" s="40" t="str">
        <f>IF(CD25&gt;90,"A",IF(CD25&gt;80,"B+",IF(CD25&gt;69,"B",IF(CD25&gt;64,"C+",IF(CD25&gt;59,"C",IF(CD25&gt;54,"D+",IF(CD25&gt;49,"D",IF(CD25&gt;=0,"F"))))))))</f>
        <v>F</v>
      </c>
      <c r="CG25" s="50">
        <f>(BD25*3+BG25*1+BJ25*1+BM25*2+BP25*1+BS25*2+BV25*2+BY25*1+CB25*2+CE25*2)/(3+1+1+2+1+2+2+1+2+2)</f>
        <v>0</v>
      </c>
      <c r="CH25" s="50">
        <f>(AR25+CG25)/2</f>
        <v>0</v>
      </c>
      <c r="CI25" s="51">
        <f>RANK(CH25,$CH$7:CH54)</f>
        <v>1</v>
      </c>
      <c r="CJ25" s="58"/>
      <c r="CK25" s="52"/>
      <c r="CL25" s="52"/>
      <c r="CM25" s="52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  <c r="FN25" s="53"/>
      <c r="FO25" s="53"/>
      <c r="FP25" s="53"/>
      <c r="FQ25" s="53"/>
      <c r="FR25" s="53"/>
      <c r="FS25" s="53"/>
      <c r="FT25" s="53"/>
      <c r="FU25" s="53"/>
      <c r="FV25" s="53"/>
      <c r="FW25" s="53"/>
      <c r="FX25" s="53"/>
      <c r="FY25" s="53"/>
      <c r="FZ25" s="53"/>
      <c r="GA25" s="53"/>
      <c r="GB25" s="53"/>
      <c r="GC25" s="53"/>
      <c r="GD25" s="53"/>
      <c r="GE25" s="53"/>
      <c r="GF25" s="53"/>
      <c r="GG25" s="53"/>
      <c r="GH25" s="53"/>
      <c r="GI25" s="53"/>
      <c r="GJ25" s="53"/>
      <c r="GK25" s="53"/>
      <c r="GL25" s="53"/>
      <c r="GM25" s="53"/>
      <c r="GN25" s="53"/>
      <c r="GO25" s="53"/>
      <c r="GP25" s="53"/>
      <c r="GQ25" s="53"/>
      <c r="GR25" s="53"/>
      <c r="GS25" s="53"/>
      <c r="GT25" s="53"/>
    </row>
    <row r="26" ht="20" customHeight="1" spans="1:202" s="39" customFormat="1" x14ac:dyDescent="0.25">
      <c r="A26" s="40">
        <v>20</v>
      </c>
      <c r="B26" s="40" t="s">
        <v>104</v>
      </c>
      <c r="C26" s="40" t="s">
        <v>43</v>
      </c>
      <c r="D26" s="40" t="s">
        <v>160</v>
      </c>
      <c r="E26" s="40" t="s">
        <v>161</v>
      </c>
      <c r="F26" s="40" t="s">
        <v>297</v>
      </c>
      <c r="G26" s="40" t="s">
        <v>163</v>
      </c>
      <c r="H26" s="111"/>
      <c r="I26" s="112"/>
      <c r="J26" s="40">
        <v>1</v>
      </c>
      <c r="K26" s="42">
        <v>80</v>
      </c>
      <c r="L26" s="40">
        <f>IF(K26&gt;=91, 4.00, IF(K26&gt;=81, 3.50, IF(K26&gt;=70, 3.00, IF(K26&gt;=65, 2.50, IF(K26&gt;=60, 2.00, IF(K26&gt;=55, 1.50, IF(K26&gt;=50, 1.00, 0.00)))))))</f>
      </c>
      <c r="M26" s="40">
        <f>IF(K26&gt;=91,"A",IF(K26&gt;=81,"B+",IF(K26&gt;=70,"B",IF(K26&gt;=65,"C+",IF(K26&gt;=60,"C",IF(K26&gt;=55,"D+",IF(K26&gt;=50,"D","F")))))))</f>
      </c>
      <c r="N26" s="42">
        <v>83</v>
      </c>
      <c r="O26" s="40">
        <f>IF(N26&gt;=91, 4.00, IF(N26&gt;=81, 3.50, IF(N26&gt;=70, 3.00, IF(N26&gt;=65, 2.50, IF(N26&gt;=60, 2.00, IF(N26&gt;=55, 1.50, IF(N26&gt;=50, 1.00, 0.00)))))))</f>
      </c>
      <c r="P26" s="40">
        <f>IF(N26&gt;=91,"A",IF(N26&gt;=81,"B+",IF(N26&gt;=70,"B",IF(N26&gt;=65,"C+",IF(N26&gt;=60,"C",IF(N26&gt;=55,"D+",IF(N26&gt;=50,"D","F")))))))</f>
      </c>
      <c r="Q26" s="42">
        <v>86</v>
      </c>
      <c r="R26" s="40">
        <f>IF(Q26&gt;=91, 4.00, IF(Q26&gt;=81, 3.50, IF(Q26&gt;=70, 3.00, IF(Q26&gt;=65, 2.50, IF(Q26&gt;=60, 2.00, IF(Q26&gt;=55, 1.50, IF(Q26&gt;=50, 1.00, 0.00)))))))</f>
      </c>
      <c r="S26" s="40">
        <f>IF(Q26&gt;=91,"A",IF(Q26&gt;=81,"B+",IF(Q26&gt;=70,"B",IF(Q26&gt;=65,"C+",IF(Q26&gt;=60,"C",IF(Q26&gt;=55,"D+",IF(Q26&gt;=50,"D","F")))))))</f>
      </c>
      <c r="T26" s="42">
        <v>89</v>
      </c>
      <c r="U26" s="40">
        <f>IF(T26&gt;=91, 4.00, IF(T26&gt;=81, 3.50, IF(T26&gt;=70, 3.00, IF(T26&gt;=65, 2.50, IF(T26&gt;=60, 2.00, IF(T26&gt;=55, 1.50, IF(T26&gt;=50, 1.00, 0.00)))))))</f>
      </c>
      <c r="V26" s="40">
        <f>IF(T26&gt;=91,"A",IF(T26&gt;=81,"B+",IF(T26&gt;=70,"B",IF(T26&gt;=65,"C+",IF(T26&gt;=60,"C",IF(T26&gt;=55,"D+",IF(T26&gt;=50,"D","F")))))))</f>
      </c>
      <c r="W26" s="42">
        <v>92</v>
      </c>
      <c r="X26" s="40">
        <f>IF(W26&gt;=91, 4.00, IF(W26&gt;=81, 3.50, IF(W26&gt;=70, 3.00, IF(W26&gt;=65, 2.50, IF(W26&gt;=60, 2.00, IF(W26&gt;=55, 1.50, IF(W26&gt;=50, 1.00, 0.00)))))))</f>
      </c>
      <c r="Y26" s="40">
        <f>IF(W26&gt;=91,"A",IF(W26&gt;=81,"B+",IF(W26&gt;=70,"B",IF(W26&gt;=65,"C+",IF(W26&gt;=60,"C",IF(W26&gt;=55,"D+",IF(W26&gt;=50,"D","F")))))))</f>
      </c>
      <c r="Z26" s="46">
        <v>95</v>
      </c>
      <c r="AA26" s="40">
        <f>IF(Z26&gt;=91, 4.00, IF(Z26&gt;=81, 3.50, IF(Z26&gt;=70, 3.00, IF(Z26&gt;=65, 2.50, IF(Z26&gt;=60, 2.00, IF(Z26&gt;=55, 1.50, IF(Z26&gt;=50, 1.00, 0.00)))))))</f>
      </c>
      <c r="AB26" s="40">
        <f>IF(Z26&gt;=91,"A",IF(Z26&gt;=81,"B+",IF(Z26&gt;=70,"B",IF(Z26&gt;=65,"C+",IF(Z26&gt;=60,"C",IF(Z26&gt;=55,"D+",IF(Z26&gt;=50,"D","F")))))))</f>
      </c>
      <c r="AC26" s="42">
        <v>77</v>
      </c>
      <c r="AD26" s="40">
        <f>IF(AC26&gt;=91, 4.00, IF(AC26&gt;=81, 3.50, IF(AC26&gt;=70, 3.00, IF(AC26&gt;=65, 2.50, IF(AC26&gt;=60, 2.00, IF(AC26&gt;=55, 1.50, IF(AC26&gt;=50, 1.00, 0.00)))))))</f>
      </c>
      <c r="AE26" s="40">
        <f>IF(AC26&gt;=91,"A",IF(AC26&gt;=81,"B+",IF(AC26&gt;=70,"B",IF(AC26&gt;=65,"C+",IF(AC26&gt;=60,"C",IF(AC26&gt;=55,"D+",IF(AC26&gt;=50,"D","F")))))))</f>
      </c>
      <c r="AF26" s="40">
        <v>80</v>
      </c>
      <c r="AG26" s="40">
        <f>IF(AF26&gt;=91, 4.00, IF(AF26&gt;=81, 3.50, IF(AF26&gt;=70, 3.00, IF(AF26&gt;=65, 2.50, IF(AF26&gt;=60, 2.00, IF(AF26&gt;=55, 1.50, IF(AF26&gt;=50, 1.00, 0.00)))))))</f>
      </c>
      <c r="AH26" s="40">
        <f>IF(AF26&gt;=91,"A",IF(AF26&gt;=81,"B+",IF(AF26&gt;=70,"B",IF(AF26&gt;=65,"C+",IF(AF26&gt;=60,"C",IF(AF26&gt;=55,"D+",IF(AF26&gt;=50,"D","F")))))))</f>
      </c>
      <c r="AI26" s="46">
        <v>83</v>
      </c>
      <c r="AJ26" s="40">
        <f>IF(AI26&gt;=91, 4.00, IF(AI26&gt;=81, 3.50, IF(AI26&gt;=70, 3.00, IF(AI26&gt;=65, 2.50, IF(AI26&gt;=60, 2.00, IF(AI26&gt;=55, 1.50, IF(AI26&gt;=50, 1.00, 0.00)))))))</f>
      </c>
      <c r="AK26" s="40">
        <f>IF(AI26&gt;=91,"A",IF(AI26&gt;=81,"B+",IF(AI26&gt;=70,"B",IF(AI26&gt;=65,"C+",IF(AI26&gt;=60,"C",IF(AI26&gt;=55,"D+",IF(AI26&gt;=50,"D","F")))))))</f>
      </c>
      <c r="AL26" s="42">
        <v>86</v>
      </c>
      <c r="AM26" s="40">
        <f>IF(AL26&gt;=91, 4.00, IF(AL26&gt;=81, 3.50, IF(AL26&gt;=70, 3.00, IF(AL26&gt;=65, 2.50, IF(AL26&gt;=60, 2.00, IF(AL26&gt;=55, 1.50, IF(AL26&gt;=50, 1.00, 0.00)))))))</f>
      </c>
      <c r="AN26" s="40">
        <f>IF(AL26&gt;=91,"A",IF(AL26&gt;=81,"B+",IF(AL26&gt;=70,"B",IF(AL26&gt;=65,"C+",IF(AL26&gt;=60,"C",IF(AL26&gt;=55,"D+",IF(AL26&gt;=50,"D","F")))))))</f>
      </c>
      <c r="AO26" s="40">
        <v>89</v>
      </c>
      <c r="AP26" s="40">
        <f>IF(AO26&gt;=91, 4.00, IF(AO26&gt;=81, 3.50, IF(AO26&gt;=70, 3.00, IF(AO26&gt;=65, 2.50, IF(AO26&gt;=60, 2.00, IF(AO26&gt;=55, 1.50, IF(AO26&gt;=50, 1.00, 0.00)))))))</f>
      </c>
      <c r="AQ26" s="40">
        <f>IF(AO26&gt;=91,"A",IF(AO26&gt;=81,"B+",IF(AO26&gt;=70,"B",IF(AO26&gt;=65,"C+",IF(AO26&gt;=60,"C",IF(AO26&gt;=55,"D+",IF(AO26&gt;=50,"D","F")))))))</f>
      </c>
      <c r="AR26" s="40">
        <f>ROUND((L26*3+O26*2+R26*1+U26*1+X26*1+AA26*2+AD26*2+AG26*2+AJ26*1+AM26*2+AP26*2)/19, 2)</f>
      </c>
      <c r="AS26" s="47">
        <v>93</v>
      </c>
      <c r="AT26" s="40">
        <f>IF(AS26&gt;=91, 4.00, IF(AS26&gt;=81, 3.50, IF(AS26&gt;=70, 3.00, IF(AS26&gt;=65, 2.50, IF(AS26&gt;=60, 2.00, IF(AS26&gt;=55, 1.50, IF(AS26&gt;=50, 1.00, 0.00)))))))</f>
      </c>
      <c r="AU26" s="40">
        <f>IF(AS26&gt;=91,"A",IF(AS26&gt;=81,"B+",IF(AS26&gt;=70,"B",IF(AS26&gt;=65,"C+",IF(AS26&gt;=60,"C",IF(AS26&gt;=55,"D+",IF(AS26&gt;=50,"D","F")))))))</f>
      </c>
      <c r="AV26" s="40" t="s">
        <v>43</v>
      </c>
      <c r="AW26" s="40">
        <f>IF(AV26&gt;=91, 4.00, IF(AV26&gt;=81, 3.50, IF(AV26&gt;=70, 3.00, IF(AV26&gt;=65, 2.50, IF(AV26&gt;=60, 2.00, IF(AV26&gt;=55, 1.50, IF(AV26&gt;=50, 1.00, 0.00)))))))</f>
      </c>
      <c r="AX26" s="40">
        <f>IF(AV26&gt;=91,"A",IF(AV26&gt;=81,"B+",IF(AV26&gt;=70,"B",IF(AV26&gt;=65,"C+",IF(AV26&gt;=60,"C",IF(AV26&gt;=55,"D+",IF(AV26&gt;=50,"D","F")))))))</f>
      </c>
      <c r="AY26" s="40" t="s">
        <v>297</v>
      </c>
      <c r="AZ26" s="40">
        <f>IF(AY26&gt;=91, 4.00, IF(AY26&gt;=81, 3.50, IF(AY26&gt;=70, 3.00, IF(AY26&gt;=65, 2.50, IF(AY26&gt;=60, 2.00, IF(AY26&gt;=55, 1.50, IF(AY26&gt;=50, 1.00, 0.00)))))))</f>
      </c>
      <c r="BA26" s="111">
        <f>IF(AY26&gt;=91,"A",IF(AY26&gt;=81,"B+",IF(AY26&gt;=70,"B",IF(AY26&gt;=65,"C+",IF(AY26&gt;=60,"C",IF(AY26&gt;=55,"D+",IF(AY26&gt;=50,"D","F")))))))</f>
      </c>
      <c r="BB26" s="112">
        <v>81</v>
      </c>
      <c r="BC26" s="48">
        <f>IF(BB26&gt;=91, 4.00, IF(BB26&gt;=81, 3.50, IF(BB26&gt;=70, 3.00, IF(BB26&gt;=65, 2.50, IF(BB26&gt;=60, 2.00, IF(BB26&gt;=55, 1.50, IF(BB26&gt;=50, 1.00, 0.00)))))))</f>
      </c>
      <c r="BD26" s="49">
        <f>IF(BB26&gt;=91,"A",IF(BB26&gt;=81,"B+",IF(BB26&gt;=70,"B",IF(BB26&gt;=65,"C+",IF(BB26&gt;=60,"C",IF(BB26&gt;=55,"D+",IF(BB26&gt;=50,"D","F")))))))</f>
      </c>
      <c r="BE26" s="40" t="str">
        <f>IF(BC26&gt;90,"A",IF(BC26&gt;80,"B+",IF(BC26&gt;69,"B",IF(BC26&gt;64,"C+",IF(BC26&gt;59,"C",IF(BC26&gt;54,"D+",IF(BC26&gt;49,"D",IF(BC26&gt;=0,"F"))))))))</f>
        <v>F</v>
      </c>
      <c r="BF26" s="48">
        <f>IF(BE26&gt;=91, 4.00, IF(BE26&gt;=81, 3.50, IF(BE26&gt;=70, 3.00, IF(BE26&gt;=65, 2.50, IF(BE26&gt;=60, 2.00, IF(BE26&gt;=55, 1.50, IF(BE26&gt;=50, 1.00, 0.00)))))))</f>
      </c>
      <c r="BG26" s="49">
        <f>IF(BE26&gt;=91,"A",IF(BE26&gt;=81,"B+",IF(BE26&gt;=70,"B",IF(BE26&gt;=65,"C+",IF(BE26&gt;=60,"C",IF(BE26&gt;=55,"D+",IF(BE26&gt;=50,"D","F")))))))</f>
      </c>
      <c r="BH26" s="40" t="str">
        <f>IF(BF26&gt;90,"A",IF(BF26&gt;80,"B+",IF(BF26&gt;69,"B",IF(BF26&gt;64,"C+",IF(BF26&gt;59,"C",IF(BF26&gt;54,"D+",IF(BF26&gt;49,"D",IF(BF26&gt;=0,"F"))))))))</f>
        <v>F</v>
      </c>
      <c r="BI26" s="43">
        <f>IF(BH26&gt;=91, 4.00, IF(BH26&gt;=81, 3.50, IF(BH26&gt;=70, 3.00, IF(BH26&gt;=65, 2.50, IF(BH26&gt;=60, 2.00, IF(BH26&gt;=55, 1.50, IF(BH26&gt;=50, 1.00, 0.00)))))))</f>
      </c>
      <c r="BJ26" s="49">
        <f>IF(BH26&gt;=91,"A",IF(BH26&gt;=81,"B+",IF(BH26&gt;=70,"B",IF(BH26&gt;=65,"C+",IF(BH26&gt;=60,"C",IF(BH26&gt;=55,"D+",IF(BH26&gt;=50,"D","F")))))))</f>
      </c>
      <c r="BK26" s="40" t="str">
        <f>IF(BI26&gt;90,"A",IF(BI26&gt;80,"B+",IF(BI26&gt;69,"B",IF(BI26&gt;64,"C+",IF(BI26&gt;59,"C",IF(BI26&gt;54,"D+",IF(BI26&gt;49,"D",IF(BI26&gt;=0,"F"))))))))</f>
        <v>F</v>
      </c>
      <c r="BL26" s="48">
        <f>IF(BK26&gt;=91, 4.00, IF(BK26&gt;=81, 3.50, IF(BK26&gt;=70, 3.00, IF(BK26&gt;=65, 2.50, IF(BK26&gt;=60, 2.00, IF(BK26&gt;=55, 1.50, IF(BK26&gt;=50, 1.00, 0.00)))))))</f>
      </c>
      <c r="BM26" s="49">
        <f>IF(BK26&gt;=91,"A",IF(BK26&gt;=81,"B+",IF(BK26&gt;=70,"B",IF(BK26&gt;=65,"C+",IF(BK26&gt;=60,"C",IF(BK26&gt;=55,"D+",IF(BK26&gt;=50,"D","F")))))))</f>
      </c>
      <c r="BN26" s="40" t="str">
        <f>IF(BL26&gt;90,"A",IF(BL26&gt;80,"B+",IF(BL26&gt;69,"B",IF(BL26&gt;64,"C+",IF(BL26&gt;59,"C",IF(BL26&gt;54,"D+",IF(BL26&gt;49,"D",IF(BL26&gt;=0,"F"))))))))</f>
        <v>F</v>
      </c>
      <c r="BO26" s="43">
        <f>IF(BN26&gt;=91, 4.00, IF(BN26&gt;=81, 3.50, IF(BN26&gt;=70, 3.00, IF(BN26&gt;=65, 2.50, IF(BN26&gt;=60, 2.00, IF(BN26&gt;=55, 1.50, IF(BN26&gt;=50, 1.00, 0.00)))))))</f>
      </c>
      <c r="BP26" s="49">
        <f>IF(BN26&gt;=91,"A",IF(BN26&gt;=81,"B+",IF(BN26&gt;=70,"B",IF(BN26&gt;=65,"C+",IF(BN26&gt;=60,"C",IF(BN26&gt;=55,"D+",IF(BN26&gt;=50,"D","F")))))))</f>
      </c>
      <c r="BQ26" s="40" t="str">
        <f>IF(BO26&gt;90,"A",IF(BO26&gt;80,"B+",IF(BO26&gt;69,"B",IF(BO26&gt;64,"C+",IF(BO26&gt;59,"C",IF(BO26&gt;54,"D+",IF(BO26&gt;49,"D",IF(BO26&gt;=0,"F"))))))))</f>
        <v>F</v>
      </c>
      <c r="BR26" s="43">
        <f>IF(BQ26&gt;=91, 4.00, IF(BQ26&gt;=81, 3.50, IF(BQ26&gt;=70, 3.00, IF(BQ26&gt;=65, 2.50, IF(BQ26&gt;=60, 2.00, IF(BQ26&gt;=55, 1.50, IF(BQ26&gt;=50, 1.00, 0.00)))))))</f>
      </c>
      <c r="BS26" s="49">
        <f>IF(BQ26&gt;=91,"A",IF(BQ26&gt;=81,"B+",IF(BQ26&gt;=70,"B",IF(BQ26&gt;=65,"C+",IF(BQ26&gt;=60,"C",IF(BQ26&gt;=55,"D+",IF(BQ26&gt;=50,"D","F")))))))</f>
      </c>
      <c r="BT26" s="40" t="str">
        <f>IF(BR26&gt;90,"A",IF(BR26&gt;80,"B+",IF(BR26&gt;69,"B",IF(BR26&gt;64,"C+",IF(BR26&gt;59,"C",IF(BR26&gt;54,"D+",IF(BR26&gt;49,"D",IF(BR26&gt;=0,"F"))))))))</f>
        <v>F</v>
      </c>
      <c r="BU26" s="49">
        <f>IF(BT26&gt;=91, 4.00, IF(BT26&gt;=81, 3.50, IF(BT26&gt;=70, 3.00, IF(BT26&gt;=65, 2.50, IF(BT26&gt;=60, 2.00, IF(BT26&gt;=55, 1.50, IF(BT26&gt;=50, 1.00, 0.00)))))))</f>
      </c>
      <c r="BV26" s="49">
        <f>IF(BT26&gt;=91,"A",IF(BT26&gt;=81,"B+",IF(BT26&gt;=70,"B",IF(BT26&gt;=65,"C+",IF(BT26&gt;=60,"C",IF(BT26&gt;=55,"D+",IF(BT26&gt;=50,"D","F")))))))</f>
      </c>
      <c r="BW26" s="40">
        <f>ROUND((AT26*3+AW26*2+AZ26*1+BC26*1+BF26*1+BI26*2+BL26*2+BO26*1+BR26*2+BU26*3)/18, 2)</f>
      </c>
      <c r="BX26" s="49"/>
      <c r="BY26" s="49" t="str">
        <f>IF(BX26&gt;90,"4.00",IF(BX26&gt;80,"3.50",IF(BX26&gt;69,"3.00",IF(BX26&gt;64,"2.50",IF(BX26&gt;59,"2.00",IF(BX26&gt;54,"1.50",IF(BX26&gt;49,"1.00","0.00")))))))</f>
        <v>0.00</v>
      </c>
      <c r="BZ26" s="40" t="str">
        <f>IF(BX26&gt;90,"A",IF(BX26&gt;80,"B+",IF(BX26&gt;69,"B",IF(BX26&gt;64,"C+",IF(BX26&gt;59,"C",IF(BX26&gt;54,"D+",IF(BX26&gt;49,"D",IF(BX26&gt;=0,"F"))))))))</f>
        <v>F</v>
      </c>
      <c r="CA26" s="49"/>
      <c r="CB26" s="49" t="str">
        <f>IF(CA26&gt;90,"4.00",IF(CA26&gt;80,"3.50",IF(CA26&gt;69,"3.00",IF(CA26&gt;64,"2.50",IF(CA26&gt;59,"2.00",IF(CA26&gt;54,"1.50",IF(CA26&gt;49,"1.00","0.00")))))))</f>
        <v>0.00</v>
      </c>
      <c r="CC26" s="40" t="str">
        <f>IF(CA26&gt;90,"A",IF(CA26&gt;80,"B+",IF(CA26&gt;69,"B",IF(CA26&gt;64,"C+",IF(CA26&gt;59,"C",IF(CA26&gt;54,"D+",IF(CA26&gt;49,"D",IF(CA26&gt;=0,"F"))))))))</f>
        <v>F</v>
      </c>
      <c r="CD26" s="49"/>
      <c r="CE26" s="49" t="str">
        <f>IF(CD26&gt;90,"4.00",IF(CD26&gt;80,"3.50",IF(CD26&gt;69,"3.00",IF(CD26&gt;64,"2.50",IF(CD26&gt;59,"2.00",IF(CD26&gt;54,"1.50",IF(CD26&gt;49,"1.00","0.00")))))))</f>
        <v>0.00</v>
      </c>
      <c r="CF26" s="40" t="str">
        <f>IF(CD26&gt;90,"A",IF(CD26&gt;80,"B+",IF(CD26&gt;69,"B",IF(CD26&gt;64,"C+",IF(CD26&gt;59,"C",IF(CD26&gt;54,"D+",IF(CD26&gt;49,"D",IF(CD26&gt;=0,"F"))))))))</f>
        <v>F</v>
      </c>
      <c r="CG26" s="50">
        <f>(BD26*3+BG26*1+BJ26*1+BM26*2+BP26*1+BS26*2+BV26*2+BY26*1+CB26*2+CE26*2)/(3+1+1+2+1+2+2+1+2+2)</f>
        <v>0</v>
      </c>
      <c r="CH26" s="50">
        <f>(AR26+CG26)/2</f>
        <v>0</v>
      </c>
      <c r="CI26" s="51">
        <f>RANK(CH26,$CH$7:CH55)</f>
        <v>1</v>
      </c>
      <c r="CJ26" s="40"/>
      <c r="CK26" s="52"/>
      <c r="CL26" s="52"/>
      <c r="CM26" s="52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  <c r="FN26" s="53"/>
      <c r="FO26" s="53"/>
      <c r="FP26" s="53"/>
      <c r="FQ26" s="53"/>
      <c r="FR26" s="53"/>
      <c r="FS26" s="53"/>
      <c r="FT26" s="53"/>
      <c r="FU26" s="53"/>
      <c r="FV26" s="53"/>
      <c r="FW26" s="53"/>
      <c r="FX26" s="53"/>
      <c r="FY26" s="53"/>
      <c r="FZ26" s="53"/>
      <c r="GA26" s="53"/>
      <c r="GB26" s="53"/>
      <c r="GC26" s="53"/>
      <c r="GD26" s="53"/>
      <c r="GE26" s="53"/>
      <c r="GF26" s="53"/>
      <c r="GG26" s="53"/>
      <c r="GH26" s="53"/>
      <c r="GI26" s="53"/>
      <c r="GJ26" s="53"/>
      <c r="GK26" s="53"/>
      <c r="GL26" s="53"/>
      <c r="GM26" s="53"/>
      <c r="GN26" s="53"/>
      <c r="GO26" s="53"/>
      <c r="GP26" s="53"/>
      <c r="GQ26" s="53"/>
      <c r="GR26" s="53"/>
      <c r="GS26" s="53"/>
      <c r="GT26" s="53"/>
    </row>
    <row r="27" ht="20" customHeight="1" spans="1:202" s="39" customFormat="1" x14ac:dyDescent="0.25">
      <c r="A27" s="40">
        <v>21</v>
      </c>
      <c r="B27" s="40" t="s">
        <v>110</v>
      </c>
      <c r="C27" s="40" t="s">
        <v>51</v>
      </c>
      <c r="D27" s="40" t="s">
        <v>166</v>
      </c>
      <c r="E27" s="40" t="s">
        <v>167</v>
      </c>
      <c r="F27" s="40" t="s">
        <v>298</v>
      </c>
      <c r="G27" s="40" t="s">
        <v>299</v>
      </c>
      <c r="H27" s="44"/>
      <c r="I27" s="112"/>
      <c r="J27" s="40">
        <v>1</v>
      </c>
      <c r="K27" s="42">
        <v>83</v>
      </c>
      <c r="L27" s="40">
        <f>IF(K27&gt;=91, 4.00, IF(K27&gt;=81, 3.50, IF(K27&gt;=70, 3.00, IF(K27&gt;=65, 2.50, IF(K27&gt;=60, 2.00, IF(K27&gt;=55, 1.50, IF(K27&gt;=50, 1.00, 0.00)))))))</f>
      </c>
      <c r="M27" s="40">
        <f>IF(K27&gt;=91,"A",IF(K27&gt;=81,"B+",IF(K27&gt;=70,"B",IF(K27&gt;=65,"C+",IF(K27&gt;=60,"C",IF(K27&gt;=55,"D+",IF(K27&gt;=50,"D","F")))))))</f>
      </c>
      <c r="N27" s="42">
        <v>86</v>
      </c>
      <c r="O27" s="40">
        <f>IF(N27&gt;=91, 4.00, IF(N27&gt;=81, 3.50, IF(N27&gt;=70, 3.00, IF(N27&gt;=65, 2.50, IF(N27&gt;=60, 2.00, IF(N27&gt;=55, 1.50, IF(N27&gt;=50, 1.00, 0.00)))))))</f>
      </c>
      <c r="P27" s="40">
        <f>IF(N27&gt;=91,"A",IF(N27&gt;=81,"B+",IF(N27&gt;=70,"B",IF(N27&gt;=65,"C+",IF(N27&gt;=60,"C",IF(N27&gt;=55,"D+",IF(N27&gt;=50,"D","F")))))))</f>
      </c>
      <c r="Q27" s="42">
        <v>89</v>
      </c>
      <c r="R27" s="40">
        <f>IF(Q27&gt;=91, 4.00, IF(Q27&gt;=81, 3.50, IF(Q27&gt;=70, 3.00, IF(Q27&gt;=65, 2.50, IF(Q27&gt;=60, 2.00, IF(Q27&gt;=55, 1.50, IF(Q27&gt;=50, 1.00, 0.00)))))))</f>
      </c>
      <c r="S27" s="40">
        <f>IF(Q27&gt;=91,"A",IF(Q27&gt;=81,"B+",IF(Q27&gt;=70,"B",IF(Q27&gt;=65,"C+",IF(Q27&gt;=60,"C",IF(Q27&gt;=55,"D+",IF(Q27&gt;=50,"D","F")))))))</f>
      </c>
      <c r="T27" s="42">
        <v>92</v>
      </c>
      <c r="U27" s="40">
        <f>IF(T27&gt;=91, 4.00, IF(T27&gt;=81, 3.50, IF(T27&gt;=70, 3.00, IF(T27&gt;=65, 2.50, IF(T27&gt;=60, 2.00, IF(T27&gt;=55, 1.50, IF(T27&gt;=50, 1.00, 0.00)))))))</f>
      </c>
      <c r="V27" s="40">
        <f>IF(T27&gt;=91,"A",IF(T27&gt;=81,"B+",IF(T27&gt;=70,"B",IF(T27&gt;=65,"C+",IF(T27&gt;=60,"C",IF(T27&gt;=55,"D+",IF(T27&gt;=50,"D","F")))))))</f>
      </c>
      <c r="W27" s="42">
        <v>95</v>
      </c>
      <c r="X27" s="40">
        <f>IF(W27&gt;=91, 4.00, IF(W27&gt;=81, 3.50, IF(W27&gt;=70, 3.00, IF(W27&gt;=65, 2.50, IF(W27&gt;=60, 2.00, IF(W27&gt;=55, 1.50, IF(W27&gt;=50, 1.00, 0.00)))))))</f>
      </c>
      <c r="Y27" s="40">
        <f>IF(W27&gt;=91,"A",IF(W27&gt;=81,"B+",IF(W27&gt;=70,"B",IF(W27&gt;=65,"C+",IF(W27&gt;=60,"C",IF(W27&gt;=55,"D+",IF(W27&gt;=50,"D","F")))))))</f>
      </c>
      <c r="Z27" s="46">
        <v>77</v>
      </c>
      <c r="AA27" s="40">
        <f>IF(Z27&gt;=91, 4.00, IF(Z27&gt;=81, 3.50, IF(Z27&gt;=70, 3.00, IF(Z27&gt;=65, 2.50, IF(Z27&gt;=60, 2.00, IF(Z27&gt;=55, 1.50, IF(Z27&gt;=50, 1.00, 0.00)))))))</f>
      </c>
      <c r="AB27" s="40">
        <f>IF(Z27&gt;=91,"A",IF(Z27&gt;=81,"B+",IF(Z27&gt;=70,"B",IF(Z27&gt;=65,"C+",IF(Z27&gt;=60,"C",IF(Z27&gt;=55,"D+",IF(Z27&gt;=50,"D","F")))))))</f>
      </c>
      <c r="AC27" s="42">
        <v>80</v>
      </c>
      <c r="AD27" s="40">
        <f>IF(AC27&gt;=91, 4.00, IF(AC27&gt;=81, 3.50, IF(AC27&gt;=70, 3.00, IF(AC27&gt;=65, 2.50, IF(AC27&gt;=60, 2.00, IF(AC27&gt;=55, 1.50, IF(AC27&gt;=50, 1.00, 0.00)))))))</f>
      </c>
      <c r="AE27" s="40">
        <f>IF(AC27&gt;=91,"A",IF(AC27&gt;=81,"B+",IF(AC27&gt;=70,"B",IF(AC27&gt;=65,"C+",IF(AC27&gt;=60,"C",IF(AC27&gt;=55,"D+",IF(AC27&gt;=50,"D","F")))))))</f>
      </c>
      <c r="AF27" s="40">
        <v>83</v>
      </c>
      <c r="AG27" s="40">
        <f>IF(AF27&gt;=91, 4.00, IF(AF27&gt;=81, 3.50, IF(AF27&gt;=70, 3.00, IF(AF27&gt;=65, 2.50, IF(AF27&gt;=60, 2.00, IF(AF27&gt;=55, 1.50, IF(AF27&gt;=50, 1.00, 0.00)))))))</f>
      </c>
      <c r="AH27" s="40">
        <f>IF(AF27&gt;=91,"A",IF(AF27&gt;=81,"B+",IF(AF27&gt;=70,"B",IF(AF27&gt;=65,"C+",IF(AF27&gt;=60,"C",IF(AF27&gt;=55,"D+",IF(AF27&gt;=50,"D","F")))))))</f>
      </c>
      <c r="AI27" s="46">
        <v>86</v>
      </c>
      <c r="AJ27" s="40">
        <f>IF(AI27&gt;=91, 4.00, IF(AI27&gt;=81, 3.50, IF(AI27&gt;=70, 3.00, IF(AI27&gt;=65, 2.50, IF(AI27&gt;=60, 2.00, IF(AI27&gt;=55, 1.50, IF(AI27&gt;=50, 1.00, 0.00)))))))</f>
      </c>
      <c r="AK27" s="40">
        <f>IF(AI27&gt;=91,"A",IF(AI27&gt;=81,"B+",IF(AI27&gt;=70,"B",IF(AI27&gt;=65,"C+",IF(AI27&gt;=60,"C",IF(AI27&gt;=55,"D+",IF(AI27&gt;=50,"D","F")))))))</f>
      </c>
      <c r="AL27" s="42">
        <v>89</v>
      </c>
      <c r="AM27" s="40">
        <f>IF(AL27&gt;=91, 4.00, IF(AL27&gt;=81, 3.50, IF(AL27&gt;=70, 3.00, IF(AL27&gt;=65, 2.50, IF(AL27&gt;=60, 2.00, IF(AL27&gt;=55, 1.50, IF(AL27&gt;=50, 1.00, 0.00)))))))</f>
      </c>
      <c r="AN27" s="40">
        <f>IF(AL27&gt;=91,"A",IF(AL27&gt;=81,"B+",IF(AL27&gt;=70,"B",IF(AL27&gt;=65,"C+",IF(AL27&gt;=60,"C",IF(AL27&gt;=55,"D+",IF(AL27&gt;=50,"D","F")))))))</f>
      </c>
      <c r="AO27" s="40">
        <v>92</v>
      </c>
      <c r="AP27" s="40">
        <f>IF(AO27&gt;=91, 4.00, IF(AO27&gt;=81, 3.50, IF(AO27&gt;=70, 3.00, IF(AO27&gt;=65, 2.50, IF(AO27&gt;=60, 2.00, IF(AO27&gt;=55, 1.50, IF(AO27&gt;=50, 1.00, 0.00)))))))</f>
      </c>
      <c r="AQ27" s="40">
        <f>IF(AO27&gt;=91,"A",IF(AO27&gt;=81,"B+",IF(AO27&gt;=70,"B",IF(AO27&gt;=65,"C+",IF(AO27&gt;=60,"C",IF(AO27&gt;=55,"D+",IF(AO27&gt;=50,"D","F")))))))</f>
      </c>
      <c r="AR27" s="40">
        <f>ROUND((L27*3+O27*2+R27*1+U27*1+X27*1+AA27*2+AD27*2+AG27*2+AJ27*1+AM27*2+AP27*2)/19, 2)</f>
      </c>
      <c r="AS27" s="47">
        <v>75</v>
      </c>
      <c r="AT27" s="40">
        <f>IF(AS27&gt;=91, 4.00, IF(AS27&gt;=81, 3.50, IF(AS27&gt;=70, 3.00, IF(AS27&gt;=65, 2.50, IF(AS27&gt;=60, 2.00, IF(AS27&gt;=55, 1.50, IF(AS27&gt;=50, 1.00, 0.00)))))))</f>
      </c>
      <c r="AU27" s="40">
        <f>IF(AS27&gt;=91,"A",IF(AS27&gt;=81,"B+",IF(AS27&gt;=70,"B",IF(AS27&gt;=65,"C+",IF(AS27&gt;=60,"C",IF(AS27&gt;=55,"D+",IF(AS27&gt;=50,"D","F")))))))</f>
      </c>
      <c r="AV27" s="40" t="s">
        <v>51</v>
      </c>
      <c r="AW27" s="40">
        <f>IF(AV27&gt;=91, 4.00, IF(AV27&gt;=81, 3.50, IF(AV27&gt;=70, 3.00, IF(AV27&gt;=65, 2.50, IF(AV27&gt;=60, 2.00, IF(AV27&gt;=55, 1.50, IF(AV27&gt;=50, 1.00, 0.00)))))))</f>
      </c>
      <c r="AX27" s="40">
        <f>IF(AV27&gt;=91,"A",IF(AV27&gt;=81,"B+",IF(AV27&gt;=70,"B",IF(AV27&gt;=65,"C+",IF(AV27&gt;=60,"C",IF(AV27&gt;=55,"D+",IF(AV27&gt;=50,"D","F")))))))</f>
      </c>
      <c r="AY27" s="40" t="s">
        <v>298</v>
      </c>
      <c r="AZ27" s="40">
        <f>IF(AY27&gt;=91, 4.00, IF(AY27&gt;=81, 3.50, IF(AY27&gt;=70, 3.00, IF(AY27&gt;=65, 2.50, IF(AY27&gt;=60, 2.00, IF(AY27&gt;=55, 1.50, IF(AY27&gt;=50, 1.00, 0.00)))))))</f>
      </c>
      <c r="BA27" s="44">
        <f>IF(AY27&gt;=91,"A",IF(AY27&gt;=81,"B+",IF(AY27&gt;=70,"B",IF(AY27&gt;=65,"C+",IF(AY27&gt;=60,"C",IF(AY27&gt;=55,"D+",IF(AY27&gt;=50,"D","F")))))))</f>
      </c>
      <c r="BB27" s="112">
        <v>84</v>
      </c>
      <c r="BC27" s="48">
        <f>IF(BB27&gt;=91, 4.00, IF(BB27&gt;=81, 3.50, IF(BB27&gt;=70, 3.00, IF(BB27&gt;=65, 2.50, IF(BB27&gt;=60, 2.00, IF(BB27&gt;=55, 1.50, IF(BB27&gt;=50, 1.00, 0.00)))))))</f>
      </c>
      <c r="BD27" s="49">
        <f>IF(BB27&gt;=91,"A",IF(BB27&gt;=81,"B+",IF(BB27&gt;=70,"B",IF(BB27&gt;=65,"C+",IF(BB27&gt;=60,"C",IF(BB27&gt;=55,"D+",IF(BB27&gt;=50,"D","F")))))))</f>
      </c>
      <c r="BE27" s="40" t="str">
        <f>IF(BC27&gt;90,"A",IF(BC27&gt;80,"B+",IF(BC27&gt;69,"B",IF(BC27&gt;64,"C+",IF(BC27&gt;59,"C",IF(BC27&gt;54,"D+",IF(BC27&gt;49,"D",IF(BC27&gt;=0,"F"))))))))</f>
        <v>F</v>
      </c>
      <c r="BF27" s="48">
        <f>IF(BE27&gt;=91, 4.00, IF(BE27&gt;=81, 3.50, IF(BE27&gt;=70, 3.00, IF(BE27&gt;=65, 2.50, IF(BE27&gt;=60, 2.00, IF(BE27&gt;=55, 1.50, IF(BE27&gt;=50, 1.00, 0.00)))))))</f>
      </c>
      <c r="BG27" s="49">
        <f>IF(BE27&gt;=91,"A",IF(BE27&gt;=81,"B+",IF(BE27&gt;=70,"B",IF(BE27&gt;=65,"C+",IF(BE27&gt;=60,"C",IF(BE27&gt;=55,"D+",IF(BE27&gt;=50,"D","F")))))))</f>
      </c>
      <c r="BH27" s="40" t="str">
        <f>IF(BF27&gt;90,"A",IF(BF27&gt;80,"B+",IF(BF27&gt;69,"B",IF(BF27&gt;64,"C+",IF(BF27&gt;59,"C",IF(BF27&gt;54,"D+",IF(BF27&gt;49,"D",IF(BF27&gt;=0,"F"))))))))</f>
        <v>F</v>
      </c>
      <c r="BI27" s="43">
        <f>IF(BH27&gt;=91, 4.00, IF(BH27&gt;=81, 3.50, IF(BH27&gt;=70, 3.00, IF(BH27&gt;=65, 2.50, IF(BH27&gt;=60, 2.00, IF(BH27&gt;=55, 1.50, IF(BH27&gt;=50, 1.00, 0.00)))))))</f>
      </c>
      <c r="BJ27" s="49">
        <f>IF(BH27&gt;=91,"A",IF(BH27&gt;=81,"B+",IF(BH27&gt;=70,"B",IF(BH27&gt;=65,"C+",IF(BH27&gt;=60,"C",IF(BH27&gt;=55,"D+",IF(BH27&gt;=50,"D","F")))))))</f>
      </c>
      <c r="BK27" s="40" t="str">
        <f>IF(BI27&gt;90,"A",IF(BI27&gt;80,"B+",IF(BI27&gt;69,"B",IF(BI27&gt;64,"C+",IF(BI27&gt;59,"C",IF(BI27&gt;54,"D+",IF(BI27&gt;49,"D",IF(BI27&gt;=0,"F"))))))))</f>
        <v>F</v>
      </c>
      <c r="BL27" s="48">
        <f>IF(BK27&gt;=91, 4.00, IF(BK27&gt;=81, 3.50, IF(BK27&gt;=70, 3.00, IF(BK27&gt;=65, 2.50, IF(BK27&gt;=60, 2.00, IF(BK27&gt;=55, 1.50, IF(BK27&gt;=50, 1.00, 0.00)))))))</f>
      </c>
      <c r="BM27" s="49">
        <f>IF(BK27&gt;=91,"A",IF(BK27&gt;=81,"B+",IF(BK27&gt;=70,"B",IF(BK27&gt;=65,"C+",IF(BK27&gt;=60,"C",IF(BK27&gt;=55,"D+",IF(BK27&gt;=50,"D","F")))))))</f>
      </c>
      <c r="BN27" s="40" t="str">
        <f>IF(BL27&gt;90,"A",IF(BL27&gt;80,"B+",IF(BL27&gt;69,"B",IF(BL27&gt;64,"C+",IF(BL27&gt;59,"C",IF(BL27&gt;54,"D+",IF(BL27&gt;49,"D",IF(BL27&gt;=0,"F"))))))))</f>
        <v>F</v>
      </c>
      <c r="BO27" s="43">
        <f>IF(BN27&gt;=91, 4.00, IF(BN27&gt;=81, 3.50, IF(BN27&gt;=70, 3.00, IF(BN27&gt;=65, 2.50, IF(BN27&gt;=60, 2.00, IF(BN27&gt;=55, 1.50, IF(BN27&gt;=50, 1.00, 0.00)))))))</f>
      </c>
      <c r="BP27" s="49">
        <f>IF(BN27&gt;=91,"A",IF(BN27&gt;=81,"B+",IF(BN27&gt;=70,"B",IF(BN27&gt;=65,"C+",IF(BN27&gt;=60,"C",IF(BN27&gt;=55,"D+",IF(BN27&gt;=50,"D","F")))))))</f>
      </c>
      <c r="BQ27" s="40" t="str">
        <f>IF(BO27&gt;90,"A",IF(BO27&gt;80,"B+",IF(BO27&gt;69,"B",IF(BO27&gt;64,"C+",IF(BO27&gt;59,"C",IF(BO27&gt;54,"D+",IF(BO27&gt;49,"D",IF(BO27&gt;=0,"F"))))))))</f>
        <v>F</v>
      </c>
      <c r="BR27" s="43">
        <f>IF(BQ27&gt;=91, 4.00, IF(BQ27&gt;=81, 3.50, IF(BQ27&gt;=70, 3.00, IF(BQ27&gt;=65, 2.50, IF(BQ27&gt;=60, 2.00, IF(BQ27&gt;=55, 1.50, IF(BQ27&gt;=50, 1.00, 0.00)))))))</f>
      </c>
      <c r="BS27" s="49">
        <f>IF(BQ27&gt;=91,"A",IF(BQ27&gt;=81,"B+",IF(BQ27&gt;=70,"B",IF(BQ27&gt;=65,"C+",IF(BQ27&gt;=60,"C",IF(BQ27&gt;=55,"D+",IF(BQ27&gt;=50,"D","F")))))))</f>
      </c>
      <c r="BT27" s="40" t="str">
        <f>IF(BR27&gt;90,"A",IF(BR27&gt;80,"B+",IF(BR27&gt;69,"B",IF(BR27&gt;64,"C+",IF(BR27&gt;59,"C",IF(BR27&gt;54,"D+",IF(BR27&gt;49,"D",IF(BR27&gt;=0,"F"))))))))</f>
        <v>F</v>
      </c>
      <c r="BU27" s="49">
        <f>IF(BT27&gt;=91, 4.00, IF(BT27&gt;=81, 3.50, IF(BT27&gt;=70, 3.00, IF(BT27&gt;=65, 2.50, IF(BT27&gt;=60, 2.00, IF(BT27&gt;=55, 1.50, IF(BT27&gt;=50, 1.00, 0.00)))))))</f>
      </c>
      <c r="BV27" s="49">
        <f>IF(BT27&gt;=91,"A",IF(BT27&gt;=81,"B+",IF(BT27&gt;=70,"B",IF(BT27&gt;=65,"C+",IF(BT27&gt;=60,"C",IF(BT27&gt;=55,"D+",IF(BT27&gt;=50,"D","F")))))))</f>
      </c>
      <c r="BW27" s="40">
        <f>ROUND((AT27*3+AW27*2+AZ27*1+BC27*1+BF27*1+BI27*2+BL27*2+BO27*1+BR27*2+BU27*3)/18, 2)</f>
      </c>
      <c r="BX27" s="49"/>
      <c r="BY27" s="49" t="str">
        <f>IF(BX27&gt;90,"4.00",IF(BX27&gt;80,"3.50",IF(BX27&gt;69,"3.00",IF(BX27&gt;64,"2.50",IF(BX27&gt;59,"2.00",IF(BX27&gt;54,"1.50",IF(BX27&gt;49,"1.00","0.00")))))))</f>
        <v>0.00</v>
      </c>
      <c r="BZ27" s="40" t="str">
        <f>IF(BX27&gt;90,"A",IF(BX27&gt;80,"B+",IF(BX27&gt;69,"B",IF(BX27&gt;64,"C+",IF(BX27&gt;59,"C",IF(BX27&gt;54,"D+",IF(BX27&gt;49,"D",IF(BX27&gt;=0,"F"))))))))</f>
        <v>F</v>
      </c>
      <c r="CA27" s="49"/>
      <c r="CB27" s="49" t="str">
        <f>IF(CA27&gt;90,"4.00",IF(CA27&gt;80,"3.50",IF(CA27&gt;69,"3.00",IF(CA27&gt;64,"2.50",IF(CA27&gt;59,"2.00",IF(CA27&gt;54,"1.50",IF(CA27&gt;49,"1.00","0.00")))))))</f>
        <v>0.00</v>
      </c>
      <c r="CC27" s="40" t="str">
        <f>IF(CA27&gt;90,"A",IF(CA27&gt;80,"B+",IF(CA27&gt;69,"B",IF(CA27&gt;64,"C+",IF(CA27&gt;59,"C",IF(CA27&gt;54,"D+",IF(CA27&gt;49,"D",IF(CA27&gt;=0,"F"))))))))</f>
        <v>F</v>
      </c>
      <c r="CD27" s="49"/>
      <c r="CE27" s="49" t="str">
        <f>IF(CD27&gt;90,"4.00",IF(CD27&gt;80,"3.50",IF(CD27&gt;69,"3.00",IF(CD27&gt;64,"2.50",IF(CD27&gt;59,"2.00",IF(CD27&gt;54,"1.50",IF(CD27&gt;49,"1.00","0.00")))))))</f>
        <v>0.00</v>
      </c>
      <c r="CF27" s="40" t="str">
        <f>IF(CD27&gt;90,"A",IF(CD27&gt;80,"B+",IF(CD27&gt;69,"B",IF(CD27&gt;64,"C+",IF(CD27&gt;59,"C",IF(CD27&gt;54,"D+",IF(CD27&gt;49,"D",IF(CD27&gt;=0,"F"))))))))</f>
        <v>F</v>
      </c>
      <c r="CG27" s="50">
        <f>(BD27*3+BG27*1+BJ27*1+BM27*2+BP27*1+BS27*2+BV27*2+BY27*1+CB27*2+CE27*2)/(3+1+1+2+1+2+2+1+2+2)</f>
        <v>0</v>
      </c>
      <c r="CH27" s="50">
        <f>(AR27+CG27)/2</f>
        <v>0</v>
      </c>
      <c r="CI27" s="51">
        <f>RANK(CH27,$CH$7:CH56)</f>
        <v>1</v>
      </c>
      <c r="CJ27" s="66"/>
      <c r="CK27" s="52"/>
      <c r="CL27" s="52"/>
      <c r="CM27" s="52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  <c r="FN27" s="53"/>
      <c r="FO27" s="53"/>
      <c r="FP27" s="53"/>
      <c r="FQ27" s="53"/>
      <c r="FR27" s="53"/>
      <c r="FS27" s="53"/>
      <c r="FT27" s="53"/>
      <c r="FU27" s="53"/>
      <c r="FV27" s="53"/>
      <c r="FW27" s="53"/>
      <c r="FX27" s="53"/>
      <c r="FY27" s="53"/>
      <c r="FZ27" s="53"/>
      <c r="GA27" s="53"/>
      <c r="GB27" s="53"/>
      <c r="GC27" s="53"/>
      <c r="GD27" s="53"/>
      <c r="GE27" s="53"/>
      <c r="GF27" s="53"/>
      <c r="GG27" s="53"/>
      <c r="GH27" s="53"/>
      <c r="GI27" s="53"/>
      <c r="GJ27" s="53"/>
      <c r="GK27" s="53"/>
      <c r="GL27" s="53"/>
      <c r="GM27" s="53"/>
      <c r="GN27" s="53"/>
      <c r="GO27" s="53"/>
      <c r="GP27" s="53"/>
      <c r="GQ27" s="53"/>
      <c r="GR27" s="53"/>
      <c r="GS27" s="53"/>
      <c r="GT27" s="53"/>
    </row>
    <row r="28" ht="20" customHeight="1" spans="1:91" s="53" customFormat="1" x14ac:dyDescent="0.25">
      <c r="A28" s="40">
        <v>22</v>
      </c>
      <c r="B28" s="40" t="s">
        <v>117</v>
      </c>
      <c r="C28" s="40" t="s">
        <v>51</v>
      </c>
      <c r="D28" s="40" t="s">
        <v>171</v>
      </c>
      <c r="E28" s="40" t="s">
        <v>172</v>
      </c>
      <c r="F28" s="40" t="s">
        <v>300</v>
      </c>
      <c r="G28" s="40" t="s">
        <v>174</v>
      </c>
      <c r="H28" s="111"/>
      <c r="I28" s="112"/>
      <c r="J28" s="40">
        <v>1</v>
      </c>
      <c r="K28" s="42">
        <v>86</v>
      </c>
      <c r="L28" s="40">
        <f>IF(K28&gt;=91, 4.00, IF(K28&gt;=81, 3.50, IF(K28&gt;=70, 3.00, IF(K28&gt;=65, 2.50, IF(K28&gt;=60, 2.00, IF(K28&gt;=55, 1.50, IF(K28&gt;=50, 1.00, 0.00)))))))</f>
      </c>
      <c r="M28" s="40">
        <f>IF(K28&gt;=91,"A",IF(K28&gt;=81,"B+",IF(K28&gt;=70,"B",IF(K28&gt;=65,"C+",IF(K28&gt;=60,"C",IF(K28&gt;=55,"D+",IF(K28&gt;=50,"D","F")))))))</f>
      </c>
      <c r="N28" s="42">
        <v>89</v>
      </c>
      <c r="O28" s="40">
        <f>IF(N28&gt;=91, 4.00, IF(N28&gt;=81, 3.50, IF(N28&gt;=70, 3.00, IF(N28&gt;=65, 2.50, IF(N28&gt;=60, 2.00, IF(N28&gt;=55, 1.50, IF(N28&gt;=50, 1.00, 0.00)))))))</f>
      </c>
      <c r="P28" s="40">
        <f>IF(N28&gt;=91,"A",IF(N28&gt;=81,"B+",IF(N28&gt;=70,"B",IF(N28&gt;=65,"C+",IF(N28&gt;=60,"C",IF(N28&gt;=55,"D+",IF(N28&gt;=50,"D","F")))))))</f>
      </c>
      <c r="Q28" s="42">
        <v>92</v>
      </c>
      <c r="R28" s="40">
        <f>IF(Q28&gt;=91, 4.00, IF(Q28&gt;=81, 3.50, IF(Q28&gt;=70, 3.00, IF(Q28&gt;=65, 2.50, IF(Q28&gt;=60, 2.00, IF(Q28&gt;=55, 1.50, IF(Q28&gt;=50, 1.00, 0.00)))))))</f>
      </c>
      <c r="S28" s="40">
        <f>IF(Q28&gt;=91,"A",IF(Q28&gt;=81,"B+",IF(Q28&gt;=70,"B",IF(Q28&gt;=65,"C+",IF(Q28&gt;=60,"C",IF(Q28&gt;=55,"D+",IF(Q28&gt;=50,"D","F")))))))</f>
      </c>
      <c r="T28" s="42">
        <v>95</v>
      </c>
      <c r="U28" s="40">
        <f>IF(T28&gt;=91, 4.00, IF(T28&gt;=81, 3.50, IF(T28&gt;=70, 3.00, IF(T28&gt;=65, 2.50, IF(T28&gt;=60, 2.00, IF(T28&gt;=55, 1.50, IF(T28&gt;=50, 1.00, 0.00)))))))</f>
      </c>
      <c r="V28" s="40">
        <f>IF(T28&gt;=91,"A",IF(T28&gt;=81,"B+",IF(T28&gt;=70,"B",IF(T28&gt;=65,"C+",IF(T28&gt;=60,"C",IF(T28&gt;=55,"D+",IF(T28&gt;=50,"D","F")))))))</f>
      </c>
      <c r="W28" s="42">
        <v>77</v>
      </c>
      <c r="X28" s="40">
        <f>IF(W28&gt;=91, 4.00, IF(W28&gt;=81, 3.50, IF(W28&gt;=70, 3.00, IF(W28&gt;=65, 2.50, IF(W28&gt;=60, 2.00, IF(W28&gt;=55, 1.50, IF(W28&gt;=50, 1.00, 0.00)))))))</f>
      </c>
      <c r="Y28" s="40">
        <f>IF(W28&gt;=91,"A",IF(W28&gt;=81,"B+",IF(W28&gt;=70,"B",IF(W28&gt;=65,"C+",IF(W28&gt;=60,"C",IF(W28&gt;=55,"D+",IF(W28&gt;=50,"D","F")))))))</f>
      </c>
      <c r="Z28" s="46">
        <v>80</v>
      </c>
      <c r="AA28" s="40">
        <f>IF(Z28&gt;=91, 4.00, IF(Z28&gt;=81, 3.50, IF(Z28&gt;=70, 3.00, IF(Z28&gt;=65, 2.50, IF(Z28&gt;=60, 2.00, IF(Z28&gt;=55, 1.50, IF(Z28&gt;=50, 1.00, 0.00)))))))</f>
      </c>
      <c r="AB28" s="40">
        <f>IF(Z28&gt;=91,"A",IF(Z28&gt;=81,"B+",IF(Z28&gt;=70,"B",IF(Z28&gt;=65,"C+",IF(Z28&gt;=60,"C",IF(Z28&gt;=55,"D+",IF(Z28&gt;=50,"D","F")))))))</f>
      </c>
      <c r="AC28" s="42">
        <v>83</v>
      </c>
      <c r="AD28" s="40">
        <f>IF(AC28&gt;=91, 4.00, IF(AC28&gt;=81, 3.50, IF(AC28&gt;=70, 3.00, IF(AC28&gt;=65, 2.50, IF(AC28&gt;=60, 2.00, IF(AC28&gt;=55, 1.50, IF(AC28&gt;=50, 1.00, 0.00)))))))</f>
      </c>
      <c r="AE28" s="40">
        <f>IF(AC28&gt;=91,"A",IF(AC28&gt;=81,"B+",IF(AC28&gt;=70,"B",IF(AC28&gt;=65,"C+",IF(AC28&gt;=60,"C",IF(AC28&gt;=55,"D+",IF(AC28&gt;=50,"D","F")))))))</f>
      </c>
      <c r="AF28" s="40">
        <v>86</v>
      </c>
      <c r="AG28" s="40">
        <f>IF(AF28&gt;=91, 4.00, IF(AF28&gt;=81, 3.50, IF(AF28&gt;=70, 3.00, IF(AF28&gt;=65, 2.50, IF(AF28&gt;=60, 2.00, IF(AF28&gt;=55, 1.50, IF(AF28&gt;=50, 1.00, 0.00)))))))</f>
      </c>
      <c r="AH28" s="40">
        <f>IF(AF28&gt;=91,"A",IF(AF28&gt;=81,"B+",IF(AF28&gt;=70,"B",IF(AF28&gt;=65,"C+",IF(AF28&gt;=60,"C",IF(AF28&gt;=55,"D+",IF(AF28&gt;=50,"D","F")))))))</f>
      </c>
      <c r="AI28" s="46">
        <v>89</v>
      </c>
      <c r="AJ28" s="40">
        <f>IF(AI28&gt;=91, 4.00, IF(AI28&gt;=81, 3.50, IF(AI28&gt;=70, 3.00, IF(AI28&gt;=65, 2.50, IF(AI28&gt;=60, 2.00, IF(AI28&gt;=55, 1.50, IF(AI28&gt;=50, 1.00, 0.00)))))))</f>
      </c>
      <c r="AK28" s="40">
        <f>IF(AI28&gt;=91,"A",IF(AI28&gt;=81,"B+",IF(AI28&gt;=70,"B",IF(AI28&gt;=65,"C+",IF(AI28&gt;=60,"C",IF(AI28&gt;=55,"D+",IF(AI28&gt;=50,"D","F")))))))</f>
      </c>
      <c r="AL28" s="42">
        <v>92</v>
      </c>
      <c r="AM28" s="40">
        <f>IF(AL28&gt;=91, 4.00, IF(AL28&gt;=81, 3.50, IF(AL28&gt;=70, 3.00, IF(AL28&gt;=65, 2.50, IF(AL28&gt;=60, 2.00, IF(AL28&gt;=55, 1.50, IF(AL28&gt;=50, 1.00, 0.00)))))))</f>
      </c>
      <c r="AN28" s="40">
        <f>IF(AL28&gt;=91,"A",IF(AL28&gt;=81,"B+",IF(AL28&gt;=70,"B",IF(AL28&gt;=65,"C+",IF(AL28&gt;=60,"C",IF(AL28&gt;=55,"D+",IF(AL28&gt;=50,"D","F")))))))</f>
      </c>
      <c r="AO28" s="40">
        <v>95</v>
      </c>
      <c r="AP28" s="40">
        <f>IF(AO28&gt;=91, 4.00, IF(AO28&gt;=81, 3.50, IF(AO28&gt;=70, 3.00, IF(AO28&gt;=65, 2.50, IF(AO28&gt;=60, 2.00, IF(AO28&gt;=55, 1.50, IF(AO28&gt;=50, 1.00, 0.00)))))))</f>
      </c>
      <c r="AQ28" s="40">
        <f>IF(AO28&gt;=91,"A",IF(AO28&gt;=81,"B+",IF(AO28&gt;=70,"B",IF(AO28&gt;=65,"C+",IF(AO28&gt;=60,"C",IF(AO28&gt;=55,"D+",IF(AO28&gt;=50,"D","F")))))))</f>
      </c>
      <c r="AR28" s="40">
        <f>ROUND((L28*3+O28*2+R28*1+U28*1+X28*1+AA28*2+AD28*2+AG28*2+AJ28*1+AM28*2+AP28*2)/19, 2)</f>
      </c>
      <c r="AS28" s="52">
        <v>78</v>
      </c>
      <c r="AT28" s="40">
        <f>IF(AS28&gt;=91, 4.00, IF(AS28&gt;=81, 3.50, IF(AS28&gt;=70, 3.00, IF(AS28&gt;=65, 2.50, IF(AS28&gt;=60, 2.00, IF(AS28&gt;=55, 1.50, IF(AS28&gt;=50, 1.00, 0.00)))))))</f>
      </c>
      <c r="AU28" s="40">
        <f>IF(AS28&gt;=91,"A",IF(AS28&gt;=81,"B+",IF(AS28&gt;=70,"B",IF(AS28&gt;=65,"C+",IF(AS28&gt;=60,"C",IF(AS28&gt;=55,"D+",IF(AS28&gt;=50,"D","F")))))))</f>
      </c>
      <c r="AV28" s="40" t="s">
        <v>51</v>
      </c>
      <c r="AW28" s="40">
        <f>IF(AV28&gt;=91, 4.00, IF(AV28&gt;=81, 3.50, IF(AV28&gt;=70, 3.00, IF(AV28&gt;=65, 2.50, IF(AV28&gt;=60, 2.00, IF(AV28&gt;=55, 1.50, IF(AV28&gt;=50, 1.00, 0.00)))))))</f>
      </c>
      <c r="AX28" s="40">
        <f>IF(AV28&gt;=91,"A",IF(AV28&gt;=81,"B+",IF(AV28&gt;=70,"B",IF(AV28&gt;=65,"C+",IF(AV28&gt;=60,"C",IF(AV28&gt;=55,"D+",IF(AV28&gt;=50,"D","F")))))))</f>
      </c>
      <c r="AY28" s="40" t="s">
        <v>300</v>
      </c>
      <c r="AZ28" s="40">
        <f>IF(AY28&gt;=91, 4.00, IF(AY28&gt;=81, 3.50, IF(AY28&gt;=70, 3.00, IF(AY28&gt;=65, 2.50, IF(AY28&gt;=60, 2.00, IF(AY28&gt;=55, 1.50, IF(AY28&gt;=50, 1.00, 0.00)))))))</f>
      </c>
      <c r="BA28" s="111">
        <f>IF(AY28&gt;=91,"A",IF(AY28&gt;=81,"B+",IF(AY28&gt;=70,"B",IF(AY28&gt;=65,"C+",IF(AY28&gt;=60,"C",IF(AY28&gt;=55,"D+",IF(AY28&gt;=50,"D","F")))))))</f>
      </c>
      <c r="BB28" s="112">
        <v>87</v>
      </c>
      <c r="BC28" s="48">
        <f>IF(BB28&gt;=91, 4.00, IF(BB28&gt;=81, 3.50, IF(BB28&gt;=70, 3.00, IF(BB28&gt;=65, 2.50, IF(BB28&gt;=60, 2.00, IF(BB28&gt;=55, 1.50, IF(BB28&gt;=50, 1.00, 0.00)))))))</f>
      </c>
      <c r="BD28" s="49">
        <f>IF(BB28&gt;=91,"A",IF(BB28&gt;=81,"B+",IF(BB28&gt;=70,"B",IF(BB28&gt;=65,"C+",IF(BB28&gt;=60,"C",IF(BB28&gt;=55,"D+",IF(BB28&gt;=50,"D","F")))))))</f>
      </c>
      <c r="BE28" s="40" t="str">
        <f>IF(BC28&gt;90,"A",IF(BC28&gt;80,"B+",IF(BC28&gt;69,"B",IF(BC28&gt;64,"C+",IF(BC28&gt;59,"C",IF(BC28&gt;54,"D+",IF(BC28&gt;49,"D",IF(BC28&gt;=0,"F"))))))))</f>
        <v>F</v>
      </c>
      <c r="BF28" s="48">
        <f>IF(BE28&gt;=91, 4.00, IF(BE28&gt;=81, 3.50, IF(BE28&gt;=70, 3.00, IF(BE28&gt;=65, 2.50, IF(BE28&gt;=60, 2.00, IF(BE28&gt;=55, 1.50, IF(BE28&gt;=50, 1.00, 0.00)))))))</f>
      </c>
      <c r="BG28" s="49">
        <f>IF(BE28&gt;=91,"A",IF(BE28&gt;=81,"B+",IF(BE28&gt;=70,"B",IF(BE28&gt;=65,"C+",IF(BE28&gt;=60,"C",IF(BE28&gt;=55,"D+",IF(BE28&gt;=50,"D","F")))))))</f>
      </c>
      <c r="BH28" s="40" t="str">
        <f>IF(BF28&gt;90,"A",IF(BF28&gt;80,"B+",IF(BF28&gt;69,"B",IF(BF28&gt;64,"C+",IF(BF28&gt;59,"C",IF(BF28&gt;54,"D+",IF(BF28&gt;49,"D",IF(BF28&gt;=0,"F"))))))))</f>
        <v>F</v>
      </c>
      <c r="BI28" s="43">
        <f>IF(BH28&gt;=91, 4.00, IF(BH28&gt;=81, 3.50, IF(BH28&gt;=70, 3.00, IF(BH28&gt;=65, 2.50, IF(BH28&gt;=60, 2.00, IF(BH28&gt;=55, 1.50, IF(BH28&gt;=50, 1.00, 0.00)))))))</f>
      </c>
      <c r="BJ28" s="49">
        <f>IF(BH28&gt;=91,"A",IF(BH28&gt;=81,"B+",IF(BH28&gt;=70,"B",IF(BH28&gt;=65,"C+",IF(BH28&gt;=60,"C",IF(BH28&gt;=55,"D+",IF(BH28&gt;=50,"D","F")))))))</f>
      </c>
      <c r="BK28" s="40" t="str">
        <f>IF(BI28&gt;90,"A",IF(BI28&gt;80,"B+",IF(BI28&gt;69,"B",IF(BI28&gt;64,"C+",IF(BI28&gt;59,"C",IF(BI28&gt;54,"D+",IF(BI28&gt;49,"D",IF(BI28&gt;=0,"F"))))))))</f>
        <v>F</v>
      </c>
      <c r="BL28" s="48">
        <f>IF(BK28&gt;=91, 4.00, IF(BK28&gt;=81, 3.50, IF(BK28&gt;=70, 3.00, IF(BK28&gt;=65, 2.50, IF(BK28&gt;=60, 2.00, IF(BK28&gt;=55, 1.50, IF(BK28&gt;=50, 1.00, 0.00)))))))</f>
      </c>
      <c r="BM28" s="49">
        <f>IF(BK28&gt;=91,"A",IF(BK28&gt;=81,"B+",IF(BK28&gt;=70,"B",IF(BK28&gt;=65,"C+",IF(BK28&gt;=60,"C",IF(BK28&gt;=55,"D+",IF(BK28&gt;=50,"D","F")))))))</f>
      </c>
      <c r="BN28" s="40" t="str">
        <f>IF(BL28&gt;90,"A",IF(BL28&gt;80,"B+",IF(BL28&gt;69,"B",IF(BL28&gt;64,"C+",IF(BL28&gt;59,"C",IF(BL28&gt;54,"D+",IF(BL28&gt;49,"D",IF(BL28&gt;=0,"F"))))))))</f>
        <v>F</v>
      </c>
      <c r="BO28" s="43">
        <f>IF(BN28&gt;=91, 4.00, IF(BN28&gt;=81, 3.50, IF(BN28&gt;=70, 3.00, IF(BN28&gt;=65, 2.50, IF(BN28&gt;=60, 2.00, IF(BN28&gt;=55, 1.50, IF(BN28&gt;=50, 1.00, 0.00)))))))</f>
      </c>
      <c r="BP28" s="49">
        <f>IF(BN28&gt;=91,"A",IF(BN28&gt;=81,"B+",IF(BN28&gt;=70,"B",IF(BN28&gt;=65,"C+",IF(BN28&gt;=60,"C",IF(BN28&gt;=55,"D+",IF(BN28&gt;=50,"D","F")))))))</f>
      </c>
      <c r="BQ28" s="40" t="str">
        <f>IF(BO28&gt;90,"A",IF(BO28&gt;80,"B+",IF(BO28&gt;69,"B",IF(BO28&gt;64,"C+",IF(BO28&gt;59,"C",IF(BO28&gt;54,"D+",IF(BO28&gt;49,"D",IF(BO28&gt;=0,"F"))))))))</f>
        <v>F</v>
      </c>
      <c r="BR28" s="43">
        <f>IF(BQ28&gt;=91, 4.00, IF(BQ28&gt;=81, 3.50, IF(BQ28&gt;=70, 3.00, IF(BQ28&gt;=65, 2.50, IF(BQ28&gt;=60, 2.00, IF(BQ28&gt;=55, 1.50, IF(BQ28&gt;=50, 1.00, 0.00)))))))</f>
      </c>
      <c r="BS28" s="49">
        <f>IF(BQ28&gt;=91,"A",IF(BQ28&gt;=81,"B+",IF(BQ28&gt;=70,"B",IF(BQ28&gt;=65,"C+",IF(BQ28&gt;=60,"C",IF(BQ28&gt;=55,"D+",IF(BQ28&gt;=50,"D","F")))))))</f>
      </c>
      <c r="BT28" s="40" t="str">
        <f>IF(BR28&gt;90,"A",IF(BR28&gt;80,"B+",IF(BR28&gt;69,"B",IF(BR28&gt;64,"C+",IF(BR28&gt;59,"C",IF(BR28&gt;54,"D+",IF(BR28&gt;49,"D",IF(BR28&gt;=0,"F"))))))))</f>
        <v>F</v>
      </c>
      <c r="BU28" s="49">
        <f>IF(BT28&gt;=91, 4.00, IF(BT28&gt;=81, 3.50, IF(BT28&gt;=70, 3.00, IF(BT28&gt;=65, 2.50, IF(BT28&gt;=60, 2.00, IF(BT28&gt;=55, 1.50, IF(BT28&gt;=50, 1.00, 0.00)))))))</f>
      </c>
      <c r="BV28" s="49">
        <f>IF(BT28&gt;=91,"A",IF(BT28&gt;=81,"B+",IF(BT28&gt;=70,"B",IF(BT28&gt;=65,"C+",IF(BT28&gt;=60,"C",IF(BT28&gt;=55,"D+",IF(BT28&gt;=50,"D","F")))))))</f>
      </c>
      <c r="BW28" s="40">
        <f>ROUND((AT28*3+AW28*2+AZ28*1+BC28*1+BF28*1+BI28*2+BL28*2+BO28*1+BR28*2+BU28*3)/18, 2)</f>
      </c>
      <c r="BX28" s="49"/>
      <c r="BY28" s="49" t="str">
        <f>IF(BX28&gt;90,"4.00",IF(BX28&gt;80,"3.50",IF(BX28&gt;69,"3.00",IF(BX28&gt;64,"2.50",IF(BX28&gt;59,"2.00",IF(BX28&gt;54,"1.50",IF(BX28&gt;49,"1.00","0.00")))))))</f>
        <v>0.00</v>
      </c>
      <c r="BZ28" s="40" t="str">
        <f>IF(BX28&gt;90,"A",IF(BX28&gt;80,"B+",IF(BX28&gt;69,"B",IF(BX28&gt;64,"C+",IF(BX28&gt;59,"C",IF(BX28&gt;54,"D+",IF(BX28&gt;49,"D",IF(BX28&gt;=0,"F"))))))))</f>
        <v>F</v>
      </c>
      <c r="CA28" s="49"/>
      <c r="CB28" s="49" t="str">
        <f>IF(CA28&gt;90,"4.00",IF(CA28&gt;80,"3.50",IF(CA28&gt;69,"3.00",IF(CA28&gt;64,"2.50",IF(CA28&gt;59,"2.00",IF(CA28&gt;54,"1.50",IF(CA28&gt;49,"1.00","0.00")))))))</f>
        <v>0.00</v>
      </c>
      <c r="CC28" s="40" t="str">
        <f>IF(CA28&gt;90,"A",IF(CA28&gt;80,"B+",IF(CA28&gt;69,"B",IF(CA28&gt;64,"C+",IF(CA28&gt;59,"C",IF(CA28&gt;54,"D+",IF(CA28&gt;49,"D",IF(CA28&gt;=0,"F"))))))))</f>
        <v>F</v>
      </c>
      <c r="CD28" s="49"/>
      <c r="CE28" s="49" t="str">
        <f>IF(CD28&gt;90,"4.00",IF(CD28&gt;80,"3.50",IF(CD28&gt;69,"3.00",IF(CD28&gt;64,"2.50",IF(CD28&gt;59,"2.00",IF(CD28&gt;54,"1.50",IF(CD28&gt;49,"1.00","0.00")))))))</f>
        <v>0.00</v>
      </c>
      <c r="CF28" s="40" t="str">
        <f>IF(CD28&gt;90,"A",IF(CD28&gt;80,"B+",IF(CD28&gt;69,"B",IF(CD28&gt;64,"C+",IF(CD28&gt;59,"C",IF(CD28&gt;54,"D+",IF(CD28&gt;49,"D",IF(CD28&gt;=0,"F"))))))))</f>
        <v>F</v>
      </c>
      <c r="CG28" s="50">
        <f>(BD28*3+BG28*1+BJ28*1+BM28*2+BP28*1+BS28*2+BV28*2+BY28*1+CB28*2+CE28*2)/(3+1+1+2+1+2+2+1+2+2)</f>
        <v>0</v>
      </c>
      <c r="CH28" s="50">
        <f>(AR28+CG28)/2</f>
        <v>0</v>
      </c>
      <c r="CI28" s="51">
        <f>RANK(CH28,$CH$7:CH57)</f>
        <v>1</v>
      </c>
      <c r="CJ28" s="67"/>
      <c r="CK28" s="52"/>
      <c r="CL28" s="52"/>
      <c r="CM28" s="52"/>
    </row>
    <row r="29" ht="20" customHeight="1" spans="1:92" s="53" customFormat="1" x14ac:dyDescent="0.25">
      <c r="A29" s="40">
        <v>23</v>
      </c>
      <c r="B29" s="40" t="s">
        <v>123</v>
      </c>
      <c r="C29" s="40" t="s">
        <v>43</v>
      </c>
      <c r="D29" s="40" t="s">
        <v>176</v>
      </c>
      <c r="E29" s="40" t="s">
        <v>177</v>
      </c>
      <c r="F29" s="40" t="s">
        <v>301</v>
      </c>
      <c r="G29" s="40" t="s">
        <v>179</v>
      </c>
      <c r="H29" s="44"/>
      <c r="I29" s="112"/>
      <c r="J29" s="40">
        <v>1</v>
      </c>
      <c r="K29" s="42">
        <v>89</v>
      </c>
      <c r="L29" s="40">
        <f>IF(K29&gt;=91, 4.00, IF(K29&gt;=81, 3.50, IF(K29&gt;=70, 3.00, IF(K29&gt;=65, 2.50, IF(K29&gt;=60, 2.00, IF(K29&gt;=55, 1.50, IF(K29&gt;=50, 1.00, 0.00)))))))</f>
      </c>
      <c r="M29" s="40">
        <f>IF(K29&gt;=91,"A",IF(K29&gt;=81,"B+",IF(K29&gt;=70,"B",IF(K29&gt;=65,"C+",IF(K29&gt;=60,"C",IF(K29&gt;=55,"D+",IF(K29&gt;=50,"D","F")))))))</f>
      </c>
      <c r="N29" s="42">
        <v>92</v>
      </c>
      <c r="O29" s="40">
        <f>IF(N29&gt;=91, 4.00, IF(N29&gt;=81, 3.50, IF(N29&gt;=70, 3.00, IF(N29&gt;=65, 2.50, IF(N29&gt;=60, 2.00, IF(N29&gt;=55, 1.50, IF(N29&gt;=50, 1.00, 0.00)))))))</f>
      </c>
      <c r="P29" s="40">
        <f>IF(N29&gt;=91,"A",IF(N29&gt;=81,"B+",IF(N29&gt;=70,"B",IF(N29&gt;=65,"C+",IF(N29&gt;=60,"C",IF(N29&gt;=55,"D+",IF(N29&gt;=50,"D","F")))))))</f>
      </c>
      <c r="Q29" s="42">
        <v>95</v>
      </c>
      <c r="R29" s="40">
        <f>IF(Q29&gt;=91, 4.00, IF(Q29&gt;=81, 3.50, IF(Q29&gt;=70, 3.00, IF(Q29&gt;=65, 2.50, IF(Q29&gt;=60, 2.00, IF(Q29&gt;=55, 1.50, IF(Q29&gt;=50, 1.00, 0.00)))))))</f>
      </c>
      <c r="S29" s="40">
        <f>IF(Q29&gt;=91,"A",IF(Q29&gt;=81,"B+",IF(Q29&gt;=70,"B",IF(Q29&gt;=65,"C+",IF(Q29&gt;=60,"C",IF(Q29&gt;=55,"D+",IF(Q29&gt;=50,"D","F")))))))</f>
      </c>
      <c r="T29" s="42">
        <v>77</v>
      </c>
      <c r="U29" s="40">
        <f>IF(T29&gt;=91, 4.00, IF(T29&gt;=81, 3.50, IF(T29&gt;=70, 3.00, IF(T29&gt;=65, 2.50, IF(T29&gt;=60, 2.00, IF(T29&gt;=55, 1.50, IF(T29&gt;=50, 1.00, 0.00)))))))</f>
      </c>
      <c r="V29" s="40">
        <f>IF(T29&gt;=91,"A",IF(T29&gt;=81,"B+",IF(T29&gt;=70,"B",IF(T29&gt;=65,"C+",IF(T29&gt;=60,"C",IF(T29&gt;=55,"D+",IF(T29&gt;=50,"D","F")))))))</f>
      </c>
      <c r="W29" s="42">
        <v>80</v>
      </c>
      <c r="X29" s="40">
        <f>IF(W29&gt;=91, 4.00, IF(W29&gt;=81, 3.50, IF(W29&gt;=70, 3.00, IF(W29&gt;=65, 2.50, IF(W29&gt;=60, 2.00, IF(W29&gt;=55, 1.50, IF(W29&gt;=50, 1.00, 0.00)))))))</f>
      </c>
      <c r="Y29" s="40">
        <f>IF(W29&gt;=91,"A",IF(W29&gt;=81,"B+",IF(W29&gt;=70,"B",IF(W29&gt;=65,"C+",IF(W29&gt;=60,"C",IF(W29&gt;=55,"D+",IF(W29&gt;=50,"D","F")))))))</f>
      </c>
      <c r="Z29" s="46">
        <v>83</v>
      </c>
      <c r="AA29" s="40">
        <f>IF(Z29&gt;=91, 4.00, IF(Z29&gt;=81, 3.50, IF(Z29&gt;=70, 3.00, IF(Z29&gt;=65, 2.50, IF(Z29&gt;=60, 2.00, IF(Z29&gt;=55, 1.50, IF(Z29&gt;=50, 1.00, 0.00)))))))</f>
      </c>
      <c r="AB29" s="40">
        <f>IF(Z29&gt;=91,"A",IF(Z29&gt;=81,"B+",IF(Z29&gt;=70,"B",IF(Z29&gt;=65,"C+",IF(Z29&gt;=60,"C",IF(Z29&gt;=55,"D+",IF(Z29&gt;=50,"D","F")))))))</f>
      </c>
      <c r="AC29" s="42">
        <v>86</v>
      </c>
      <c r="AD29" s="40">
        <f>IF(AC29&gt;=91, 4.00, IF(AC29&gt;=81, 3.50, IF(AC29&gt;=70, 3.00, IF(AC29&gt;=65, 2.50, IF(AC29&gt;=60, 2.00, IF(AC29&gt;=55, 1.50, IF(AC29&gt;=50, 1.00, 0.00)))))))</f>
      </c>
      <c r="AE29" s="40">
        <f>IF(AC29&gt;=91,"A",IF(AC29&gt;=81,"B+",IF(AC29&gt;=70,"B",IF(AC29&gt;=65,"C+",IF(AC29&gt;=60,"C",IF(AC29&gt;=55,"D+",IF(AC29&gt;=50,"D","F")))))))</f>
      </c>
      <c r="AF29" s="40">
        <v>89</v>
      </c>
      <c r="AG29" s="40">
        <f>IF(AF29&gt;=91, 4.00, IF(AF29&gt;=81, 3.50, IF(AF29&gt;=70, 3.00, IF(AF29&gt;=65, 2.50, IF(AF29&gt;=60, 2.00, IF(AF29&gt;=55, 1.50, IF(AF29&gt;=50, 1.00, 0.00)))))))</f>
      </c>
      <c r="AH29" s="40">
        <f>IF(AF29&gt;=91,"A",IF(AF29&gt;=81,"B+",IF(AF29&gt;=70,"B",IF(AF29&gt;=65,"C+",IF(AF29&gt;=60,"C",IF(AF29&gt;=55,"D+",IF(AF29&gt;=50,"D","F")))))))</f>
      </c>
      <c r="AI29" s="46">
        <v>92</v>
      </c>
      <c r="AJ29" s="40">
        <f>IF(AI29&gt;=91, 4.00, IF(AI29&gt;=81, 3.50, IF(AI29&gt;=70, 3.00, IF(AI29&gt;=65, 2.50, IF(AI29&gt;=60, 2.00, IF(AI29&gt;=55, 1.50, IF(AI29&gt;=50, 1.00, 0.00)))))))</f>
      </c>
      <c r="AK29" s="40">
        <f>IF(AI29&gt;=91,"A",IF(AI29&gt;=81,"B+",IF(AI29&gt;=70,"B",IF(AI29&gt;=65,"C+",IF(AI29&gt;=60,"C",IF(AI29&gt;=55,"D+",IF(AI29&gt;=50,"D","F")))))))</f>
      </c>
      <c r="AL29" s="42">
        <v>95</v>
      </c>
      <c r="AM29" s="40">
        <f>IF(AL29&gt;=91, 4.00, IF(AL29&gt;=81, 3.50, IF(AL29&gt;=70, 3.00, IF(AL29&gt;=65, 2.50, IF(AL29&gt;=60, 2.00, IF(AL29&gt;=55, 1.50, IF(AL29&gt;=50, 1.00, 0.00)))))))</f>
      </c>
      <c r="AN29" s="40">
        <f>IF(AL29&gt;=91,"A",IF(AL29&gt;=81,"B+",IF(AL29&gt;=70,"B",IF(AL29&gt;=65,"C+",IF(AL29&gt;=60,"C",IF(AL29&gt;=55,"D+",IF(AL29&gt;=50,"D","F")))))))</f>
      </c>
      <c r="AO29" s="40">
        <v>77</v>
      </c>
      <c r="AP29" s="40">
        <f>IF(AO29&gt;=91, 4.00, IF(AO29&gt;=81, 3.50, IF(AO29&gt;=70, 3.00, IF(AO29&gt;=65, 2.50, IF(AO29&gt;=60, 2.00, IF(AO29&gt;=55, 1.50, IF(AO29&gt;=50, 1.00, 0.00)))))))</f>
      </c>
      <c r="AQ29" s="40">
        <f>IF(AO29&gt;=91,"A",IF(AO29&gt;=81,"B+",IF(AO29&gt;=70,"B",IF(AO29&gt;=65,"C+",IF(AO29&gt;=60,"C",IF(AO29&gt;=55,"D+",IF(AO29&gt;=50,"D","F")))))))</f>
      </c>
      <c r="AR29" s="40">
        <f>ROUND((L29*3+O29*2+R29*1+U29*1+X29*1+AA29*2+AD29*2+AG29*2+AJ29*1+AM29*2+AP29*2)/19, 2)</f>
      </c>
      <c r="AS29" s="115">
        <v>81</v>
      </c>
      <c r="AT29" s="40">
        <f>IF(AS29&gt;=91, 4.00, IF(AS29&gt;=81, 3.50, IF(AS29&gt;=70, 3.00, IF(AS29&gt;=65, 2.50, IF(AS29&gt;=60, 2.00, IF(AS29&gt;=55, 1.50, IF(AS29&gt;=50, 1.00, 0.00)))))))</f>
      </c>
      <c r="AU29" s="40">
        <f>IF(AS29&gt;=91,"A",IF(AS29&gt;=81,"B+",IF(AS29&gt;=70,"B",IF(AS29&gt;=65,"C+",IF(AS29&gt;=60,"C",IF(AS29&gt;=55,"D+",IF(AS29&gt;=50,"D","F")))))))</f>
      </c>
      <c r="AV29" s="40" t="s">
        <v>43</v>
      </c>
      <c r="AW29" s="40">
        <f>IF(AV29&gt;=91, 4.00, IF(AV29&gt;=81, 3.50, IF(AV29&gt;=70, 3.00, IF(AV29&gt;=65, 2.50, IF(AV29&gt;=60, 2.00, IF(AV29&gt;=55, 1.50, IF(AV29&gt;=50, 1.00, 0.00)))))))</f>
      </c>
      <c r="AX29" s="40">
        <f>IF(AV29&gt;=91,"A",IF(AV29&gt;=81,"B+",IF(AV29&gt;=70,"B",IF(AV29&gt;=65,"C+",IF(AV29&gt;=60,"C",IF(AV29&gt;=55,"D+",IF(AV29&gt;=50,"D","F")))))))</f>
      </c>
      <c r="AY29" s="40" t="s">
        <v>301</v>
      </c>
      <c r="AZ29" s="40">
        <f>IF(AY29&gt;=91, 4.00, IF(AY29&gt;=81, 3.50, IF(AY29&gt;=70, 3.00, IF(AY29&gt;=65, 2.50, IF(AY29&gt;=60, 2.00, IF(AY29&gt;=55, 1.50, IF(AY29&gt;=50, 1.00, 0.00)))))))</f>
      </c>
      <c r="BA29" s="44">
        <f>IF(AY29&gt;=91,"A",IF(AY29&gt;=81,"B+",IF(AY29&gt;=70,"B",IF(AY29&gt;=65,"C+",IF(AY29&gt;=60,"C",IF(AY29&gt;=55,"D+",IF(AY29&gt;=50,"D","F")))))))</f>
      </c>
      <c r="BB29" s="112">
        <v>90</v>
      </c>
      <c r="BC29" s="48">
        <f>IF(BB29&gt;=91, 4.00, IF(BB29&gt;=81, 3.50, IF(BB29&gt;=70, 3.00, IF(BB29&gt;=65, 2.50, IF(BB29&gt;=60, 2.00, IF(BB29&gt;=55, 1.50, IF(BB29&gt;=50, 1.00, 0.00)))))))</f>
      </c>
      <c r="BD29" s="49">
        <f>IF(BB29&gt;=91,"A",IF(BB29&gt;=81,"B+",IF(BB29&gt;=70,"B",IF(BB29&gt;=65,"C+",IF(BB29&gt;=60,"C",IF(BB29&gt;=55,"D+",IF(BB29&gt;=50,"D","F")))))))</f>
      </c>
      <c r="BE29" s="40" t="str">
        <f>IF(BC29&gt;90,"A",IF(BC29&gt;80,"B+",IF(BC29&gt;69,"B",IF(BC29&gt;64,"C+",IF(BC29&gt;59,"C",IF(BC29&gt;54,"D+",IF(BC29&gt;49,"D",IF(BC29&gt;=0,"F"))))))))</f>
        <v>F</v>
      </c>
      <c r="BF29" s="48">
        <f>IF(BE29&gt;=91, 4.00, IF(BE29&gt;=81, 3.50, IF(BE29&gt;=70, 3.00, IF(BE29&gt;=65, 2.50, IF(BE29&gt;=60, 2.00, IF(BE29&gt;=55, 1.50, IF(BE29&gt;=50, 1.00, 0.00)))))))</f>
      </c>
      <c r="BG29" s="49">
        <f>IF(BE29&gt;=91,"A",IF(BE29&gt;=81,"B+",IF(BE29&gt;=70,"B",IF(BE29&gt;=65,"C+",IF(BE29&gt;=60,"C",IF(BE29&gt;=55,"D+",IF(BE29&gt;=50,"D","F")))))))</f>
      </c>
      <c r="BH29" s="40" t="str">
        <f>IF(BF29&gt;90,"A",IF(BF29&gt;80,"B+",IF(BF29&gt;69,"B",IF(BF29&gt;64,"C+",IF(BF29&gt;59,"C",IF(BF29&gt;54,"D+",IF(BF29&gt;49,"D",IF(BF29&gt;=0,"F"))))))))</f>
        <v>F</v>
      </c>
      <c r="BI29" s="43">
        <f>IF(BH29&gt;=91, 4.00, IF(BH29&gt;=81, 3.50, IF(BH29&gt;=70, 3.00, IF(BH29&gt;=65, 2.50, IF(BH29&gt;=60, 2.00, IF(BH29&gt;=55, 1.50, IF(BH29&gt;=50, 1.00, 0.00)))))))</f>
      </c>
      <c r="BJ29" s="49">
        <f>IF(BH29&gt;=91,"A",IF(BH29&gt;=81,"B+",IF(BH29&gt;=70,"B",IF(BH29&gt;=65,"C+",IF(BH29&gt;=60,"C",IF(BH29&gt;=55,"D+",IF(BH29&gt;=50,"D","F")))))))</f>
      </c>
      <c r="BK29" s="40" t="str">
        <f>IF(BI29&gt;90,"A",IF(BI29&gt;80,"B+",IF(BI29&gt;69,"B",IF(BI29&gt;64,"C+",IF(BI29&gt;59,"C",IF(BI29&gt;54,"D+",IF(BI29&gt;49,"D",IF(BI29&gt;=0,"F"))))))))</f>
        <v>F</v>
      </c>
      <c r="BL29" s="48">
        <f>IF(BK29&gt;=91, 4.00, IF(BK29&gt;=81, 3.50, IF(BK29&gt;=70, 3.00, IF(BK29&gt;=65, 2.50, IF(BK29&gt;=60, 2.00, IF(BK29&gt;=55, 1.50, IF(BK29&gt;=50, 1.00, 0.00)))))))</f>
      </c>
      <c r="BM29" s="49">
        <f>IF(BK29&gt;=91,"A",IF(BK29&gt;=81,"B+",IF(BK29&gt;=70,"B",IF(BK29&gt;=65,"C+",IF(BK29&gt;=60,"C",IF(BK29&gt;=55,"D+",IF(BK29&gt;=50,"D","F")))))))</f>
      </c>
      <c r="BN29" s="40" t="str">
        <f>IF(BL29&gt;90,"A",IF(BL29&gt;80,"B+",IF(BL29&gt;69,"B",IF(BL29&gt;64,"C+",IF(BL29&gt;59,"C",IF(BL29&gt;54,"D+",IF(BL29&gt;49,"D",IF(BL29&gt;=0,"F"))))))))</f>
        <v>F</v>
      </c>
      <c r="BO29" s="43">
        <f>IF(BN29&gt;=91, 4.00, IF(BN29&gt;=81, 3.50, IF(BN29&gt;=70, 3.00, IF(BN29&gt;=65, 2.50, IF(BN29&gt;=60, 2.00, IF(BN29&gt;=55, 1.50, IF(BN29&gt;=50, 1.00, 0.00)))))))</f>
      </c>
      <c r="BP29" s="49">
        <f>IF(BN29&gt;=91,"A",IF(BN29&gt;=81,"B+",IF(BN29&gt;=70,"B",IF(BN29&gt;=65,"C+",IF(BN29&gt;=60,"C",IF(BN29&gt;=55,"D+",IF(BN29&gt;=50,"D","F")))))))</f>
      </c>
      <c r="BQ29" s="40" t="str">
        <f>IF(BO29&gt;90,"A",IF(BO29&gt;80,"B+",IF(BO29&gt;69,"B",IF(BO29&gt;64,"C+",IF(BO29&gt;59,"C",IF(BO29&gt;54,"D+",IF(BO29&gt;49,"D",IF(BO29&gt;=0,"F"))))))))</f>
        <v>F</v>
      </c>
      <c r="BR29" s="43">
        <f>IF(BQ29&gt;=91, 4.00, IF(BQ29&gt;=81, 3.50, IF(BQ29&gt;=70, 3.00, IF(BQ29&gt;=65, 2.50, IF(BQ29&gt;=60, 2.00, IF(BQ29&gt;=55, 1.50, IF(BQ29&gt;=50, 1.00, 0.00)))))))</f>
      </c>
      <c r="BS29" s="49">
        <f>IF(BQ29&gt;=91,"A",IF(BQ29&gt;=81,"B+",IF(BQ29&gt;=70,"B",IF(BQ29&gt;=65,"C+",IF(BQ29&gt;=60,"C",IF(BQ29&gt;=55,"D+",IF(BQ29&gt;=50,"D","F")))))))</f>
      </c>
      <c r="BT29" s="40" t="str">
        <f>IF(BR29&gt;90,"A",IF(BR29&gt;80,"B+",IF(BR29&gt;69,"B",IF(BR29&gt;64,"C+",IF(BR29&gt;59,"C",IF(BR29&gt;54,"D+",IF(BR29&gt;49,"D",IF(BR29&gt;=0,"F"))))))))</f>
        <v>F</v>
      </c>
      <c r="BU29" s="49">
        <f>IF(BT29&gt;=91, 4.00, IF(BT29&gt;=81, 3.50, IF(BT29&gt;=70, 3.00, IF(BT29&gt;=65, 2.50, IF(BT29&gt;=60, 2.00, IF(BT29&gt;=55, 1.50, IF(BT29&gt;=50, 1.00, 0.00)))))))</f>
      </c>
      <c r="BV29" s="49">
        <f>IF(BT29&gt;=91,"A",IF(BT29&gt;=81,"B+",IF(BT29&gt;=70,"B",IF(BT29&gt;=65,"C+",IF(BT29&gt;=60,"C",IF(BT29&gt;=55,"D+",IF(BT29&gt;=50,"D","F")))))))</f>
      </c>
      <c r="BW29" s="40">
        <f>ROUND((AT29*3+AW29*2+AZ29*1+BC29*1+BF29*1+BI29*2+BL29*2+BO29*1+BR29*2+BU29*3)/18, 2)</f>
      </c>
      <c r="BX29" s="49"/>
      <c r="BY29" s="49" t="str">
        <f>IF(BX29&gt;90,"4.00",IF(BX29&gt;80,"3.50",IF(BX29&gt;69,"3.00",IF(BX29&gt;64,"2.50",IF(BX29&gt;59,"2.00",IF(BX29&gt;54,"1.50",IF(BX29&gt;49,"1.00","0.00")))))))</f>
        <v>0.00</v>
      </c>
      <c r="BZ29" s="40" t="str">
        <f>IF(BX29&gt;90,"A",IF(BX29&gt;80,"B+",IF(BX29&gt;69,"B",IF(BX29&gt;64,"C+",IF(BX29&gt;59,"C",IF(BX29&gt;54,"D+",IF(BX29&gt;49,"D",IF(BX29&gt;=0,"F"))))))))</f>
        <v>F</v>
      </c>
      <c r="CA29" s="49"/>
      <c r="CB29" s="49" t="str">
        <f>IF(CA29&gt;90,"4.00",IF(CA29&gt;80,"3.50",IF(CA29&gt;69,"3.00",IF(CA29&gt;64,"2.50",IF(CA29&gt;59,"2.00",IF(CA29&gt;54,"1.50",IF(CA29&gt;49,"1.00","0.00")))))))</f>
        <v>0.00</v>
      </c>
      <c r="CC29" s="40" t="str">
        <f>IF(CA29&gt;90,"A",IF(CA29&gt;80,"B+",IF(CA29&gt;69,"B",IF(CA29&gt;64,"C+",IF(CA29&gt;59,"C",IF(CA29&gt;54,"D+",IF(CA29&gt;49,"D",IF(CA29&gt;=0,"F"))))))))</f>
        <v>F</v>
      </c>
      <c r="CD29" s="49"/>
      <c r="CE29" s="49" t="str">
        <f>IF(CD29&gt;90,"4.00",IF(CD29&gt;80,"3.50",IF(CD29&gt;69,"3.00",IF(CD29&gt;64,"2.50",IF(CD29&gt;59,"2.00",IF(CD29&gt;54,"1.50",IF(CD29&gt;49,"1.00","0.00")))))))</f>
        <v>0.00</v>
      </c>
      <c r="CF29" s="40" t="str">
        <f>IF(CD29&gt;90,"A",IF(CD29&gt;80,"B+",IF(CD29&gt;69,"B",IF(CD29&gt;64,"C+",IF(CD29&gt;59,"C",IF(CD29&gt;54,"D+",IF(CD29&gt;49,"D",IF(CD29&gt;=0,"F"))))))))</f>
        <v>F</v>
      </c>
      <c r="CG29" s="50">
        <f>(BD29*3+BG29*1+BJ29*1+BM29*2+BP29*1+BS29*2+BV29*2+BY29*1+CB29*2+CE29*2)/(3+1+1+2+1+2+2+1+2+2)</f>
        <v>0</v>
      </c>
      <c r="CH29" s="50">
        <f>(AR29+CG29)/2</f>
        <v>0</v>
      </c>
      <c r="CI29" s="51">
        <f>RANK(CH29,$CH$7:CH58)</f>
        <v>1</v>
      </c>
      <c r="CJ29" s="67"/>
      <c r="CK29" s="52"/>
      <c r="CL29" s="52"/>
      <c r="CM29" s="52"/>
      <c r="CN29" s="52"/>
    </row>
    <row r="30" ht="20" customHeight="1" spans="1:91" s="53" customFormat="1" x14ac:dyDescent="0.25">
      <c r="A30" s="40">
        <v>24</v>
      </c>
      <c r="B30" s="40" t="s">
        <v>129</v>
      </c>
      <c r="C30" s="40" t="s">
        <v>51</v>
      </c>
      <c r="D30" s="40" t="s">
        <v>182</v>
      </c>
      <c r="E30" s="40" t="s">
        <v>302</v>
      </c>
      <c r="F30" s="40" t="s">
        <v>303</v>
      </c>
      <c r="G30" s="40" t="s">
        <v>185</v>
      </c>
      <c r="H30" s="111"/>
      <c r="I30" s="112"/>
      <c r="J30" s="40">
        <v>1</v>
      </c>
      <c r="K30" s="42">
        <v>92</v>
      </c>
      <c r="L30" s="40">
        <f>IF(K30&gt;=91, 4.00, IF(K30&gt;=81, 3.50, IF(K30&gt;=70, 3.00, IF(K30&gt;=65, 2.50, IF(K30&gt;=60, 2.00, IF(K30&gt;=55, 1.50, IF(K30&gt;=50, 1.00, 0.00)))))))</f>
      </c>
      <c r="M30" s="40">
        <f>IF(K30&gt;=91,"A",IF(K30&gt;=81,"B+",IF(K30&gt;=70,"B",IF(K30&gt;=65,"C+",IF(K30&gt;=60,"C",IF(K30&gt;=55,"D+",IF(K30&gt;=50,"D","F")))))))</f>
      </c>
      <c r="N30" s="42">
        <v>95</v>
      </c>
      <c r="O30" s="40">
        <f>IF(N30&gt;=91, 4.00, IF(N30&gt;=81, 3.50, IF(N30&gt;=70, 3.00, IF(N30&gt;=65, 2.50, IF(N30&gt;=60, 2.00, IF(N30&gt;=55, 1.50, IF(N30&gt;=50, 1.00, 0.00)))))))</f>
      </c>
      <c r="P30" s="40">
        <f>IF(N30&gt;=91,"A",IF(N30&gt;=81,"B+",IF(N30&gt;=70,"B",IF(N30&gt;=65,"C+",IF(N30&gt;=60,"C",IF(N30&gt;=55,"D+",IF(N30&gt;=50,"D","F")))))))</f>
      </c>
      <c r="Q30" s="42">
        <v>77</v>
      </c>
      <c r="R30" s="40">
        <f>IF(Q30&gt;=91, 4.00, IF(Q30&gt;=81, 3.50, IF(Q30&gt;=70, 3.00, IF(Q30&gt;=65, 2.50, IF(Q30&gt;=60, 2.00, IF(Q30&gt;=55, 1.50, IF(Q30&gt;=50, 1.00, 0.00)))))))</f>
      </c>
      <c r="S30" s="40">
        <f>IF(Q30&gt;=91,"A",IF(Q30&gt;=81,"B+",IF(Q30&gt;=70,"B",IF(Q30&gt;=65,"C+",IF(Q30&gt;=60,"C",IF(Q30&gt;=55,"D+",IF(Q30&gt;=50,"D","F")))))))</f>
      </c>
      <c r="T30" s="40">
        <v>80</v>
      </c>
      <c r="U30" s="40">
        <f>IF(T30&gt;=91, 4.00, IF(T30&gt;=81, 3.50, IF(T30&gt;=70, 3.00, IF(T30&gt;=65, 2.50, IF(T30&gt;=60, 2.00, IF(T30&gt;=55, 1.50, IF(T30&gt;=50, 1.00, 0.00)))))))</f>
      </c>
      <c r="V30" s="40">
        <f>IF(T30&gt;=91,"A",IF(T30&gt;=81,"B+",IF(T30&gt;=70,"B",IF(T30&gt;=65,"C+",IF(T30&gt;=60,"C",IF(T30&gt;=55,"D+",IF(T30&gt;=50,"D","F")))))))</f>
      </c>
      <c r="W30" s="42">
        <v>83</v>
      </c>
      <c r="X30" s="40">
        <f>IF(W30&gt;=91, 4.00, IF(W30&gt;=81, 3.50, IF(W30&gt;=70, 3.00, IF(W30&gt;=65, 2.50, IF(W30&gt;=60, 2.00, IF(W30&gt;=55, 1.50, IF(W30&gt;=50, 1.00, 0.00)))))))</f>
      </c>
      <c r="Y30" s="40">
        <f>IF(W30&gt;=91,"A",IF(W30&gt;=81,"B+",IF(W30&gt;=70,"B",IF(W30&gt;=65,"C+",IF(W30&gt;=60,"C",IF(W30&gt;=55,"D+",IF(W30&gt;=50,"D","F")))))))</f>
      </c>
      <c r="Z30" s="40">
        <v>86</v>
      </c>
      <c r="AA30" s="40">
        <f>IF(Z30&gt;=91, 4.00, IF(Z30&gt;=81, 3.50, IF(Z30&gt;=70, 3.00, IF(Z30&gt;=65, 2.50, IF(Z30&gt;=60, 2.00, IF(Z30&gt;=55, 1.50, IF(Z30&gt;=50, 1.00, 0.00)))))))</f>
      </c>
      <c r="AB30" s="40">
        <f>IF(Z30&gt;=91,"A",IF(Z30&gt;=81,"B+",IF(Z30&gt;=70,"B",IF(Z30&gt;=65,"C+",IF(Z30&gt;=60,"C",IF(Z30&gt;=55,"D+",IF(Z30&gt;=50,"D","F")))))))</f>
      </c>
      <c r="AC30" s="40">
        <v>89</v>
      </c>
      <c r="AD30" s="40">
        <f>IF(AC30&gt;=91, 4.00, IF(AC30&gt;=81, 3.50, IF(AC30&gt;=70, 3.00, IF(AC30&gt;=65, 2.50, IF(AC30&gt;=60, 2.00, IF(AC30&gt;=55, 1.50, IF(AC30&gt;=50, 1.00, 0.00)))))))</f>
      </c>
      <c r="AE30" s="40">
        <f>IF(AC30&gt;=91,"A",IF(AC30&gt;=81,"B+",IF(AC30&gt;=70,"B",IF(AC30&gt;=65,"C+",IF(AC30&gt;=60,"C",IF(AC30&gt;=55,"D+",IF(AC30&gt;=50,"D","F")))))))</f>
      </c>
      <c r="AF30" s="40">
        <v>92</v>
      </c>
      <c r="AG30" s="40">
        <f>IF(AF30&gt;=91, 4.00, IF(AF30&gt;=81, 3.50, IF(AF30&gt;=70, 3.00, IF(AF30&gt;=65, 2.50, IF(AF30&gt;=60, 2.00, IF(AF30&gt;=55, 1.50, IF(AF30&gt;=50, 1.00, 0.00)))))))</f>
      </c>
      <c r="AH30" s="40">
        <f>IF(AF30&gt;=91,"A",IF(AF30&gt;=81,"B+",IF(AF30&gt;=70,"B",IF(AF30&gt;=65,"C+",IF(AF30&gt;=60,"C",IF(AF30&gt;=55,"D+",IF(AF30&gt;=50,"D","F")))))))</f>
      </c>
      <c r="AI30" s="40">
        <v>95</v>
      </c>
      <c r="AJ30" s="40">
        <f>IF(AI30&gt;=91, 4.00, IF(AI30&gt;=81, 3.50, IF(AI30&gt;=70, 3.00, IF(AI30&gt;=65, 2.50, IF(AI30&gt;=60, 2.00, IF(AI30&gt;=55, 1.50, IF(AI30&gt;=50, 1.00, 0.00)))))))</f>
      </c>
      <c r="AK30" s="40">
        <f>IF(AI30&gt;=91,"A",IF(AI30&gt;=81,"B+",IF(AI30&gt;=70,"B",IF(AI30&gt;=65,"C+",IF(AI30&gt;=60,"C",IF(AI30&gt;=55,"D+",IF(AI30&gt;=50,"D","F")))))))</f>
      </c>
      <c r="AL30" s="40">
        <v>77</v>
      </c>
      <c r="AM30" s="40">
        <f>IF(AL30&gt;=91, 4.00, IF(AL30&gt;=81, 3.50, IF(AL30&gt;=70, 3.00, IF(AL30&gt;=65, 2.50, IF(AL30&gt;=60, 2.00, IF(AL30&gt;=55, 1.50, IF(AL30&gt;=50, 1.00, 0.00)))))))</f>
      </c>
      <c r="AN30" s="40">
        <f>IF(AL30&gt;=91,"A",IF(AL30&gt;=81,"B+",IF(AL30&gt;=70,"B",IF(AL30&gt;=65,"C+",IF(AL30&gt;=60,"C",IF(AL30&gt;=55,"D+",IF(AL30&gt;=50,"D","F")))))))</f>
      </c>
      <c r="AO30" s="40">
        <v>80</v>
      </c>
      <c r="AP30" s="40">
        <f>IF(AO30&gt;=91, 4.00, IF(AO30&gt;=81, 3.50, IF(AO30&gt;=70, 3.00, IF(AO30&gt;=65, 2.50, IF(AO30&gt;=60, 2.00, IF(AO30&gt;=55, 1.50, IF(AO30&gt;=50, 1.00, 0.00)))))))</f>
      </c>
      <c r="AQ30" s="40">
        <f>IF(AO30&gt;=91,"A",IF(AO30&gt;=81,"B+",IF(AO30&gt;=70,"B",IF(AO30&gt;=65,"C+",IF(AO30&gt;=60,"C",IF(AO30&gt;=55,"D+",IF(AO30&gt;=50,"D","F")))))))</f>
      </c>
      <c r="AR30" s="40">
        <f>ROUND((L30*3+O30*2+R30*1+U30*1+X30*1+AA30*2+AD30*2+AG30*2+AJ30*1+AM30*2+AP30*2)/19, 2)</f>
      </c>
      <c r="AS30" s="52">
        <v>84</v>
      </c>
      <c r="AT30" s="40">
        <f>IF(AS30&gt;=91, 4.00, IF(AS30&gt;=81, 3.50, IF(AS30&gt;=70, 3.00, IF(AS30&gt;=65, 2.50, IF(AS30&gt;=60, 2.00, IF(AS30&gt;=55, 1.50, IF(AS30&gt;=50, 1.00, 0.00)))))))</f>
      </c>
      <c r="AU30" s="40">
        <f>IF(AS30&gt;=91,"A",IF(AS30&gt;=81,"B+",IF(AS30&gt;=70,"B",IF(AS30&gt;=65,"C+",IF(AS30&gt;=60,"C",IF(AS30&gt;=55,"D+",IF(AS30&gt;=50,"D","F")))))))</f>
      </c>
      <c r="AV30" s="40" t="s">
        <v>51</v>
      </c>
      <c r="AW30" s="40">
        <f>IF(AV30&gt;=91, 4.00, IF(AV30&gt;=81, 3.50, IF(AV30&gt;=70, 3.00, IF(AV30&gt;=65, 2.50, IF(AV30&gt;=60, 2.00, IF(AV30&gt;=55, 1.50, IF(AV30&gt;=50, 1.00, 0.00)))))))</f>
      </c>
      <c r="AX30" s="40">
        <f>IF(AV30&gt;=91,"A",IF(AV30&gt;=81,"B+",IF(AV30&gt;=70,"B",IF(AV30&gt;=65,"C+",IF(AV30&gt;=60,"C",IF(AV30&gt;=55,"D+",IF(AV30&gt;=50,"D","F")))))))</f>
      </c>
      <c r="AY30" s="40" t="s">
        <v>303</v>
      </c>
      <c r="AZ30" s="40">
        <f>IF(AY30&gt;=91, 4.00, IF(AY30&gt;=81, 3.50, IF(AY30&gt;=70, 3.00, IF(AY30&gt;=65, 2.50, IF(AY30&gt;=60, 2.00, IF(AY30&gt;=55, 1.50, IF(AY30&gt;=50, 1.00, 0.00)))))))</f>
      </c>
      <c r="BA30" s="111">
        <f>IF(AY30&gt;=91,"A",IF(AY30&gt;=81,"B+",IF(AY30&gt;=70,"B",IF(AY30&gt;=65,"C+",IF(AY30&gt;=60,"C",IF(AY30&gt;=55,"D+",IF(AY30&gt;=50,"D","F")))))))</f>
      </c>
      <c r="BB30" s="112">
        <v>93</v>
      </c>
      <c r="BC30" s="49">
        <f>IF(BB30&gt;=91, 4.00, IF(BB30&gt;=81, 3.50, IF(BB30&gt;=70, 3.00, IF(BB30&gt;=65, 2.50, IF(BB30&gt;=60, 2.00, IF(BB30&gt;=55, 1.50, IF(BB30&gt;=50, 1.00, 0.00)))))))</f>
      </c>
      <c r="BD30" s="49">
        <f>IF(BB30&gt;=91,"A",IF(BB30&gt;=81,"B+",IF(BB30&gt;=70,"B",IF(BB30&gt;=65,"C+",IF(BB30&gt;=60,"C",IF(BB30&gt;=55,"D+",IF(BB30&gt;=50,"D","F")))))))</f>
      </c>
      <c r="BE30" s="40" t="str">
        <f>IF(BC30&gt;90,"A",IF(BC30&gt;80,"B+",IF(BC30&gt;69,"B",IF(BC30&gt;64,"C+",IF(BC30&gt;59,"C",IF(BC30&gt;54,"D+",IF(BC30&gt;49,"D",IF(BC30&gt;=0,"F"))))))))</f>
        <v>F</v>
      </c>
      <c r="BF30" s="49">
        <f>IF(BE30&gt;=91, 4.00, IF(BE30&gt;=81, 3.50, IF(BE30&gt;=70, 3.00, IF(BE30&gt;=65, 2.50, IF(BE30&gt;=60, 2.00, IF(BE30&gt;=55, 1.50, IF(BE30&gt;=50, 1.00, 0.00)))))))</f>
      </c>
      <c r="BG30" s="49">
        <f>IF(BE30&gt;=91,"A",IF(BE30&gt;=81,"B+",IF(BE30&gt;=70,"B",IF(BE30&gt;=65,"C+",IF(BE30&gt;=60,"C",IF(BE30&gt;=55,"D+",IF(BE30&gt;=50,"D","F")))))))</f>
      </c>
      <c r="BH30" s="40" t="str">
        <f>IF(BF30&gt;90,"A",IF(BF30&gt;80,"B+",IF(BF30&gt;69,"B",IF(BF30&gt;64,"C+",IF(BF30&gt;59,"C",IF(BF30&gt;54,"D+",IF(BF30&gt;49,"D",IF(BF30&gt;=0,"F"))))))))</f>
        <v>F</v>
      </c>
      <c r="BI30" s="49">
        <f>IF(BH30&gt;=91, 4.00, IF(BH30&gt;=81, 3.50, IF(BH30&gt;=70, 3.00, IF(BH30&gt;=65, 2.50, IF(BH30&gt;=60, 2.00, IF(BH30&gt;=55, 1.50, IF(BH30&gt;=50, 1.00, 0.00)))))))</f>
      </c>
      <c r="BJ30" s="49">
        <f>IF(BH30&gt;=91,"A",IF(BH30&gt;=81,"B+",IF(BH30&gt;=70,"B",IF(BH30&gt;=65,"C+",IF(BH30&gt;=60,"C",IF(BH30&gt;=55,"D+",IF(BH30&gt;=50,"D","F")))))))</f>
      </c>
      <c r="BK30" s="40" t="str">
        <f>IF(BI30&gt;90,"A",IF(BI30&gt;80,"B+",IF(BI30&gt;69,"B",IF(BI30&gt;64,"C+",IF(BI30&gt;59,"C",IF(BI30&gt;54,"D+",IF(BI30&gt;49,"D",IF(BI30&gt;=0,"F"))))))))</f>
        <v>F</v>
      </c>
      <c r="BL30" s="49">
        <f>IF(BK30&gt;=91, 4.00, IF(BK30&gt;=81, 3.50, IF(BK30&gt;=70, 3.00, IF(BK30&gt;=65, 2.50, IF(BK30&gt;=60, 2.00, IF(BK30&gt;=55, 1.50, IF(BK30&gt;=50, 1.00, 0.00)))))))</f>
      </c>
      <c r="BM30" s="49">
        <f>IF(BK30&gt;=91,"A",IF(BK30&gt;=81,"B+",IF(BK30&gt;=70,"B",IF(BK30&gt;=65,"C+",IF(BK30&gt;=60,"C",IF(BK30&gt;=55,"D+",IF(BK30&gt;=50,"D","F")))))))</f>
      </c>
      <c r="BN30" s="40" t="str">
        <f>IF(BL30&gt;90,"A",IF(BL30&gt;80,"B+",IF(BL30&gt;69,"B",IF(BL30&gt;64,"C+",IF(BL30&gt;59,"C",IF(BL30&gt;54,"D+",IF(BL30&gt;49,"D",IF(BL30&gt;=0,"F"))))))))</f>
        <v>F</v>
      </c>
      <c r="BO30" s="49">
        <f>IF(BN30&gt;=91, 4.00, IF(BN30&gt;=81, 3.50, IF(BN30&gt;=70, 3.00, IF(BN30&gt;=65, 2.50, IF(BN30&gt;=60, 2.00, IF(BN30&gt;=55, 1.50, IF(BN30&gt;=50, 1.00, 0.00)))))))</f>
      </c>
      <c r="BP30" s="49">
        <f>IF(BN30&gt;=91,"A",IF(BN30&gt;=81,"B+",IF(BN30&gt;=70,"B",IF(BN30&gt;=65,"C+",IF(BN30&gt;=60,"C",IF(BN30&gt;=55,"D+",IF(BN30&gt;=50,"D","F")))))))</f>
      </c>
      <c r="BQ30" s="40" t="str">
        <f>IF(BO30&gt;90,"A",IF(BO30&gt;80,"B+",IF(BO30&gt;69,"B",IF(BO30&gt;64,"C+",IF(BO30&gt;59,"C",IF(BO30&gt;54,"D+",IF(BO30&gt;49,"D",IF(BO30&gt;=0,"F"))))))))</f>
        <v>F</v>
      </c>
      <c r="BR30" s="49">
        <f>IF(BQ30&gt;=91, 4.00, IF(BQ30&gt;=81, 3.50, IF(BQ30&gt;=70, 3.00, IF(BQ30&gt;=65, 2.50, IF(BQ30&gt;=60, 2.00, IF(BQ30&gt;=55, 1.50, IF(BQ30&gt;=50, 1.00, 0.00)))))))</f>
      </c>
      <c r="BS30" s="49">
        <f>IF(BQ30&gt;=91,"A",IF(BQ30&gt;=81,"B+",IF(BQ30&gt;=70,"B",IF(BQ30&gt;=65,"C+",IF(BQ30&gt;=60,"C",IF(BQ30&gt;=55,"D+",IF(BQ30&gt;=50,"D","F")))))))</f>
      </c>
      <c r="BT30" s="40" t="str">
        <f>IF(BR30&gt;90,"A",IF(BR30&gt;80,"B+",IF(BR30&gt;69,"B",IF(BR30&gt;64,"C+",IF(BR30&gt;59,"C",IF(BR30&gt;54,"D+",IF(BR30&gt;49,"D",IF(BR30&gt;=0,"F"))))))))</f>
        <v>F</v>
      </c>
      <c r="BU30" s="49">
        <f>IF(BT30&gt;=91, 4.00, IF(BT30&gt;=81, 3.50, IF(BT30&gt;=70, 3.00, IF(BT30&gt;=65, 2.50, IF(BT30&gt;=60, 2.00, IF(BT30&gt;=55, 1.50, IF(BT30&gt;=50, 1.00, 0.00)))))))</f>
      </c>
      <c r="BV30" s="49">
        <f>IF(BT30&gt;=91,"A",IF(BT30&gt;=81,"B+",IF(BT30&gt;=70,"B",IF(BT30&gt;=65,"C+",IF(BT30&gt;=60,"C",IF(BT30&gt;=55,"D+",IF(BT30&gt;=50,"D","F")))))))</f>
      </c>
      <c r="BW30" s="40">
        <f>ROUND((AT30*3+AW30*2+AZ30*1+BC30*1+BF30*1+BI30*2+BL30*2+BO30*1+BR30*2+BU30*3)/18, 2)</f>
      </c>
      <c r="BX30" s="49"/>
      <c r="BY30" s="49" t="str">
        <f>IF(BX30&gt;90,"4.00",IF(BX30&gt;80,"3.50",IF(BX30&gt;69,"3.00",IF(BX30&gt;64,"2.50",IF(BX30&gt;59,"2.00",IF(BX30&gt;54,"1.50",IF(BX30&gt;49,"1.00","0.00")))))))</f>
        <v>0.00</v>
      </c>
      <c r="BZ30" s="40" t="str">
        <f>IF(BX30&gt;90,"A",IF(BX30&gt;80,"B+",IF(BX30&gt;69,"B",IF(BX30&gt;64,"C+",IF(BX30&gt;59,"C",IF(BX30&gt;54,"D+",IF(BX30&gt;49,"D",IF(BX30&gt;=0,"F"))))))))</f>
        <v>F</v>
      </c>
      <c r="CA30" s="49"/>
      <c r="CB30" s="49" t="str">
        <f>IF(CA30&gt;90,"4.00",IF(CA30&gt;80,"3.50",IF(CA30&gt;69,"3.00",IF(CA30&gt;64,"2.50",IF(CA30&gt;59,"2.00",IF(CA30&gt;54,"1.50",IF(CA30&gt;49,"1.00","0.00")))))))</f>
        <v>0.00</v>
      </c>
      <c r="CC30" s="40" t="str">
        <f>IF(CA30&gt;90,"A",IF(CA30&gt;80,"B+",IF(CA30&gt;69,"B",IF(CA30&gt;64,"C+",IF(CA30&gt;59,"C",IF(CA30&gt;54,"D+",IF(CA30&gt;49,"D",IF(CA30&gt;=0,"F"))))))))</f>
        <v>F</v>
      </c>
      <c r="CD30" s="49"/>
      <c r="CE30" s="49" t="str">
        <f>IF(CD30&gt;90,"4.00",IF(CD30&gt;80,"3.50",IF(CD30&gt;69,"3.00",IF(CD30&gt;64,"2.50",IF(CD30&gt;59,"2.00",IF(CD30&gt;54,"1.50",IF(CD30&gt;49,"1.00","0.00")))))))</f>
        <v>0.00</v>
      </c>
      <c r="CF30" s="40" t="str">
        <f>IF(CD30&gt;90,"A",IF(CD30&gt;80,"B+",IF(CD30&gt;69,"B",IF(CD30&gt;64,"C+",IF(CD30&gt;59,"C",IF(CD30&gt;54,"D+",IF(CD30&gt;49,"D",IF(CD30&gt;=0,"F"))))))))</f>
        <v>F</v>
      </c>
      <c r="CG30" s="50">
        <f>(BD30*3+BG30*1+BJ30*1+BM30*2+BP30*1+BS30*2+BV30*2+BY30*1+CB30*2+CE30*2)/(3+1+1+2+1+2+2+1+2+2)</f>
        <v>0</v>
      </c>
      <c r="CH30" s="50">
        <f>(AR30+CG30)/2</f>
        <v>0</v>
      </c>
      <c r="CI30" s="51">
        <f>RANK(CH30,$CH$7:CH59)</f>
        <v>1</v>
      </c>
      <c r="CJ30" s="67"/>
      <c r="CK30" s="52"/>
      <c r="CL30" s="52"/>
      <c r="CM30" s="52"/>
    </row>
    <row r="31" ht="20" customHeight="1" spans="1:91" s="53" customFormat="1" x14ac:dyDescent="0.25">
      <c r="A31" s="40">
        <v>25</v>
      </c>
      <c r="B31" s="40" t="s">
        <v>304</v>
      </c>
      <c r="C31" s="40" t="s">
        <v>51</v>
      </c>
      <c r="D31" s="40" t="s">
        <v>188</v>
      </c>
      <c r="E31" s="40" t="s">
        <v>305</v>
      </c>
      <c r="F31" s="40" t="s">
        <v>306</v>
      </c>
      <c r="G31" s="40" t="s">
        <v>191</v>
      </c>
      <c r="H31" s="44"/>
      <c r="I31" s="112"/>
      <c r="J31" s="40">
        <v>1</v>
      </c>
      <c r="K31" s="42">
        <v>95</v>
      </c>
      <c r="L31" s="40">
        <f>IF(K31&gt;=91, 4.00, IF(K31&gt;=81, 3.50, IF(K31&gt;=70, 3.00, IF(K31&gt;=65, 2.50, IF(K31&gt;=60, 2.00, IF(K31&gt;=55, 1.50, IF(K31&gt;=50, 1.00, 0.00)))))))</f>
      </c>
      <c r="M31" s="40">
        <f>IF(K31&gt;=91,"A",IF(K31&gt;=81,"B+",IF(K31&gt;=70,"B",IF(K31&gt;=65,"C+",IF(K31&gt;=60,"C",IF(K31&gt;=55,"D+",IF(K31&gt;=50,"D","F")))))))</f>
      </c>
      <c r="N31" s="42">
        <v>77</v>
      </c>
      <c r="O31" s="40">
        <f>IF(N31&gt;=91, 4.00, IF(N31&gt;=81, 3.50, IF(N31&gt;=70, 3.00, IF(N31&gt;=65, 2.50, IF(N31&gt;=60, 2.00, IF(N31&gt;=55, 1.50, IF(N31&gt;=50, 1.00, 0.00)))))))</f>
      </c>
      <c r="P31" s="40">
        <f>IF(N31&gt;=91,"A",IF(N31&gt;=81,"B+",IF(N31&gt;=70,"B",IF(N31&gt;=65,"C+",IF(N31&gt;=60,"C",IF(N31&gt;=55,"D+",IF(N31&gt;=50,"D","F")))))))</f>
      </c>
      <c r="Q31" s="42">
        <v>80</v>
      </c>
      <c r="R31" s="40">
        <f>IF(Q31&gt;=91, 4.00, IF(Q31&gt;=81, 3.50, IF(Q31&gt;=70, 3.00, IF(Q31&gt;=65, 2.50, IF(Q31&gt;=60, 2.00, IF(Q31&gt;=55, 1.50, IF(Q31&gt;=50, 1.00, 0.00)))))))</f>
      </c>
      <c r="S31" s="40">
        <f>IF(Q31&gt;=91,"A",IF(Q31&gt;=81,"B+",IF(Q31&gt;=70,"B",IF(Q31&gt;=65,"C+",IF(Q31&gt;=60,"C",IF(Q31&gt;=55,"D+",IF(Q31&gt;=50,"D","F")))))))</f>
      </c>
      <c r="T31" s="40">
        <v>83</v>
      </c>
      <c r="U31" s="40">
        <f>IF(T31&gt;=91, 4.00, IF(T31&gt;=81, 3.50, IF(T31&gt;=70, 3.00, IF(T31&gt;=65, 2.50, IF(T31&gt;=60, 2.00, IF(T31&gt;=55, 1.50, IF(T31&gt;=50, 1.00, 0.00)))))))</f>
      </c>
      <c r="V31" s="40">
        <f>IF(T31&gt;=91,"A",IF(T31&gt;=81,"B+",IF(T31&gt;=70,"B",IF(T31&gt;=65,"C+",IF(T31&gt;=60,"C",IF(T31&gt;=55,"D+",IF(T31&gt;=50,"D","F")))))))</f>
      </c>
      <c r="W31" s="42">
        <v>86</v>
      </c>
      <c r="X31" s="40">
        <f>IF(W31&gt;=91, 4.00, IF(W31&gt;=81, 3.50, IF(W31&gt;=70, 3.00, IF(W31&gt;=65, 2.50, IF(W31&gt;=60, 2.00, IF(W31&gt;=55, 1.50, IF(W31&gt;=50, 1.00, 0.00)))))))</f>
      </c>
      <c r="Y31" s="40">
        <f>IF(W31&gt;=91,"A",IF(W31&gt;=81,"B+",IF(W31&gt;=70,"B",IF(W31&gt;=65,"C+",IF(W31&gt;=60,"C",IF(W31&gt;=55,"D+",IF(W31&gt;=50,"D","F")))))))</f>
      </c>
      <c r="Z31" s="40">
        <v>89</v>
      </c>
      <c r="AA31" s="40">
        <f>IF(Z31&gt;=91, 4.00, IF(Z31&gt;=81, 3.50, IF(Z31&gt;=70, 3.00, IF(Z31&gt;=65, 2.50, IF(Z31&gt;=60, 2.00, IF(Z31&gt;=55, 1.50, IF(Z31&gt;=50, 1.00, 0.00)))))))</f>
      </c>
      <c r="AB31" s="40">
        <f>IF(Z31&gt;=91,"A",IF(Z31&gt;=81,"B+",IF(Z31&gt;=70,"B",IF(Z31&gt;=65,"C+",IF(Z31&gt;=60,"C",IF(Z31&gt;=55,"D+",IF(Z31&gt;=50,"D","F")))))))</f>
      </c>
      <c r="AC31" s="42">
        <v>92</v>
      </c>
      <c r="AD31" s="40">
        <f>IF(AC31&gt;=91, 4.00, IF(AC31&gt;=81, 3.50, IF(AC31&gt;=70, 3.00, IF(AC31&gt;=65, 2.50, IF(AC31&gt;=60, 2.00, IF(AC31&gt;=55, 1.50, IF(AC31&gt;=50, 1.00, 0.00)))))))</f>
      </c>
      <c r="AE31" s="40">
        <f>IF(AC31&gt;=91,"A",IF(AC31&gt;=81,"B+",IF(AC31&gt;=70,"B",IF(AC31&gt;=65,"C+",IF(AC31&gt;=60,"C",IF(AC31&gt;=55,"D+",IF(AC31&gt;=50,"D","F")))))))</f>
      </c>
      <c r="AF31" s="40">
        <v>95</v>
      </c>
      <c r="AG31" s="40">
        <f>IF(AF31&gt;=91, 4.00, IF(AF31&gt;=81, 3.50, IF(AF31&gt;=70, 3.00, IF(AF31&gt;=65, 2.50, IF(AF31&gt;=60, 2.00, IF(AF31&gt;=55, 1.50, IF(AF31&gt;=50, 1.00, 0.00)))))))</f>
      </c>
      <c r="AH31" s="40">
        <f>IF(AF31&gt;=91,"A",IF(AF31&gt;=81,"B+",IF(AF31&gt;=70,"B",IF(AF31&gt;=65,"C+",IF(AF31&gt;=60,"C",IF(AF31&gt;=55,"D+",IF(AF31&gt;=50,"D","F")))))))</f>
      </c>
      <c r="AI31" s="40">
        <v>77</v>
      </c>
      <c r="AJ31" s="40">
        <f>IF(AI31&gt;=91, 4.00, IF(AI31&gt;=81, 3.50, IF(AI31&gt;=70, 3.00, IF(AI31&gt;=65, 2.50, IF(AI31&gt;=60, 2.00, IF(AI31&gt;=55, 1.50, IF(AI31&gt;=50, 1.00, 0.00)))))))</f>
      </c>
      <c r="AK31" s="40">
        <f>IF(AI31&gt;=91,"A",IF(AI31&gt;=81,"B+",IF(AI31&gt;=70,"B",IF(AI31&gt;=65,"C+",IF(AI31&gt;=60,"C",IF(AI31&gt;=55,"D+",IF(AI31&gt;=50,"D","F")))))))</f>
      </c>
      <c r="AL31" s="42">
        <v>80</v>
      </c>
      <c r="AM31" s="40">
        <f>IF(AL31&gt;=91, 4.00, IF(AL31&gt;=81, 3.50, IF(AL31&gt;=70, 3.00, IF(AL31&gt;=65, 2.50, IF(AL31&gt;=60, 2.00, IF(AL31&gt;=55, 1.50, IF(AL31&gt;=50, 1.00, 0.00)))))))</f>
      </c>
      <c r="AN31" s="40">
        <f>IF(AL31&gt;=91,"A",IF(AL31&gt;=81,"B+",IF(AL31&gt;=70,"B",IF(AL31&gt;=65,"C+",IF(AL31&gt;=60,"C",IF(AL31&gt;=55,"D+",IF(AL31&gt;=50,"D","F")))))))</f>
      </c>
      <c r="AO31" s="40">
        <v>83</v>
      </c>
      <c r="AP31" s="40">
        <f>IF(AO31&gt;=91, 4.00, IF(AO31&gt;=81, 3.50, IF(AO31&gt;=70, 3.00, IF(AO31&gt;=65, 2.50, IF(AO31&gt;=60, 2.00, IF(AO31&gt;=55, 1.50, IF(AO31&gt;=50, 1.00, 0.00)))))))</f>
      </c>
      <c r="AQ31" s="40">
        <f>IF(AO31&gt;=91,"A",IF(AO31&gt;=81,"B+",IF(AO31&gt;=70,"B",IF(AO31&gt;=65,"C+",IF(AO31&gt;=60,"C",IF(AO31&gt;=55,"D+",IF(AO31&gt;=50,"D","F")))))))</f>
      </c>
      <c r="AR31" s="40">
        <f>ROUND((L31*3+O31*2+R31*1+U31*1+X31*1+AA31*2+AD31*2+AG31*2+AJ31*1+AM31*2+AP31*2)/19, 2)</f>
      </c>
      <c r="AS31" s="52">
        <v>87</v>
      </c>
      <c r="AT31" s="40">
        <f>IF(AS31&gt;=91, 4.00, IF(AS31&gt;=81, 3.50, IF(AS31&gt;=70, 3.00, IF(AS31&gt;=65, 2.50, IF(AS31&gt;=60, 2.00, IF(AS31&gt;=55, 1.50, IF(AS31&gt;=50, 1.00, 0.00)))))))</f>
      </c>
      <c r="AU31" s="40">
        <f>IF(AS31&gt;=91,"A",IF(AS31&gt;=81,"B+",IF(AS31&gt;=70,"B",IF(AS31&gt;=65,"C+",IF(AS31&gt;=60,"C",IF(AS31&gt;=55,"D+",IF(AS31&gt;=50,"D","F")))))))</f>
      </c>
      <c r="AV31" s="40" t="s">
        <v>51</v>
      </c>
      <c r="AW31" s="40">
        <f>IF(AV31&gt;=91, 4.00, IF(AV31&gt;=81, 3.50, IF(AV31&gt;=70, 3.00, IF(AV31&gt;=65, 2.50, IF(AV31&gt;=60, 2.00, IF(AV31&gt;=55, 1.50, IF(AV31&gt;=50, 1.00, 0.00)))))))</f>
      </c>
      <c r="AX31" s="40">
        <f>IF(AV31&gt;=91,"A",IF(AV31&gt;=81,"B+",IF(AV31&gt;=70,"B",IF(AV31&gt;=65,"C+",IF(AV31&gt;=60,"C",IF(AV31&gt;=55,"D+",IF(AV31&gt;=50,"D","F")))))))</f>
      </c>
      <c r="AY31" s="40" t="s">
        <v>306</v>
      </c>
      <c r="AZ31" s="40">
        <f>IF(AY31&gt;=91, 4.00, IF(AY31&gt;=81, 3.50, IF(AY31&gt;=70, 3.00, IF(AY31&gt;=65, 2.50, IF(AY31&gt;=60, 2.00, IF(AY31&gt;=55, 1.50, IF(AY31&gt;=50, 1.00, 0.00)))))))</f>
      </c>
      <c r="BA31" s="44">
        <f>IF(AY31&gt;=91,"A",IF(AY31&gt;=81,"B+",IF(AY31&gt;=70,"B",IF(AY31&gt;=65,"C+",IF(AY31&gt;=60,"C",IF(AY31&gt;=55,"D+",IF(AY31&gt;=50,"D","F")))))))</f>
      </c>
      <c r="BB31" s="112">
        <v>75</v>
      </c>
      <c r="BC31" s="49">
        <f>IF(BB31&gt;=91, 4.00, IF(BB31&gt;=81, 3.50, IF(BB31&gt;=70, 3.00, IF(BB31&gt;=65, 2.50, IF(BB31&gt;=60, 2.00, IF(BB31&gt;=55, 1.50, IF(BB31&gt;=50, 1.00, 0.00)))))))</f>
      </c>
      <c r="BD31" s="49">
        <f>IF(BB31&gt;=91,"A",IF(BB31&gt;=81,"B+",IF(BB31&gt;=70,"B",IF(BB31&gt;=65,"C+",IF(BB31&gt;=60,"C",IF(BB31&gt;=55,"D+",IF(BB31&gt;=50,"D","F")))))))</f>
      </c>
      <c r="BE31" s="40" t="str">
        <f>IF(BC31&gt;90,"A",IF(BC31&gt;80,"B+",IF(BC31&gt;69,"B",IF(BC31&gt;64,"C+",IF(BC31&gt;59,"C",IF(BC31&gt;54,"D+",IF(BC31&gt;49,"D",IF(BC31&gt;=0,"F"))))))))</f>
        <v>F</v>
      </c>
      <c r="BF31" s="49">
        <f>IF(BE31&gt;=91, 4.00, IF(BE31&gt;=81, 3.50, IF(BE31&gt;=70, 3.00, IF(BE31&gt;=65, 2.50, IF(BE31&gt;=60, 2.00, IF(BE31&gt;=55, 1.50, IF(BE31&gt;=50, 1.00, 0.00)))))))</f>
      </c>
      <c r="BG31" s="49">
        <f>IF(BE31&gt;=91,"A",IF(BE31&gt;=81,"B+",IF(BE31&gt;=70,"B",IF(BE31&gt;=65,"C+",IF(BE31&gt;=60,"C",IF(BE31&gt;=55,"D+",IF(BE31&gt;=50,"D","F")))))))</f>
      </c>
      <c r="BH31" s="40" t="str">
        <f>IF(BF31&gt;90,"A",IF(BF31&gt;80,"B+",IF(BF31&gt;69,"B",IF(BF31&gt;64,"C+",IF(BF31&gt;59,"C",IF(BF31&gt;54,"D+",IF(BF31&gt;49,"D",IF(BF31&gt;=0,"F"))))))))</f>
        <v>F</v>
      </c>
      <c r="BI31" s="49">
        <f>IF(BH31&gt;=91, 4.00, IF(BH31&gt;=81, 3.50, IF(BH31&gt;=70, 3.00, IF(BH31&gt;=65, 2.50, IF(BH31&gt;=60, 2.00, IF(BH31&gt;=55, 1.50, IF(BH31&gt;=50, 1.00, 0.00)))))))</f>
      </c>
      <c r="BJ31" s="49">
        <f>IF(BH31&gt;=91,"A",IF(BH31&gt;=81,"B+",IF(BH31&gt;=70,"B",IF(BH31&gt;=65,"C+",IF(BH31&gt;=60,"C",IF(BH31&gt;=55,"D+",IF(BH31&gt;=50,"D","F")))))))</f>
      </c>
      <c r="BK31" s="40" t="str">
        <f>IF(BI31&gt;90,"A",IF(BI31&gt;80,"B+",IF(BI31&gt;69,"B",IF(BI31&gt;64,"C+",IF(BI31&gt;59,"C",IF(BI31&gt;54,"D+",IF(BI31&gt;49,"D",IF(BI31&gt;=0,"F"))))))))</f>
        <v>F</v>
      </c>
      <c r="BL31" s="49">
        <f>IF(BK31&gt;=91, 4.00, IF(BK31&gt;=81, 3.50, IF(BK31&gt;=70, 3.00, IF(BK31&gt;=65, 2.50, IF(BK31&gt;=60, 2.00, IF(BK31&gt;=55, 1.50, IF(BK31&gt;=50, 1.00, 0.00)))))))</f>
      </c>
      <c r="BM31" s="49">
        <f>IF(BK31&gt;=91,"A",IF(BK31&gt;=81,"B+",IF(BK31&gt;=70,"B",IF(BK31&gt;=65,"C+",IF(BK31&gt;=60,"C",IF(BK31&gt;=55,"D+",IF(BK31&gt;=50,"D","F")))))))</f>
      </c>
      <c r="BN31" s="40" t="str">
        <f>IF(BL31&gt;90,"A",IF(BL31&gt;80,"B+",IF(BL31&gt;69,"B",IF(BL31&gt;64,"C+",IF(BL31&gt;59,"C",IF(BL31&gt;54,"D+",IF(BL31&gt;49,"D",IF(BL31&gt;=0,"F"))))))))</f>
        <v>F</v>
      </c>
      <c r="BO31" s="49">
        <f>IF(BN31&gt;=91, 4.00, IF(BN31&gt;=81, 3.50, IF(BN31&gt;=70, 3.00, IF(BN31&gt;=65, 2.50, IF(BN31&gt;=60, 2.00, IF(BN31&gt;=55, 1.50, IF(BN31&gt;=50, 1.00, 0.00)))))))</f>
      </c>
      <c r="BP31" s="49">
        <f>IF(BN31&gt;=91,"A",IF(BN31&gt;=81,"B+",IF(BN31&gt;=70,"B",IF(BN31&gt;=65,"C+",IF(BN31&gt;=60,"C",IF(BN31&gt;=55,"D+",IF(BN31&gt;=50,"D","F")))))))</f>
      </c>
      <c r="BQ31" s="40" t="str">
        <f>IF(BO31&gt;90,"A",IF(BO31&gt;80,"B+",IF(BO31&gt;69,"B",IF(BO31&gt;64,"C+",IF(BO31&gt;59,"C",IF(BO31&gt;54,"D+",IF(BO31&gt;49,"D",IF(BO31&gt;=0,"F"))))))))</f>
        <v>F</v>
      </c>
      <c r="BR31" s="49">
        <f>IF(BQ31&gt;=91, 4.00, IF(BQ31&gt;=81, 3.50, IF(BQ31&gt;=70, 3.00, IF(BQ31&gt;=65, 2.50, IF(BQ31&gt;=60, 2.00, IF(BQ31&gt;=55, 1.50, IF(BQ31&gt;=50, 1.00, 0.00)))))))</f>
      </c>
      <c r="BS31" s="49">
        <f>IF(BQ31&gt;=91,"A",IF(BQ31&gt;=81,"B+",IF(BQ31&gt;=70,"B",IF(BQ31&gt;=65,"C+",IF(BQ31&gt;=60,"C",IF(BQ31&gt;=55,"D+",IF(BQ31&gt;=50,"D","F")))))))</f>
      </c>
      <c r="BT31" s="40" t="str">
        <f>IF(BR31&gt;90,"A",IF(BR31&gt;80,"B+",IF(BR31&gt;69,"B",IF(BR31&gt;64,"C+",IF(BR31&gt;59,"C",IF(BR31&gt;54,"D+",IF(BR31&gt;49,"D",IF(BR31&gt;=0,"F"))))))))</f>
        <v>F</v>
      </c>
      <c r="BU31" s="49">
        <f>IF(BT31&gt;=91, 4.00, IF(BT31&gt;=81, 3.50, IF(BT31&gt;=70, 3.00, IF(BT31&gt;=65, 2.50, IF(BT31&gt;=60, 2.00, IF(BT31&gt;=55, 1.50, IF(BT31&gt;=50, 1.00, 0.00)))))))</f>
      </c>
      <c r="BV31" s="49">
        <f>IF(BT31&gt;=91,"A",IF(BT31&gt;=81,"B+",IF(BT31&gt;=70,"B",IF(BT31&gt;=65,"C+",IF(BT31&gt;=60,"C",IF(BT31&gt;=55,"D+",IF(BT31&gt;=50,"D","F")))))))</f>
      </c>
      <c r="BW31" s="40">
        <f>ROUND((AT31*3+AW31*2+AZ31*1+BC31*1+BF31*1+BI31*2+BL31*2+BO31*1+BR31*2+BU31*3)/18, 2)</f>
      </c>
      <c r="BX31" s="49"/>
      <c r="BY31" s="49" t="str">
        <f>IF(BX31&gt;90,"4.00",IF(BX31&gt;80,"3.50",IF(BX31&gt;69,"3.00",IF(BX31&gt;64,"2.50",IF(BX31&gt;59,"2.00",IF(BX31&gt;54,"1.50",IF(BX31&gt;49,"1.00","0.00")))))))</f>
        <v>0.00</v>
      </c>
      <c r="BZ31" s="40" t="str">
        <f>IF(BX31&gt;90,"A",IF(BX31&gt;80,"B+",IF(BX31&gt;69,"B",IF(BX31&gt;64,"C+",IF(BX31&gt;59,"C",IF(BX31&gt;54,"D+",IF(BX31&gt;49,"D",IF(BX31&gt;=0,"F"))))))))</f>
        <v>F</v>
      </c>
      <c r="CA31" s="49"/>
      <c r="CB31" s="49" t="str">
        <f>IF(CA31&gt;90,"4.00",IF(CA31&gt;80,"3.50",IF(CA31&gt;69,"3.00",IF(CA31&gt;64,"2.50",IF(CA31&gt;59,"2.00",IF(CA31&gt;54,"1.50",IF(CA31&gt;49,"1.00","0.00")))))))</f>
        <v>0.00</v>
      </c>
      <c r="CC31" s="40" t="str">
        <f>IF(CA31&gt;90,"A",IF(CA31&gt;80,"B+",IF(CA31&gt;69,"B",IF(CA31&gt;64,"C+",IF(CA31&gt;59,"C",IF(CA31&gt;54,"D+",IF(CA31&gt;49,"D",IF(CA31&gt;=0,"F"))))))))</f>
        <v>F</v>
      </c>
      <c r="CD31" s="49"/>
      <c r="CE31" s="49" t="str">
        <f>IF(CD31&gt;90,"4.00",IF(CD31&gt;80,"3.50",IF(CD31&gt;69,"3.00",IF(CD31&gt;64,"2.50",IF(CD31&gt;59,"2.00",IF(CD31&gt;54,"1.50",IF(CD31&gt;49,"1.00","0.00")))))))</f>
        <v>0.00</v>
      </c>
      <c r="CF31" s="40" t="str">
        <f>IF(CD31&gt;90,"A",IF(CD31&gt;80,"B+",IF(CD31&gt;69,"B",IF(CD31&gt;64,"C+",IF(CD31&gt;59,"C",IF(CD31&gt;54,"D+",IF(CD31&gt;49,"D",IF(CD31&gt;=0,"F"))))))))</f>
        <v>F</v>
      </c>
      <c r="CG31" s="50">
        <f>(BD31*3+BG31*1+BJ31*1+BM31*2+BP31*1+BS31*2+BV31*2+BY31*1+CB31*2+CE31*2)/(3+1+1+2+1+2+2+1+2+2)</f>
        <v>0</v>
      </c>
      <c r="CH31" s="50">
        <f>(AR31+CG31)/2</f>
        <v>0</v>
      </c>
      <c r="CI31" s="51">
        <f>RANK(CH31,$CH$7:CH60)</f>
        <v>1</v>
      </c>
      <c r="CJ31" s="67"/>
      <c r="CK31" s="52"/>
      <c r="CL31" s="52"/>
      <c r="CM31" s="52"/>
    </row>
    <row r="32" ht="20" customHeight="1" spans="1:91" s="53" customFormat="1" x14ac:dyDescent="0.25">
      <c r="A32" s="40">
        <v>26</v>
      </c>
      <c r="B32" s="40" t="s">
        <v>307</v>
      </c>
      <c r="C32" s="40" t="s">
        <v>43</v>
      </c>
      <c r="D32" s="40" t="s">
        <v>193</v>
      </c>
      <c r="E32" s="40" t="s">
        <v>194</v>
      </c>
      <c r="F32" s="40" t="s">
        <v>308</v>
      </c>
      <c r="G32" s="40" t="s">
        <v>196</v>
      </c>
      <c r="H32" s="44"/>
      <c r="I32" s="112"/>
      <c r="J32" s="40">
        <v>1</v>
      </c>
      <c r="K32" s="42">
        <v>77</v>
      </c>
      <c r="L32" s="40">
        <f>IF(K32&gt;=91, 4.00, IF(K32&gt;=81, 3.50, IF(K32&gt;=70, 3.00, IF(K32&gt;=65, 2.50, IF(K32&gt;=60, 2.00, IF(K32&gt;=55, 1.50, IF(K32&gt;=50, 1.00, 0.00)))))))</f>
      </c>
      <c r="M32" s="40">
        <f>IF(K32&gt;=91,"A",IF(K32&gt;=81,"B+",IF(K32&gt;=70,"B",IF(K32&gt;=65,"C+",IF(K32&gt;=60,"C",IF(K32&gt;=55,"D+",IF(K32&gt;=50,"D","F")))))))</f>
      </c>
      <c r="N32" s="42">
        <v>80</v>
      </c>
      <c r="O32" s="40">
        <f>IF(N32&gt;=91, 4.00, IF(N32&gt;=81, 3.50, IF(N32&gt;=70, 3.00, IF(N32&gt;=65, 2.50, IF(N32&gt;=60, 2.00, IF(N32&gt;=55, 1.50, IF(N32&gt;=50, 1.00, 0.00)))))))</f>
      </c>
      <c r="P32" s="40">
        <f>IF(N32&gt;=91,"A",IF(N32&gt;=81,"B+",IF(N32&gt;=70,"B",IF(N32&gt;=65,"C+",IF(N32&gt;=60,"C",IF(N32&gt;=55,"D+",IF(N32&gt;=50,"D","F")))))))</f>
      </c>
      <c r="Q32" s="42">
        <v>83</v>
      </c>
      <c r="R32" s="40">
        <f>IF(Q32&gt;=91, 4.00, IF(Q32&gt;=81, 3.50, IF(Q32&gt;=70, 3.00, IF(Q32&gt;=65, 2.50, IF(Q32&gt;=60, 2.00, IF(Q32&gt;=55, 1.50, IF(Q32&gt;=50, 1.00, 0.00)))))))</f>
      </c>
      <c r="S32" s="40">
        <f>IF(Q32&gt;=91,"A",IF(Q32&gt;=81,"B+",IF(Q32&gt;=70,"B",IF(Q32&gt;=65,"C+",IF(Q32&gt;=60,"C",IF(Q32&gt;=55,"D+",IF(Q32&gt;=50,"D","F")))))))</f>
      </c>
      <c r="T32" s="40">
        <v>86</v>
      </c>
      <c r="U32" s="40">
        <f>IF(T32&gt;=91, 4.00, IF(T32&gt;=81, 3.50, IF(T32&gt;=70, 3.00, IF(T32&gt;=65, 2.50, IF(T32&gt;=60, 2.00, IF(T32&gt;=55, 1.50, IF(T32&gt;=50, 1.00, 0.00)))))))</f>
      </c>
      <c r="V32" s="40">
        <f>IF(T32&gt;=91,"A",IF(T32&gt;=81,"B+",IF(T32&gt;=70,"B",IF(T32&gt;=65,"C+",IF(T32&gt;=60,"C",IF(T32&gt;=55,"D+",IF(T32&gt;=50,"D","F")))))))</f>
      </c>
      <c r="W32" s="42">
        <v>89</v>
      </c>
      <c r="X32" s="40">
        <f>IF(W32&gt;=91, 4.00, IF(W32&gt;=81, 3.50, IF(W32&gt;=70, 3.00, IF(W32&gt;=65, 2.50, IF(W32&gt;=60, 2.00, IF(W32&gt;=55, 1.50, IF(W32&gt;=50, 1.00, 0.00)))))))</f>
      </c>
      <c r="Y32" s="40">
        <f>IF(W32&gt;=91,"A",IF(W32&gt;=81,"B+",IF(W32&gt;=70,"B",IF(W32&gt;=65,"C+",IF(W32&gt;=60,"C",IF(W32&gt;=55,"D+",IF(W32&gt;=50,"D","F")))))))</f>
      </c>
      <c r="Z32" s="40">
        <v>92</v>
      </c>
      <c r="AA32" s="40">
        <f>IF(Z32&gt;=91, 4.00, IF(Z32&gt;=81, 3.50, IF(Z32&gt;=70, 3.00, IF(Z32&gt;=65, 2.50, IF(Z32&gt;=60, 2.00, IF(Z32&gt;=55, 1.50, IF(Z32&gt;=50, 1.00, 0.00)))))))</f>
      </c>
      <c r="AB32" s="40">
        <f>IF(Z32&gt;=91,"A",IF(Z32&gt;=81,"B+",IF(Z32&gt;=70,"B",IF(Z32&gt;=65,"C+",IF(Z32&gt;=60,"C",IF(Z32&gt;=55,"D+",IF(Z32&gt;=50,"D","F")))))))</f>
      </c>
      <c r="AC32" s="42">
        <v>95</v>
      </c>
      <c r="AD32" s="40">
        <f>IF(AC32&gt;=91, 4.00, IF(AC32&gt;=81, 3.50, IF(AC32&gt;=70, 3.00, IF(AC32&gt;=65, 2.50, IF(AC32&gt;=60, 2.00, IF(AC32&gt;=55, 1.50, IF(AC32&gt;=50, 1.00, 0.00)))))))</f>
      </c>
      <c r="AE32" s="40">
        <f>IF(AC32&gt;=91,"A",IF(AC32&gt;=81,"B+",IF(AC32&gt;=70,"B",IF(AC32&gt;=65,"C+",IF(AC32&gt;=60,"C",IF(AC32&gt;=55,"D+",IF(AC32&gt;=50,"D","F")))))))</f>
      </c>
      <c r="AF32" s="40">
        <v>77</v>
      </c>
      <c r="AG32" s="40">
        <f>IF(AF32&gt;=91, 4.00, IF(AF32&gt;=81, 3.50, IF(AF32&gt;=70, 3.00, IF(AF32&gt;=65, 2.50, IF(AF32&gt;=60, 2.00, IF(AF32&gt;=55, 1.50, IF(AF32&gt;=50, 1.00, 0.00)))))))</f>
      </c>
      <c r="AH32" s="40">
        <f>IF(AF32&gt;=91,"A",IF(AF32&gt;=81,"B+",IF(AF32&gt;=70,"B",IF(AF32&gt;=65,"C+",IF(AF32&gt;=60,"C",IF(AF32&gt;=55,"D+",IF(AF32&gt;=50,"D","F")))))))</f>
      </c>
      <c r="AI32" s="40">
        <v>80</v>
      </c>
      <c r="AJ32" s="40">
        <f>IF(AI32&gt;=91, 4.00, IF(AI32&gt;=81, 3.50, IF(AI32&gt;=70, 3.00, IF(AI32&gt;=65, 2.50, IF(AI32&gt;=60, 2.00, IF(AI32&gt;=55, 1.50, IF(AI32&gt;=50, 1.00, 0.00)))))))</f>
      </c>
      <c r="AK32" s="40">
        <f>IF(AI32&gt;=91,"A",IF(AI32&gt;=81,"B+",IF(AI32&gt;=70,"B",IF(AI32&gt;=65,"C+",IF(AI32&gt;=60,"C",IF(AI32&gt;=55,"D+",IF(AI32&gt;=50,"D","F")))))))</f>
      </c>
      <c r="AL32" s="42">
        <v>83</v>
      </c>
      <c r="AM32" s="40">
        <f>IF(AL32&gt;=91, 4.00, IF(AL32&gt;=81, 3.50, IF(AL32&gt;=70, 3.00, IF(AL32&gt;=65, 2.50, IF(AL32&gt;=60, 2.00, IF(AL32&gt;=55, 1.50, IF(AL32&gt;=50, 1.00, 0.00)))))))</f>
      </c>
      <c r="AN32" s="40">
        <f>IF(AL32&gt;=91,"A",IF(AL32&gt;=81,"B+",IF(AL32&gt;=70,"B",IF(AL32&gt;=65,"C+",IF(AL32&gt;=60,"C",IF(AL32&gt;=55,"D+",IF(AL32&gt;=50,"D","F")))))))</f>
      </c>
      <c r="AO32" s="40">
        <v>86</v>
      </c>
      <c r="AP32" s="40">
        <f>IF(AO32&gt;=91, 4.00, IF(AO32&gt;=81, 3.50, IF(AO32&gt;=70, 3.00, IF(AO32&gt;=65, 2.50, IF(AO32&gt;=60, 2.00, IF(AO32&gt;=55, 1.50, IF(AO32&gt;=50, 1.00, 0.00)))))))</f>
      </c>
      <c r="AQ32" s="40">
        <f>IF(AO32&gt;=91,"A",IF(AO32&gt;=81,"B+",IF(AO32&gt;=70,"B",IF(AO32&gt;=65,"C+",IF(AO32&gt;=60,"C",IF(AO32&gt;=55,"D+",IF(AO32&gt;=50,"D","F")))))))</f>
      </c>
      <c r="AR32" s="40">
        <f>ROUND((L32*3+O32*2+R32*1+U32*1+X32*1+AA32*2+AD32*2+AG32*2+AJ32*1+AM32*2+AP32*2)/19, 2)</f>
      </c>
      <c r="AS32" s="52">
        <v>90</v>
      </c>
      <c r="AT32" s="40">
        <f>IF(AS32&gt;=91, 4.00, IF(AS32&gt;=81, 3.50, IF(AS32&gt;=70, 3.00, IF(AS32&gt;=65, 2.50, IF(AS32&gt;=60, 2.00, IF(AS32&gt;=55, 1.50, IF(AS32&gt;=50, 1.00, 0.00)))))))</f>
      </c>
      <c r="AU32" s="40">
        <f>IF(AS32&gt;=91,"A",IF(AS32&gt;=81,"B+",IF(AS32&gt;=70,"B",IF(AS32&gt;=65,"C+",IF(AS32&gt;=60,"C",IF(AS32&gt;=55,"D+",IF(AS32&gt;=50,"D","F")))))))</f>
      </c>
      <c r="AV32" s="40" t="s">
        <v>43</v>
      </c>
      <c r="AW32" s="40">
        <f>IF(AV32&gt;=91, 4.00, IF(AV32&gt;=81, 3.50, IF(AV32&gt;=70, 3.00, IF(AV32&gt;=65, 2.50, IF(AV32&gt;=60, 2.00, IF(AV32&gt;=55, 1.50, IF(AV32&gt;=50, 1.00, 0.00)))))))</f>
      </c>
      <c r="AX32" s="40">
        <f>IF(AV32&gt;=91,"A",IF(AV32&gt;=81,"B+",IF(AV32&gt;=70,"B",IF(AV32&gt;=65,"C+",IF(AV32&gt;=60,"C",IF(AV32&gt;=55,"D+",IF(AV32&gt;=50,"D","F")))))))</f>
      </c>
      <c r="AY32" s="40" t="s">
        <v>308</v>
      </c>
      <c r="AZ32" s="40">
        <f>IF(AY32&gt;=91, 4.00, IF(AY32&gt;=81, 3.50, IF(AY32&gt;=70, 3.00, IF(AY32&gt;=65, 2.50, IF(AY32&gt;=60, 2.00, IF(AY32&gt;=55, 1.50, IF(AY32&gt;=50, 1.00, 0.00)))))))</f>
      </c>
      <c r="BA32" s="44">
        <f>IF(AY32&gt;=91,"A",IF(AY32&gt;=81,"B+",IF(AY32&gt;=70,"B",IF(AY32&gt;=65,"C+",IF(AY32&gt;=60,"C",IF(AY32&gt;=55,"D+",IF(AY32&gt;=50,"D","F")))))))</f>
      </c>
      <c r="BB32" s="112">
        <v>78</v>
      </c>
      <c r="BC32" s="40">
        <f>IF(BB32&gt;=91, 4.00, IF(BB32&gt;=81, 3.50, IF(BB32&gt;=70, 3.00, IF(BB32&gt;=65, 2.50, IF(BB32&gt;=60, 2.00, IF(BB32&gt;=55, 1.50, IF(BB32&gt;=50, 1.00, 0.00)))))))</f>
      </c>
      <c r="BD32" s="49">
        <f>IF(BB32&gt;=91,"A",IF(BB32&gt;=81,"B+",IF(BB32&gt;=70,"B",IF(BB32&gt;=65,"C+",IF(BB32&gt;=60,"C",IF(BB32&gt;=55,"D+",IF(BB32&gt;=50,"D","F")))))))</f>
      </c>
      <c r="BE32" s="40" t="str">
        <f>IF(BC32&gt;90,"A",IF(BC32&gt;80,"B+",IF(BC32&gt;69,"B",IF(BC32&gt;64,"C+",IF(BC32&gt;59,"C",IF(BC32&gt;54,"D+",IF(BC32&gt;49,"D",IF(BC32&gt;=0,"F"))))))))</f>
        <v>F</v>
      </c>
      <c r="BF32" s="49">
        <f>IF(BE32&gt;=91, 4.00, IF(BE32&gt;=81, 3.50, IF(BE32&gt;=70, 3.00, IF(BE32&gt;=65, 2.50, IF(BE32&gt;=60, 2.00, IF(BE32&gt;=55, 1.50, IF(BE32&gt;=50, 1.00, 0.00)))))))</f>
      </c>
      <c r="BG32" s="49">
        <f>IF(BE32&gt;=91,"A",IF(BE32&gt;=81,"B+",IF(BE32&gt;=70,"B",IF(BE32&gt;=65,"C+",IF(BE32&gt;=60,"C",IF(BE32&gt;=55,"D+",IF(BE32&gt;=50,"D","F")))))))</f>
      </c>
      <c r="BH32" s="40" t="str">
        <f>IF(BF32&gt;90,"A",IF(BF32&gt;80,"B+",IF(BF32&gt;69,"B",IF(BF32&gt;64,"C+",IF(BF32&gt;59,"C",IF(BF32&gt;54,"D+",IF(BF32&gt;49,"D",IF(BF32&gt;=0,"F"))))))))</f>
        <v>F</v>
      </c>
      <c r="BI32" s="49">
        <f>IF(BH32&gt;=91, 4.00, IF(BH32&gt;=81, 3.50, IF(BH32&gt;=70, 3.00, IF(BH32&gt;=65, 2.50, IF(BH32&gt;=60, 2.00, IF(BH32&gt;=55, 1.50, IF(BH32&gt;=50, 1.00, 0.00)))))))</f>
      </c>
      <c r="BJ32" s="49">
        <f>IF(BH32&gt;=91,"A",IF(BH32&gt;=81,"B+",IF(BH32&gt;=70,"B",IF(BH32&gt;=65,"C+",IF(BH32&gt;=60,"C",IF(BH32&gt;=55,"D+",IF(BH32&gt;=50,"D","F")))))))</f>
      </c>
      <c r="BK32" s="40" t="str">
        <f>IF(BI32&gt;90,"A",IF(BI32&gt;80,"B+",IF(BI32&gt;69,"B",IF(BI32&gt;64,"C+",IF(BI32&gt;59,"C",IF(BI32&gt;54,"D+",IF(BI32&gt;49,"D",IF(BI32&gt;=0,"F"))))))))</f>
        <v>F</v>
      </c>
      <c r="BL32" s="49">
        <f>IF(BK32&gt;=91, 4.00, IF(BK32&gt;=81, 3.50, IF(BK32&gt;=70, 3.00, IF(BK32&gt;=65, 2.50, IF(BK32&gt;=60, 2.00, IF(BK32&gt;=55, 1.50, IF(BK32&gt;=50, 1.00, 0.00)))))))</f>
      </c>
      <c r="BM32" s="49">
        <f>IF(BK32&gt;=91,"A",IF(BK32&gt;=81,"B+",IF(BK32&gt;=70,"B",IF(BK32&gt;=65,"C+",IF(BK32&gt;=60,"C",IF(BK32&gt;=55,"D+",IF(BK32&gt;=50,"D","F")))))))</f>
      </c>
      <c r="BN32" s="40" t="str">
        <f>IF(BL32&gt;90,"A",IF(BL32&gt;80,"B+",IF(BL32&gt;69,"B",IF(BL32&gt;64,"C+",IF(BL32&gt;59,"C",IF(BL32&gt;54,"D+",IF(BL32&gt;49,"D",IF(BL32&gt;=0,"F"))))))))</f>
        <v>F</v>
      </c>
      <c r="BO32" s="49">
        <f>IF(BN32&gt;=91, 4.00, IF(BN32&gt;=81, 3.50, IF(BN32&gt;=70, 3.00, IF(BN32&gt;=65, 2.50, IF(BN32&gt;=60, 2.00, IF(BN32&gt;=55, 1.50, IF(BN32&gt;=50, 1.00, 0.00)))))))</f>
      </c>
      <c r="BP32" s="49">
        <f>IF(BN32&gt;=91,"A",IF(BN32&gt;=81,"B+",IF(BN32&gt;=70,"B",IF(BN32&gt;=65,"C+",IF(BN32&gt;=60,"C",IF(BN32&gt;=55,"D+",IF(BN32&gt;=50,"D","F")))))))</f>
      </c>
      <c r="BQ32" s="40" t="str">
        <f>IF(BO32&gt;90,"A",IF(BO32&gt;80,"B+",IF(BO32&gt;69,"B",IF(BO32&gt;64,"C+",IF(BO32&gt;59,"C",IF(BO32&gt;54,"D+",IF(BO32&gt;49,"D",IF(BO32&gt;=0,"F"))))))))</f>
        <v>F</v>
      </c>
      <c r="BR32" s="49">
        <f>IF(BQ32&gt;=91, 4.00, IF(BQ32&gt;=81, 3.50, IF(BQ32&gt;=70, 3.00, IF(BQ32&gt;=65, 2.50, IF(BQ32&gt;=60, 2.00, IF(BQ32&gt;=55, 1.50, IF(BQ32&gt;=50, 1.00, 0.00)))))))</f>
      </c>
      <c r="BS32" s="49">
        <f>IF(BQ32&gt;=91,"A",IF(BQ32&gt;=81,"B+",IF(BQ32&gt;=70,"B",IF(BQ32&gt;=65,"C+",IF(BQ32&gt;=60,"C",IF(BQ32&gt;=55,"D+",IF(BQ32&gt;=50,"D","F")))))))</f>
      </c>
      <c r="BT32" s="40" t="str">
        <f>IF(BR32&gt;90,"A",IF(BR32&gt;80,"B+",IF(BR32&gt;69,"B",IF(BR32&gt;64,"C+",IF(BR32&gt;59,"C",IF(BR32&gt;54,"D+",IF(BR32&gt;49,"D",IF(BR32&gt;=0,"F"))))))))</f>
        <v>F</v>
      </c>
      <c r="BU32" s="49">
        <f>IF(BT32&gt;=91, 4.00, IF(BT32&gt;=81, 3.50, IF(BT32&gt;=70, 3.00, IF(BT32&gt;=65, 2.50, IF(BT32&gt;=60, 2.00, IF(BT32&gt;=55, 1.50, IF(BT32&gt;=50, 1.00, 0.00)))))))</f>
      </c>
      <c r="BV32" s="49">
        <f>IF(BT32&gt;=91,"A",IF(BT32&gt;=81,"B+",IF(BT32&gt;=70,"B",IF(BT32&gt;=65,"C+",IF(BT32&gt;=60,"C",IF(BT32&gt;=55,"D+",IF(BT32&gt;=50,"D","F")))))))</f>
      </c>
      <c r="BW32" s="40">
        <f>ROUND((AT32*3+AW32*2+AZ32*1+BC32*1+BF32*1+BI32*2+BL32*2+BO32*1+BR32*2+BU32*3)/18, 2)</f>
      </c>
      <c r="BX32" s="49"/>
      <c r="BY32" s="49" t="str">
        <f>IF(BX32&gt;90,"4.00",IF(BX32&gt;80,"3.50",IF(BX32&gt;69,"3.00",IF(BX32&gt;64,"2.50",IF(BX32&gt;59,"2.00",IF(BX32&gt;54,"1.50",IF(BX32&gt;49,"1.00","0.00")))))))</f>
        <v>0.00</v>
      </c>
      <c r="BZ32" s="40" t="str">
        <f>IF(BX32&gt;90,"A",IF(BX32&gt;80,"B+",IF(BX32&gt;69,"B",IF(BX32&gt;64,"C+",IF(BX32&gt;59,"C",IF(BX32&gt;54,"D+",IF(BX32&gt;49,"D",IF(BX32&gt;=0,"F"))))))))</f>
        <v>F</v>
      </c>
      <c r="CA32" s="49"/>
      <c r="CB32" s="49" t="str">
        <f>IF(CA32&gt;90,"4.00",IF(CA32&gt;80,"3.50",IF(CA32&gt;69,"3.00",IF(CA32&gt;64,"2.50",IF(CA32&gt;59,"2.00",IF(CA32&gt;54,"1.50",IF(CA32&gt;49,"1.00","0.00")))))))</f>
        <v>0.00</v>
      </c>
      <c r="CC32" s="40" t="str">
        <f>IF(CA32&gt;90,"A",IF(CA32&gt;80,"B+",IF(CA32&gt;69,"B",IF(CA32&gt;64,"C+",IF(CA32&gt;59,"C",IF(CA32&gt;54,"D+",IF(CA32&gt;49,"D",IF(CA32&gt;=0,"F"))))))))</f>
        <v>F</v>
      </c>
      <c r="CD32" s="49"/>
      <c r="CE32" s="49" t="str">
        <f>IF(CD32&gt;90,"4.00",IF(CD32&gt;80,"3.50",IF(CD32&gt;69,"3.00",IF(CD32&gt;64,"2.50",IF(CD32&gt;59,"2.00",IF(CD32&gt;54,"1.50",IF(CD32&gt;49,"1.00","0.00")))))))</f>
        <v>0.00</v>
      </c>
      <c r="CF32" s="40" t="str">
        <f>IF(CD32&gt;90,"A",IF(CD32&gt;80,"B+",IF(CD32&gt;69,"B",IF(CD32&gt;64,"C+",IF(CD32&gt;59,"C",IF(CD32&gt;54,"D+",IF(CD32&gt;49,"D",IF(CD32&gt;=0,"F"))))))))</f>
        <v>F</v>
      </c>
      <c r="CG32" s="50">
        <f>(BD32*3+BG32*1+BJ32*1+BM32*2+BP32*1+BS32*2+BV32*2+BY32*1+CB32*2+CE32*2)/(3+1+1+2+1+2+2+1+2+2)</f>
        <v>0</v>
      </c>
      <c r="CH32" s="50">
        <f>(AR32+CG32)/2</f>
        <v>0</v>
      </c>
      <c r="CI32" s="51">
        <f>RANK(CH32,$CH$7:CH61)</f>
        <v>1</v>
      </c>
      <c r="CJ32" s="67"/>
      <c r="CK32" s="52"/>
      <c r="CL32" s="52"/>
      <c r="CM32" s="52"/>
    </row>
    <row r="33" ht="20" customHeight="1" spans="1:91" s="53" customFormat="1" x14ac:dyDescent="0.25">
      <c r="A33" s="40">
        <v>27</v>
      </c>
      <c r="B33" s="40" t="s">
        <v>135</v>
      </c>
      <c r="C33" s="40" t="s">
        <v>43</v>
      </c>
      <c r="D33" s="40" t="s">
        <v>199</v>
      </c>
      <c r="E33" s="40" t="s">
        <v>309</v>
      </c>
      <c r="F33" s="40" t="s">
        <v>310</v>
      </c>
      <c r="G33" s="40" t="s">
        <v>202</v>
      </c>
      <c r="H33" s="111"/>
      <c r="I33" s="112"/>
      <c r="J33" s="40">
        <v>1</v>
      </c>
      <c r="K33" s="42">
        <v>80</v>
      </c>
      <c r="L33" s="40">
        <f>IF(K33&gt;=91, 4.00, IF(K33&gt;=81, 3.50, IF(K33&gt;=70, 3.00, IF(K33&gt;=65, 2.50, IF(K33&gt;=60, 2.00, IF(K33&gt;=55, 1.50, IF(K33&gt;=50, 1.00, 0.00)))))))</f>
      </c>
      <c r="M33" s="40">
        <f>IF(K33&gt;=91,"A",IF(K33&gt;=81,"B+",IF(K33&gt;=70,"B",IF(K33&gt;=65,"C+",IF(K33&gt;=60,"C",IF(K33&gt;=55,"D+",IF(K33&gt;=50,"D","F")))))))</f>
      </c>
      <c r="N33" s="42">
        <v>83</v>
      </c>
      <c r="O33" s="40">
        <f>IF(N33&gt;=91, 4.00, IF(N33&gt;=81, 3.50, IF(N33&gt;=70, 3.00, IF(N33&gt;=65, 2.50, IF(N33&gt;=60, 2.00, IF(N33&gt;=55, 1.50, IF(N33&gt;=50, 1.00, 0.00)))))))</f>
      </c>
      <c r="P33" s="40">
        <f>IF(N33&gt;=91,"A",IF(N33&gt;=81,"B+",IF(N33&gt;=70,"B",IF(N33&gt;=65,"C+",IF(N33&gt;=60,"C",IF(N33&gt;=55,"D+",IF(N33&gt;=50,"D","F")))))))</f>
      </c>
      <c r="Q33" s="42">
        <v>86</v>
      </c>
      <c r="R33" s="40">
        <f>IF(Q33&gt;=91, 4.00, IF(Q33&gt;=81, 3.50, IF(Q33&gt;=70, 3.00, IF(Q33&gt;=65, 2.50, IF(Q33&gt;=60, 2.00, IF(Q33&gt;=55, 1.50, IF(Q33&gt;=50, 1.00, 0.00)))))))</f>
      </c>
      <c r="S33" s="40">
        <f>IF(Q33&gt;=91,"A",IF(Q33&gt;=81,"B+",IF(Q33&gt;=70,"B",IF(Q33&gt;=65,"C+",IF(Q33&gt;=60,"C",IF(Q33&gt;=55,"D+",IF(Q33&gt;=50,"D","F")))))))</f>
      </c>
      <c r="T33" s="40">
        <v>89</v>
      </c>
      <c r="U33" s="40">
        <f>IF(T33&gt;=91, 4.00, IF(T33&gt;=81, 3.50, IF(T33&gt;=70, 3.00, IF(T33&gt;=65, 2.50, IF(T33&gt;=60, 2.00, IF(T33&gt;=55, 1.50, IF(T33&gt;=50, 1.00, 0.00)))))))</f>
      </c>
      <c r="V33" s="40">
        <f>IF(T33&gt;=91,"A",IF(T33&gt;=81,"B+",IF(T33&gt;=70,"B",IF(T33&gt;=65,"C+",IF(T33&gt;=60,"C",IF(T33&gt;=55,"D+",IF(T33&gt;=50,"D","F")))))))</f>
      </c>
      <c r="W33" s="42">
        <v>92</v>
      </c>
      <c r="X33" s="40">
        <f>IF(W33&gt;=91, 4.00, IF(W33&gt;=81, 3.50, IF(W33&gt;=70, 3.00, IF(W33&gt;=65, 2.50, IF(W33&gt;=60, 2.00, IF(W33&gt;=55, 1.50, IF(W33&gt;=50, 1.00, 0.00)))))))</f>
      </c>
      <c r="Y33" s="40">
        <f>IF(W33&gt;=91,"A",IF(W33&gt;=81,"B+",IF(W33&gt;=70,"B",IF(W33&gt;=65,"C+",IF(W33&gt;=60,"C",IF(W33&gt;=55,"D+",IF(W33&gt;=50,"D","F")))))))</f>
      </c>
      <c r="Z33" s="40">
        <v>95</v>
      </c>
      <c r="AA33" s="40">
        <f>IF(Z33&gt;=91, 4.00, IF(Z33&gt;=81, 3.50, IF(Z33&gt;=70, 3.00, IF(Z33&gt;=65, 2.50, IF(Z33&gt;=60, 2.00, IF(Z33&gt;=55, 1.50, IF(Z33&gt;=50, 1.00, 0.00)))))))</f>
      </c>
      <c r="AB33" s="40">
        <f>IF(Z33&gt;=91,"A",IF(Z33&gt;=81,"B+",IF(Z33&gt;=70,"B",IF(Z33&gt;=65,"C+",IF(Z33&gt;=60,"C",IF(Z33&gt;=55,"D+",IF(Z33&gt;=50,"D","F")))))))</f>
      </c>
      <c r="AC33" s="40">
        <v>77</v>
      </c>
      <c r="AD33" s="40">
        <f>IF(AC33&gt;=91, 4.00, IF(AC33&gt;=81, 3.50, IF(AC33&gt;=70, 3.00, IF(AC33&gt;=65, 2.50, IF(AC33&gt;=60, 2.00, IF(AC33&gt;=55, 1.50, IF(AC33&gt;=50, 1.00, 0.00)))))))</f>
      </c>
      <c r="AE33" s="40">
        <f>IF(AC33&gt;=91,"A",IF(AC33&gt;=81,"B+",IF(AC33&gt;=70,"B",IF(AC33&gt;=65,"C+",IF(AC33&gt;=60,"C",IF(AC33&gt;=55,"D+",IF(AC33&gt;=50,"D","F")))))))</f>
      </c>
      <c r="AF33" s="40">
        <v>80</v>
      </c>
      <c r="AG33" s="40">
        <f>IF(AF33&gt;=91, 4.00, IF(AF33&gt;=81, 3.50, IF(AF33&gt;=70, 3.00, IF(AF33&gt;=65, 2.50, IF(AF33&gt;=60, 2.00, IF(AF33&gt;=55, 1.50, IF(AF33&gt;=50, 1.00, 0.00)))))))</f>
      </c>
      <c r="AH33" s="40">
        <f>IF(AF33&gt;=91,"A",IF(AF33&gt;=81,"B+",IF(AF33&gt;=70,"B",IF(AF33&gt;=65,"C+",IF(AF33&gt;=60,"C",IF(AF33&gt;=55,"D+",IF(AF33&gt;=50,"D","F")))))))</f>
      </c>
      <c r="AI33" s="40">
        <v>83</v>
      </c>
      <c r="AJ33" s="40">
        <f>IF(AI33&gt;=91, 4.00, IF(AI33&gt;=81, 3.50, IF(AI33&gt;=70, 3.00, IF(AI33&gt;=65, 2.50, IF(AI33&gt;=60, 2.00, IF(AI33&gt;=55, 1.50, IF(AI33&gt;=50, 1.00, 0.00)))))))</f>
      </c>
      <c r="AK33" s="40">
        <f>IF(AI33&gt;=91,"A",IF(AI33&gt;=81,"B+",IF(AI33&gt;=70,"B",IF(AI33&gt;=65,"C+",IF(AI33&gt;=60,"C",IF(AI33&gt;=55,"D+",IF(AI33&gt;=50,"D","F")))))))</f>
      </c>
      <c r="AL33" s="40">
        <v>86</v>
      </c>
      <c r="AM33" s="40">
        <f>IF(AL33&gt;=91, 4.00, IF(AL33&gt;=81, 3.50, IF(AL33&gt;=70, 3.00, IF(AL33&gt;=65, 2.50, IF(AL33&gt;=60, 2.00, IF(AL33&gt;=55, 1.50, IF(AL33&gt;=50, 1.00, 0.00)))))))</f>
      </c>
      <c r="AN33" s="40">
        <f>IF(AL33&gt;=91,"A",IF(AL33&gt;=81,"B+",IF(AL33&gt;=70,"B",IF(AL33&gt;=65,"C+",IF(AL33&gt;=60,"C",IF(AL33&gt;=55,"D+",IF(AL33&gt;=50,"D","F")))))))</f>
      </c>
      <c r="AO33" s="40">
        <v>89</v>
      </c>
      <c r="AP33" s="40">
        <f>IF(AO33&gt;=91, 4.00, IF(AO33&gt;=81, 3.50, IF(AO33&gt;=70, 3.00, IF(AO33&gt;=65, 2.50, IF(AO33&gt;=60, 2.00, IF(AO33&gt;=55, 1.50, IF(AO33&gt;=50, 1.00, 0.00)))))))</f>
      </c>
      <c r="AQ33" s="40">
        <f>IF(AO33&gt;=91,"A",IF(AO33&gt;=81,"B+",IF(AO33&gt;=70,"B",IF(AO33&gt;=65,"C+",IF(AO33&gt;=60,"C",IF(AO33&gt;=55,"D+",IF(AO33&gt;=50,"D","F")))))))</f>
      </c>
      <c r="AR33" s="40">
        <f>ROUND((L33*3+O33*2+R33*1+U33*1+X33*1+AA33*2+AD33*2+AG33*2+AJ33*1+AM33*2+AP33*2)/19, 2)</f>
      </c>
      <c r="AS33" s="52">
        <v>93</v>
      </c>
      <c r="AT33" s="40">
        <f>IF(AS33&gt;=91, 4.00, IF(AS33&gt;=81, 3.50, IF(AS33&gt;=70, 3.00, IF(AS33&gt;=65, 2.50, IF(AS33&gt;=60, 2.00, IF(AS33&gt;=55, 1.50, IF(AS33&gt;=50, 1.00, 0.00)))))))</f>
      </c>
      <c r="AU33" s="40">
        <f>IF(AS33&gt;=91,"A",IF(AS33&gt;=81,"B+",IF(AS33&gt;=70,"B",IF(AS33&gt;=65,"C+",IF(AS33&gt;=60,"C",IF(AS33&gt;=55,"D+",IF(AS33&gt;=50,"D","F")))))))</f>
      </c>
      <c r="AV33" s="40" t="s">
        <v>43</v>
      </c>
      <c r="AW33" s="40">
        <f>IF(AV33&gt;=91, 4.00, IF(AV33&gt;=81, 3.50, IF(AV33&gt;=70, 3.00, IF(AV33&gt;=65, 2.50, IF(AV33&gt;=60, 2.00, IF(AV33&gt;=55, 1.50, IF(AV33&gt;=50, 1.00, 0.00)))))))</f>
      </c>
      <c r="AX33" s="40">
        <f>IF(AV33&gt;=91,"A",IF(AV33&gt;=81,"B+",IF(AV33&gt;=70,"B",IF(AV33&gt;=65,"C+",IF(AV33&gt;=60,"C",IF(AV33&gt;=55,"D+",IF(AV33&gt;=50,"D","F")))))))</f>
      </c>
      <c r="AY33" s="40" t="s">
        <v>310</v>
      </c>
      <c r="AZ33" s="40">
        <f>IF(AY33&gt;=91, 4.00, IF(AY33&gt;=81, 3.50, IF(AY33&gt;=70, 3.00, IF(AY33&gt;=65, 2.50, IF(AY33&gt;=60, 2.00, IF(AY33&gt;=55, 1.50, IF(AY33&gt;=50, 1.00, 0.00)))))))</f>
      </c>
      <c r="BA33" s="111">
        <f>IF(AY33&gt;=91,"A",IF(AY33&gt;=81,"B+",IF(AY33&gt;=70,"B",IF(AY33&gt;=65,"C+",IF(AY33&gt;=60,"C",IF(AY33&gt;=55,"D+",IF(AY33&gt;=50,"D","F")))))))</f>
      </c>
      <c r="BB33" s="112">
        <v>81</v>
      </c>
      <c r="BC33" s="40">
        <f>IF(BB33&gt;=91, 4.00, IF(BB33&gt;=81, 3.50, IF(BB33&gt;=70, 3.00, IF(BB33&gt;=65, 2.50, IF(BB33&gt;=60, 2.00, IF(BB33&gt;=55, 1.50, IF(BB33&gt;=50, 1.00, 0.00)))))))</f>
      </c>
      <c r="BD33" s="49">
        <f>IF(BB33&gt;=91,"A",IF(BB33&gt;=81,"B+",IF(BB33&gt;=70,"B",IF(BB33&gt;=65,"C+",IF(BB33&gt;=60,"C",IF(BB33&gt;=55,"D+",IF(BB33&gt;=50,"D","F")))))))</f>
      </c>
      <c r="BE33" s="40" t="str">
        <f>IF(BC33&gt;90,"A",IF(BC33&gt;80,"B+",IF(BC33&gt;69,"B",IF(BC33&gt;64,"C+",IF(BC33&gt;59,"C",IF(BC33&gt;54,"D+",IF(BC33&gt;49,"D",IF(BC33&gt;=0,"F"))))))))</f>
        <v>F</v>
      </c>
      <c r="BF33" s="49">
        <f>IF(BE33&gt;=91, 4.00, IF(BE33&gt;=81, 3.50, IF(BE33&gt;=70, 3.00, IF(BE33&gt;=65, 2.50, IF(BE33&gt;=60, 2.00, IF(BE33&gt;=55, 1.50, IF(BE33&gt;=50, 1.00, 0.00)))))))</f>
      </c>
      <c r="BG33" s="49">
        <f>IF(BE33&gt;=91,"A",IF(BE33&gt;=81,"B+",IF(BE33&gt;=70,"B",IF(BE33&gt;=65,"C+",IF(BE33&gt;=60,"C",IF(BE33&gt;=55,"D+",IF(BE33&gt;=50,"D","F")))))))</f>
      </c>
      <c r="BH33" s="40" t="str">
        <f>IF(BF33&gt;90,"A",IF(BF33&gt;80,"B+",IF(BF33&gt;69,"B",IF(BF33&gt;64,"C+",IF(BF33&gt;59,"C",IF(BF33&gt;54,"D+",IF(BF33&gt;49,"D",IF(BF33&gt;=0,"F"))))))))</f>
        <v>F</v>
      </c>
      <c r="BI33" s="49">
        <f>IF(BH33&gt;=91, 4.00, IF(BH33&gt;=81, 3.50, IF(BH33&gt;=70, 3.00, IF(BH33&gt;=65, 2.50, IF(BH33&gt;=60, 2.00, IF(BH33&gt;=55, 1.50, IF(BH33&gt;=50, 1.00, 0.00)))))))</f>
      </c>
      <c r="BJ33" s="49">
        <f>IF(BH33&gt;=91,"A",IF(BH33&gt;=81,"B+",IF(BH33&gt;=70,"B",IF(BH33&gt;=65,"C+",IF(BH33&gt;=60,"C",IF(BH33&gt;=55,"D+",IF(BH33&gt;=50,"D","F")))))))</f>
      </c>
      <c r="BK33" s="40" t="str">
        <f>IF(BI33&gt;90,"A",IF(BI33&gt;80,"B+",IF(BI33&gt;69,"B",IF(BI33&gt;64,"C+",IF(BI33&gt;59,"C",IF(BI33&gt;54,"D+",IF(BI33&gt;49,"D",IF(BI33&gt;=0,"F"))))))))</f>
        <v>F</v>
      </c>
      <c r="BL33" s="49">
        <f>IF(BK33&gt;=91, 4.00, IF(BK33&gt;=81, 3.50, IF(BK33&gt;=70, 3.00, IF(BK33&gt;=65, 2.50, IF(BK33&gt;=60, 2.00, IF(BK33&gt;=55, 1.50, IF(BK33&gt;=50, 1.00, 0.00)))))))</f>
      </c>
      <c r="BM33" s="49">
        <f>IF(BK33&gt;=91,"A",IF(BK33&gt;=81,"B+",IF(BK33&gt;=70,"B",IF(BK33&gt;=65,"C+",IF(BK33&gt;=60,"C",IF(BK33&gt;=55,"D+",IF(BK33&gt;=50,"D","F")))))))</f>
      </c>
      <c r="BN33" s="40" t="str">
        <f>IF(BL33&gt;90,"A",IF(BL33&gt;80,"B+",IF(BL33&gt;69,"B",IF(BL33&gt;64,"C+",IF(BL33&gt;59,"C",IF(BL33&gt;54,"D+",IF(BL33&gt;49,"D",IF(BL33&gt;=0,"F"))))))))</f>
        <v>F</v>
      </c>
      <c r="BO33" s="49">
        <f>IF(BN33&gt;=91, 4.00, IF(BN33&gt;=81, 3.50, IF(BN33&gt;=70, 3.00, IF(BN33&gt;=65, 2.50, IF(BN33&gt;=60, 2.00, IF(BN33&gt;=55, 1.50, IF(BN33&gt;=50, 1.00, 0.00)))))))</f>
      </c>
      <c r="BP33" s="49">
        <f>IF(BN33&gt;=91,"A",IF(BN33&gt;=81,"B+",IF(BN33&gt;=70,"B",IF(BN33&gt;=65,"C+",IF(BN33&gt;=60,"C",IF(BN33&gt;=55,"D+",IF(BN33&gt;=50,"D","F")))))))</f>
      </c>
      <c r="BQ33" s="40" t="str">
        <f>IF(BO33&gt;90,"A",IF(BO33&gt;80,"B+",IF(BO33&gt;69,"B",IF(BO33&gt;64,"C+",IF(BO33&gt;59,"C",IF(BO33&gt;54,"D+",IF(BO33&gt;49,"D",IF(BO33&gt;=0,"F"))))))))</f>
        <v>F</v>
      </c>
      <c r="BR33" s="49">
        <f>IF(BQ33&gt;=91, 4.00, IF(BQ33&gt;=81, 3.50, IF(BQ33&gt;=70, 3.00, IF(BQ33&gt;=65, 2.50, IF(BQ33&gt;=60, 2.00, IF(BQ33&gt;=55, 1.50, IF(BQ33&gt;=50, 1.00, 0.00)))))))</f>
      </c>
      <c r="BS33" s="49">
        <f>IF(BQ33&gt;=91,"A",IF(BQ33&gt;=81,"B+",IF(BQ33&gt;=70,"B",IF(BQ33&gt;=65,"C+",IF(BQ33&gt;=60,"C",IF(BQ33&gt;=55,"D+",IF(BQ33&gt;=50,"D","F")))))))</f>
      </c>
      <c r="BT33" s="40" t="str">
        <f>IF(BR33&gt;90,"A",IF(BR33&gt;80,"B+",IF(BR33&gt;69,"B",IF(BR33&gt;64,"C+",IF(BR33&gt;59,"C",IF(BR33&gt;54,"D+",IF(BR33&gt;49,"D",IF(BR33&gt;=0,"F"))))))))</f>
        <v>F</v>
      </c>
      <c r="BU33" s="49">
        <f>IF(BT33&gt;=91, 4.00, IF(BT33&gt;=81, 3.50, IF(BT33&gt;=70, 3.00, IF(BT33&gt;=65, 2.50, IF(BT33&gt;=60, 2.00, IF(BT33&gt;=55, 1.50, IF(BT33&gt;=50, 1.00, 0.00)))))))</f>
      </c>
      <c r="BV33" s="49">
        <f>IF(BT33&gt;=91,"A",IF(BT33&gt;=81,"B+",IF(BT33&gt;=70,"B",IF(BT33&gt;=65,"C+",IF(BT33&gt;=60,"C",IF(BT33&gt;=55,"D+",IF(BT33&gt;=50,"D","F")))))))</f>
      </c>
      <c r="BW33" s="40">
        <f>ROUND((AT33*3+AW33*2+AZ33*1+BC33*1+BF33*1+BI33*2+BL33*2+BO33*1+BR33*2+BU33*3)/18, 2)</f>
      </c>
      <c r="BX33" s="49"/>
      <c r="BY33" s="49" t="str">
        <f>IF(BX33&gt;90,"4.00",IF(BX33&gt;80,"3.50",IF(BX33&gt;69,"3.00",IF(BX33&gt;64,"2.50",IF(BX33&gt;59,"2.00",IF(BX33&gt;54,"1.50",IF(BX33&gt;49,"1.00","0.00")))))))</f>
        <v>0.00</v>
      </c>
      <c r="BZ33" s="40" t="str">
        <f>IF(BX33&gt;90,"A",IF(BX33&gt;80,"B+",IF(BX33&gt;69,"B",IF(BX33&gt;64,"C+",IF(BX33&gt;59,"C",IF(BX33&gt;54,"D+",IF(BX33&gt;49,"D",IF(BX33&gt;=0,"F"))))))))</f>
        <v>F</v>
      </c>
      <c r="CA33" s="49"/>
      <c r="CB33" s="49" t="str">
        <f>IF(CA33&gt;90,"4.00",IF(CA33&gt;80,"3.50",IF(CA33&gt;69,"3.00",IF(CA33&gt;64,"2.50",IF(CA33&gt;59,"2.00",IF(CA33&gt;54,"1.50",IF(CA33&gt;49,"1.00","0.00")))))))</f>
        <v>0.00</v>
      </c>
      <c r="CC33" s="40" t="str">
        <f>IF(CA33&gt;90,"A",IF(CA33&gt;80,"B+",IF(CA33&gt;69,"B",IF(CA33&gt;64,"C+",IF(CA33&gt;59,"C",IF(CA33&gt;54,"D+",IF(CA33&gt;49,"D",IF(CA33&gt;=0,"F"))))))))</f>
        <v>F</v>
      </c>
      <c r="CD33" s="49"/>
      <c r="CE33" s="49" t="str">
        <f>IF(CD33&gt;90,"4.00",IF(CD33&gt;80,"3.50",IF(CD33&gt;69,"3.00",IF(CD33&gt;64,"2.50",IF(CD33&gt;59,"2.00",IF(CD33&gt;54,"1.50",IF(CD33&gt;49,"1.00","0.00")))))))</f>
        <v>0.00</v>
      </c>
      <c r="CF33" s="40" t="str">
        <f>IF(CD33&gt;90,"A",IF(CD33&gt;80,"B+",IF(CD33&gt;69,"B",IF(CD33&gt;64,"C+",IF(CD33&gt;59,"C",IF(CD33&gt;54,"D+",IF(CD33&gt;49,"D",IF(CD33&gt;=0,"F"))))))))</f>
        <v>F</v>
      </c>
      <c r="CG33" s="50">
        <f>(BD33*3+BG33*1+BJ33*1+BM33*2+BP33*1+BS33*2+BV33*2+BY33*1+CB33*2+CE33*2)/(3+1+1+2+1+2+2+1+2+2)</f>
        <v>0</v>
      </c>
      <c r="CH33" s="50">
        <f>(AR33+CG33)/2</f>
        <v>0</v>
      </c>
      <c r="CI33" s="51">
        <f>RANK(CH33,$CH$7:CH62)</f>
        <v>1</v>
      </c>
      <c r="CJ33" s="67"/>
      <c r="CK33" s="52"/>
      <c r="CL33" s="52"/>
      <c r="CM33" s="52"/>
    </row>
    <row r="34" ht="20" customHeight="1" spans="1:91" s="53" customFormat="1" x14ac:dyDescent="0.25">
      <c r="A34" s="40">
        <v>28</v>
      </c>
      <c r="B34" s="40" t="s">
        <v>311</v>
      </c>
      <c r="C34" s="40" t="s">
        <v>43</v>
      </c>
      <c r="D34" s="40" t="s">
        <v>204</v>
      </c>
      <c r="E34" s="40" t="s">
        <v>205</v>
      </c>
      <c r="F34" s="40" t="s">
        <v>312</v>
      </c>
      <c r="G34" s="40" t="s">
        <v>207</v>
      </c>
      <c r="H34" s="44"/>
      <c r="I34" s="112"/>
      <c r="J34" s="40">
        <v>1</v>
      </c>
      <c r="K34" s="42">
        <v>83</v>
      </c>
      <c r="L34" s="40">
        <f>IF(K34&gt;=91, 4.00, IF(K34&gt;=81, 3.50, IF(K34&gt;=70, 3.00, IF(K34&gt;=65, 2.50, IF(K34&gt;=60, 2.00, IF(K34&gt;=55, 1.50, IF(K34&gt;=50, 1.00, 0.00)))))))</f>
      </c>
      <c r="M34" s="40">
        <f>IF(K34&gt;=91,"A",IF(K34&gt;=81,"B+",IF(K34&gt;=70,"B",IF(K34&gt;=65,"C+",IF(K34&gt;=60,"C",IF(K34&gt;=55,"D+",IF(K34&gt;=50,"D","F")))))))</f>
      </c>
      <c r="N34" s="42">
        <v>86</v>
      </c>
      <c r="O34" s="40">
        <f>IF(N34&gt;=91, 4.00, IF(N34&gt;=81, 3.50, IF(N34&gt;=70, 3.00, IF(N34&gt;=65, 2.50, IF(N34&gt;=60, 2.00, IF(N34&gt;=55, 1.50, IF(N34&gt;=50, 1.00, 0.00)))))))</f>
      </c>
      <c r="P34" s="40">
        <f>IF(N34&gt;=91,"A",IF(N34&gt;=81,"B+",IF(N34&gt;=70,"B",IF(N34&gt;=65,"C+",IF(N34&gt;=60,"C",IF(N34&gt;=55,"D+",IF(N34&gt;=50,"D","F")))))))</f>
      </c>
      <c r="Q34" s="42">
        <v>89</v>
      </c>
      <c r="R34" s="40">
        <f>IF(Q34&gt;=91, 4.00, IF(Q34&gt;=81, 3.50, IF(Q34&gt;=70, 3.00, IF(Q34&gt;=65, 2.50, IF(Q34&gt;=60, 2.00, IF(Q34&gt;=55, 1.50, IF(Q34&gt;=50, 1.00, 0.00)))))))</f>
      </c>
      <c r="S34" s="40">
        <f>IF(Q34&gt;=91,"A",IF(Q34&gt;=81,"B+",IF(Q34&gt;=70,"B",IF(Q34&gt;=65,"C+",IF(Q34&gt;=60,"C",IF(Q34&gt;=55,"D+",IF(Q34&gt;=50,"D","F")))))))</f>
      </c>
      <c r="T34" s="40">
        <v>92</v>
      </c>
      <c r="U34" s="40">
        <f>IF(T34&gt;=91, 4.00, IF(T34&gt;=81, 3.50, IF(T34&gt;=70, 3.00, IF(T34&gt;=65, 2.50, IF(T34&gt;=60, 2.00, IF(T34&gt;=55, 1.50, IF(T34&gt;=50, 1.00, 0.00)))))))</f>
      </c>
      <c r="V34" s="40">
        <f>IF(T34&gt;=91,"A",IF(T34&gt;=81,"B+",IF(T34&gt;=70,"B",IF(T34&gt;=65,"C+",IF(T34&gt;=60,"C",IF(T34&gt;=55,"D+",IF(T34&gt;=50,"D","F")))))))</f>
      </c>
      <c r="W34" s="42">
        <v>95</v>
      </c>
      <c r="X34" s="40">
        <f>IF(W34&gt;=91, 4.00, IF(W34&gt;=81, 3.50, IF(W34&gt;=70, 3.00, IF(W34&gt;=65, 2.50, IF(W34&gt;=60, 2.00, IF(W34&gt;=55, 1.50, IF(W34&gt;=50, 1.00, 0.00)))))))</f>
      </c>
      <c r="Y34" s="40">
        <f>IF(W34&gt;=91,"A",IF(W34&gt;=81,"B+",IF(W34&gt;=70,"B",IF(W34&gt;=65,"C+",IF(W34&gt;=60,"C",IF(W34&gt;=55,"D+",IF(W34&gt;=50,"D","F")))))))</f>
      </c>
      <c r="Z34" s="40">
        <v>77</v>
      </c>
      <c r="AA34" s="40">
        <f>IF(Z34&gt;=91, 4.00, IF(Z34&gt;=81, 3.50, IF(Z34&gt;=70, 3.00, IF(Z34&gt;=65, 2.50, IF(Z34&gt;=60, 2.00, IF(Z34&gt;=55, 1.50, IF(Z34&gt;=50, 1.00, 0.00)))))))</f>
      </c>
      <c r="AB34" s="40">
        <f>IF(Z34&gt;=91,"A",IF(Z34&gt;=81,"B+",IF(Z34&gt;=70,"B",IF(Z34&gt;=65,"C+",IF(Z34&gt;=60,"C",IF(Z34&gt;=55,"D+",IF(Z34&gt;=50,"D","F")))))))</f>
      </c>
      <c r="AC34" s="40">
        <v>80</v>
      </c>
      <c r="AD34" s="40">
        <f>IF(AC34&gt;=91, 4.00, IF(AC34&gt;=81, 3.50, IF(AC34&gt;=70, 3.00, IF(AC34&gt;=65, 2.50, IF(AC34&gt;=60, 2.00, IF(AC34&gt;=55, 1.50, IF(AC34&gt;=50, 1.00, 0.00)))))))</f>
      </c>
      <c r="AE34" s="40">
        <f>IF(AC34&gt;=91,"A",IF(AC34&gt;=81,"B+",IF(AC34&gt;=70,"B",IF(AC34&gt;=65,"C+",IF(AC34&gt;=60,"C",IF(AC34&gt;=55,"D+",IF(AC34&gt;=50,"D","F")))))))</f>
      </c>
      <c r="AF34" s="40">
        <v>83</v>
      </c>
      <c r="AG34" s="40">
        <f>IF(AF34&gt;=91, 4.00, IF(AF34&gt;=81, 3.50, IF(AF34&gt;=70, 3.00, IF(AF34&gt;=65, 2.50, IF(AF34&gt;=60, 2.00, IF(AF34&gt;=55, 1.50, IF(AF34&gt;=50, 1.00, 0.00)))))))</f>
      </c>
      <c r="AH34" s="40">
        <f>IF(AF34&gt;=91,"A",IF(AF34&gt;=81,"B+",IF(AF34&gt;=70,"B",IF(AF34&gt;=65,"C+",IF(AF34&gt;=60,"C",IF(AF34&gt;=55,"D+",IF(AF34&gt;=50,"D","F")))))))</f>
      </c>
      <c r="AI34" s="40">
        <v>86</v>
      </c>
      <c r="AJ34" s="40">
        <f>IF(AI34&gt;=91, 4.00, IF(AI34&gt;=81, 3.50, IF(AI34&gt;=70, 3.00, IF(AI34&gt;=65, 2.50, IF(AI34&gt;=60, 2.00, IF(AI34&gt;=55, 1.50, IF(AI34&gt;=50, 1.00, 0.00)))))))</f>
      </c>
      <c r="AK34" s="40">
        <f>IF(AI34&gt;=91,"A",IF(AI34&gt;=81,"B+",IF(AI34&gt;=70,"B",IF(AI34&gt;=65,"C+",IF(AI34&gt;=60,"C",IF(AI34&gt;=55,"D+",IF(AI34&gt;=50,"D","F")))))))</f>
      </c>
      <c r="AL34" s="40">
        <v>89</v>
      </c>
      <c r="AM34" s="40">
        <f>IF(AL34&gt;=91, 4.00, IF(AL34&gt;=81, 3.50, IF(AL34&gt;=70, 3.00, IF(AL34&gt;=65, 2.50, IF(AL34&gt;=60, 2.00, IF(AL34&gt;=55, 1.50, IF(AL34&gt;=50, 1.00, 0.00)))))))</f>
      </c>
      <c r="AN34" s="40">
        <f>IF(AL34&gt;=91,"A",IF(AL34&gt;=81,"B+",IF(AL34&gt;=70,"B",IF(AL34&gt;=65,"C+",IF(AL34&gt;=60,"C",IF(AL34&gt;=55,"D+",IF(AL34&gt;=50,"D","F")))))))</f>
      </c>
      <c r="AO34" s="40">
        <v>92</v>
      </c>
      <c r="AP34" s="40">
        <f>IF(AO34&gt;=91, 4.00, IF(AO34&gt;=81, 3.50, IF(AO34&gt;=70, 3.00, IF(AO34&gt;=65, 2.50, IF(AO34&gt;=60, 2.00, IF(AO34&gt;=55, 1.50, IF(AO34&gt;=50, 1.00, 0.00)))))))</f>
      </c>
      <c r="AQ34" s="40">
        <f>IF(AO34&gt;=91,"A",IF(AO34&gt;=81,"B+",IF(AO34&gt;=70,"B",IF(AO34&gt;=65,"C+",IF(AO34&gt;=60,"C",IF(AO34&gt;=55,"D+",IF(AO34&gt;=50,"D","F")))))))</f>
      </c>
      <c r="AR34" s="40">
        <f>ROUND((L34*3+O34*2+R34*1+U34*1+X34*1+AA34*2+AD34*2+AG34*2+AJ34*1+AM34*2+AP34*2)/19, 2)</f>
      </c>
      <c r="AS34" s="52">
        <v>75</v>
      </c>
      <c r="AT34" s="40">
        <f>IF(AS34&gt;=91, 4.00, IF(AS34&gt;=81, 3.50, IF(AS34&gt;=70, 3.00, IF(AS34&gt;=65, 2.50, IF(AS34&gt;=60, 2.00, IF(AS34&gt;=55, 1.50, IF(AS34&gt;=50, 1.00, 0.00)))))))</f>
      </c>
      <c r="AU34" s="40">
        <f>IF(AS34&gt;=91,"A",IF(AS34&gt;=81,"B+",IF(AS34&gt;=70,"B",IF(AS34&gt;=65,"C+",IF(AS34&gt;=60,"C",IF(AS34&gt;=55,"D+",IF(AS34&gt;=50,"D","F")))))))</f>
      </c>
      <c r="AV34" s="40" t="s">
        <v>43</v>
      </c>
      <c r="AW34" s="40">
        <f>IF(AV34&gt;=91, 4.00, IF(AV34&gt;=81, 3.50, IF(AV34&gt;=70, 3.00, IF(AV34&gt;=65, 2.50, IF(AV34&gt;=60, 2.00, IF(AV34&gt;=55, 1.50, IF(AV34&gt;=50, 1.00, 0.00)))))))</f>
      </c>
      <c r="AX34" s="40">
        <f>IF(AV34&gt;=91,"A",IF(AV34&gt;=81,"B+",IF(AV34&gt;=70,"B",IF(AV34&gt;=65,"C+",IF(AV34&gt;=60,"C",IF(AV34&gt;=55,"D+",IF(AV34&gt;=50,"D","F")))))))</f>
      </c>
      <c r="AY34" s="40" t="s">
        <v>312</v>
      </c>
      <c r="AZ34" s="40">
        <f>IF(AY34&gt;=91, 4.00, IF(AY34&gt;=81, 3.50, IF(AY34&gt;=70, 3.00, IF(AY34&gt;=65, 2.50, IF(AY34&gt;=60, 2.00, IF(AY34&gt;=55, 1.50, IF(AY34&gt;=50, 1.00, 0.00)))))))</f>
      </c>
      <c r="BA34" s="44">
        <f>IF(AY34&gt;=91,"A",IF(AY34&gt;=81,"B+",IF(AY34&gt;=70,"B",IF(AY34&gt;=65,"C+",IF(AY34&gt;=60,"C",IF(AY34&gt;=55,"D+",IF(AY34&gt;=50,"D","F")))))))</f>
      </c>
      <c r="BB34" s="112">
        <v>84</v>
      </c>
      <c r="BC34" s="49">
        <f>IF(BB34&gt;=91, 4.00, IF(BB34&gt;=81, 3.50, IF(BB34&gt;=70, 3.00, IF(BB34&gt;=65, 2.50, IF(BB34&gt;=60, 2.00, IF(BB34&gt;=55, 1.50, IF(BB34&gt;=50, 1.00, 0.00)))))))</f>
      </c>
      <c r="BD34" s="49">
        <f>IF(BB34&gt;=91,"A",IF(BB34&gt;=81,"B+",IF(BB34&gt;=70,"B",IF(BB34&gt;=65,"C+",IF(BB34&gt;=60,"C",IF(BB34&gt;=55,"D+",IF(BB34&gt;=50,"D","F")))))))</f>
      </c>
      <c r="BE34" s="40" t="str">
        <f>IF(BC34&gt;90,"A",IF(BC34&gt;80,"B+",IF(BC34&gt;69,"B",IF(BC34&gt;64,"C+",IF(BC34&gt;59,"C",IF(BC34&gt;54,"D+",IF(BC34&gt;49,"D",IF(BC34&gt;=0,"F"))))))))</f>
        <v>F</v>
      </c>
      <c r="BF34" s="49">
        <f>IF(BE34&gt;=91, 4.00, IF(BE34&gt;=81, 3.50, IF(BE34&gt;=70, 3.00, IF(BE34&gt;=65, 2.50, IF(BE34&gt;=60, 2.00, IF(BE34&gt;=55, 1.50, IF(BE34&gt;=50, 1.00, 0.00)))))))</f>
      </c>
      <c r="BG34" s="49">
        <f>IF(BE34&gt;=91,"A",IF(BE34&gt;=81,"B+",IF(BE34&gt;=70,"B",IF(BE34&gt;=65,"C+",IF(BE34&gt;=60,"C",IF(BE34&gt;=55,"D+",IF(BE34&gt;=50,"D","F")))))))</f>
      </c>
      <c r="BH34" s="40" t="str">
        <f>IF(BF34&gt;90,"A",IF(BF34&gt;80,"B+",IF(BF34&gt;69,"B",IF(BF34&gt;64,"C+",IF(BF34&gt;59,"C",IF(BF34&gt;54,"D+",IF(BF34&gt;49,"D",IF(BF34&gt;=0,"F"))))))))</f>
        <v>F</v>
      </c>
      <c r="BI34" s="49">
        <f>IF(BH34&gt;=91, 4.00, IF(BH34&gt;=81, 3.50, IF(BH34&gt;=70, 3.00, IF(BH34&gt;=65, 2.50, IF(BH34&gt;=60, 2.00, IF(BH34&gt;=55, 1.50, IF(BH34&gt;=50, 1.00, 0.00)))))))</f>
      </c>
      <c r="BJ34" s="49">
        <f>IF(BH34&gt;=91,"A",IF(BH34&gt;=81,"B+",IF(BH34&gt;=70,"B",IF(BH34&gt;=65,"C+",IF(BH34&gt;=60,"C",IF(BH34&gt;=55,"D+",IF(BH34&gt;=50,"D","F")))))))</f>
      </c>
      <c r="BK34" s="40" t="str">
        <f>IF(BI34&gt;90,"A",IF(BI34&gt;80,"B+",IF(BI34&gt;69,"B",IF(BI34&gt;64,"C+",IF(BI34&gt;59,"C",IF(BI34&gt;54,"D+",IF(BI34&gt;49,"D",IF(BI34&gt;=0,"F"))))))))</f>
        <v>F</v>
      </c>
      <c r="BL34" s="49">
        <f>IF(BK34&gt;=91, 4.00, IF(BK34&gt;=81, 3.50, IF(BK34&gt;=70, 3.00, IF(BK34&gt;=65, 2.50, IF(BK34&gt;=60, 2.00, IF(BK34&gt;=55, 1.50, IF(BK34&gt;=50, 1.00, 0.00)))))))</f>
      </c>
      <c r="BM34" s="49">
        <f>IF(BK34&gt;=91,"A",IF(BK34&gt;=81,"B+",IF(BK34&gt;=70,"B",IF(BK34&gt;=65,"C+",IF(BK34&gt;=60,"C",IF(BK34&gt;=55,"D+",IF(BK34&gt;=50,"D","F")))))))</f>
      </c>
      <c r="BN34" s="40" t="str">
        <f>IF(BL34&gt;90,"A",IF(BL34&gt;80,"B+",IF(BL34&gt;69,"B",IF(BL34&gt;64,"C+",IF(BL34&gt;59,"C",IF(BL34&gt;54,"D+",IF(BL34&gt;49,"D",IF(BL34&gt;=0,"F"))))))))</f>
        <v>F</v>
      </c>
      <c r="BO34" s="49">
        <f>IF(BN34&gt;=91, 4.00, IF(BN34&gt;=81, 3.50, IF(BN34&gt;=70, 3.00, IF(BN34&gt;=65, 2.50, IF(BN34&gt;=60, 2.00, IF(BN34&gt;=55, 1.50, IF(BN34&gt;=50, 1.00, 0.00)))))))</f>
      </c>
      <c r="BP34" s="49">
        <f>IF(BN34&gt;=91,"A",IF(BN34&gt;=81,"B+",IF(BN34&gt;=70,"B",IF(BN34&gt;=65,"C+",IF(BN34&gt;=60,"C",IF(BN34&gt;=55,"D+",IF(BN34&gt;=50,"D","F")))))))</f>
      </c>
      <c r="BQ34" s="40" t="str">
        <f>IF(BO34&gt;90,"A",IF(BO34&gt;80,"B+",IF(BO34&gt;69,"B",IF(BO34&gt;64,"C+",IF(BO34&gt;59,"C",IF(BO34&gt;54,"D+",IF(BO34&gt;49,"D",IF(BO34&gt;=0,"F"))))))))</f>
        <v>F</v>
      </c>
      <c r="BR34" s="49">
        <f>IF(BQ34&gt;=91, 4.00, IF(BQ34&gt;=81, 3.50, IF(BQ34&gt;=70, 3.00, IF(BQ34&gt;=65, 2.50, IF(BQ34&gt;=60, 2.00, IF(BQ34&gt;=55, 1.50, IF(BQ34&gt;=50, 1.00, 0.00)))))))</f>
      </c>
      <c r="BS34" s="49">
        <f>IF(BQ34&gt;=91,"A",IF(BQ34&gt;=81,"B+",IF(BQ34&gt;=70,"B",IF(BQ34&gt;=65,"C+",IF(BQ34&gt;=60,"C",IF(BQ34&gt;=55,"D+",IF(BQ34&gt;=50,"D","F")))))))</f>
      </c>
      <c r="BT34" s="40" t="str">
        <f>IF(BR34&gt;90,"A",IF(BR34&gt;80,"B+",IF(BR34&gt;69,"B",IF(BR34&gt;64,"C+",IF(BR34&gt;59,"C",IF(BR34&gt;54,"D+",IF(BR34&gt;49,"D",IF(BR34&gt;=0,"F"))))))))</f>
        <v>F</v>
      </c>
      <c r="BU34" s="49">
        <f>IF(BT34&gt;=91, 4.00, IF(BT34&gt;=81, 3.50, IF(BT34&gt;=70, 3.00, IF(BT34&gt;=65, 2.50, IF(BT34&gt;=60, 2.00, IF(BT34&gt;=55, 1.50, IF(BT34&gt;=50, 1.00, 0.00)))))))</f>
      </c>
      <c r="BV34" s="49">
        <f>IF(BT34&gt;=91,"A",IF(BT34&gt;=81,"B+",IF(BT34&gt;=70,"B",IF(BT34&gt;=65,"C+",IF(BT34&gt;=60,"C",IF(BT34&gt;=55,"D+",IF(BT34&gt;=50,"D","F")))))))</f>
      </c>
      <c r="BW34" s="40">
        <f>ROUND((AT34*3+AW34*2+AZ34*1+BC34*1+BF34*1+BI34*2+BL34*2+BO34*1+BR34*2+BU34*3)/18, 2)</f>
      </c>
      <c r="BX34" s="49"/>
      <c r="BY34" s="49" t="str">
        <f>IF(BX34&gt;90,"4.00",IF(BX34&gt;80,"3.50",IF(BX34&gt;69,"3.00",IF(BX34&gt;64,"2.50",IF(BX34&gt;59,"2.00",IF(BX34&gt;54,"1.50",IF(BX34&gt;49,"1.00","0.00")))))))</f>
        <v>0.00</v>
      </c>
      <c r="BZ34" s="40" t="str">
        <f>IF(BX34&gt;90,"A",IF(BX34&gt;80,"B+",IF(BX34&gt;69,"B",IF(BX34&gt;64,"C+",IF(BX34&gt;59,"C",IF(BX34&gt;54,"D+",IF(BX34&gt;49,"D",IF(BX34&gt;=0,"F"))))))))</f>
        <v>F</v>
      </c>
      <c r="CA34" s="49"/>
      <c r="CB34" s="49" t="str">
        <f>IF(CA34&gt;90,"4.00",IF(CA34&gt;80,"3.50",IF(CA34&gt;69,"3.00",IF(CA34&gt;64,"2.50",IF(CA34&gt;59,"2.00",IF(CA34&gt;54,"1.50",IF(CA34&gt;49,"1.00","0.00")))))))</f>
        <v>0.00</v>
      </c>
      <c r="CC34" s="40" t="str">
        <f>IF(CA34&gt;90,"A",IF(CA34&gt;80,"B+",IF(CA34&gt;69,"B",IF(CA34&gt;64,"C+",IF(CA34&gt;59,"C",IF(CA34&gt;54,"D+",IF(CA34&gt;49,"D",IF(CA34&gt;=0,"F"))))))))</f>
        <v>F</v>
      </c>
      <c r="CD34" s="49"/>
      <c r="CE34" s="49" t="str">
        <f>IF(CD34&gt;90,"4.00",IF(CD34&gt;80,"3.50",IF(CD34&gt;69,"3.00",IF(CD34&gt;64,"2.50",IF(CD34&gt;59,"2.00",IF(CD34&gt;54,"1.50",IF(CD34&gt;49,"1.00","0.00")))))))</f>
        <v>0.00</v>
      </c>
      <c r="CF34" s="40" t="str">
        <f>IF(CD34&gt;90,"A",IF(CD34&gt;80,"B+",IF(CD34&gt;69,"B",IF(CD34&gt;64,"C+",IF(CD34&gt;59,"C",IF(CD34&gt;54,"D+",IF(CD34&gt;49,"D",IF(CD34&gt;=0,"F"))))))))</f>
        <v>F</v>
      </c>
      <c r="CG34" s="50">
        <f>(BD34*3+BG34*1+BJ34*1+BM34*2+BP34*1+BS34*2+BV34*2+BY34*1+CB34*2+CE34*2)/(3+1+1+2+1+2+2+1+2+2)</f>
        <v>0</v>
      </c>
      <c r="CH34" s="50">
        <f>(AR34+CG34)/2</f>
        <v>0</v>
      </c>
      <c r="CI34" s="51">
        <f>RANK(CH34,$CH$7:CH63)</f>
        <v>1</v>
      </c>
      <c r="CJ34" s="76"/>
      <c r="CK34" s="52"/>
      <c r="CL34" s="52"/>
      <c r="CM34" s="52"/>
    </row>
    <row r="35" ht="20" customHeight="1" spans="1:91" s="53" customFormat="1" x14ac:dyDescent="0.25">
      <c r="A35" s="40">
        <v>29</v>
      </c>
      <c r="B35" s="40" t="s">
        <v>313</v>
      </c>
      <c r="C35" s="40" t="s">
        <v>43</v>
      </c>
      <c r="D35" s="40" t="s">
        <v>211</v>
      </c>
      <c r="E35" s="40" t="s">
        <v>212</v>
      </c>
      <c r="F35" s="40" t="s">
        <v>314</v>
      </c>
      <c r="G35" s="40" t="s">
        <v>214</v>
      </c>
      <c r="H35" s="111"/>
      <c r="I35" s="112"/>
      <c r="J35" s="40">
        <v>1</v>
      </c>
      <c r="K35" s="42">
        <v>86</v>
      </c>
      <c r="L35" s="40">
        <f>IF(K35&gt;=91, 4.00, IF(K35&gt;=81, 3.50, IF(K35&gt;=70, 3.00, IF(K35&gt;=65, 2.50, IF(K35&gt;=60, 2.00, IF(K35&gt;=55, 1.50, IF(K35&gt;=50, 1.00, 0.00)))))))</f>
      </c>
      <c r="M35" s="40">
        <f>IF(K35&gt;=91,"A",IF(K35&gt;=81,"B+",IF(K35&gt;=70,"B",IF(K35&gt;=65,"C+",IF(K35&gt;=60,"C",IF(K35&gt;=55,"D+",IF(K35&gt;=50,"D","F")))))))</f>
      </c>
      <c r="N35" s="42">
        <v>89</v>
      </c>
      <c r="O35" s="40">
        <f>IF(N35&gt;=91, 4.00, IF(N35&gt;=81, 3.50, IF(N35&gt;=70, 3.00, IF(N35&gt;=65, 2.50, IF(N35&gt;=60, 2.00, IF(N35&gt;=55, 1.50, IF(N35&gt;=50, 1.00, 0.00)))))))</f>
      </c>
      <c r="P35" s="40">
        <f>IF(N35&gt;=91,"A",IF(N35&gt;=81,"B+",IF(N35&gt;=70,"B",IF(N35&gt;=65,"C+",IF(N35&gt;=60,"C",IF(N35&gt;=55,"D+",IF(N35&gt;=50,"D","F")))))))</f>
      </c>
      <c r="Q35" s="42">
        <v>92</v>
      </c>
      <c r="R35" s="40">
        <f>IF(Q35&gt;=91, 4.00, IF(Q35&gt;=81, 3.50, IF(Q35&gt;=70, 3.00, IF(Q35&gt;=65, 2.50, IF(Q35&gt;=60, 2.00, IF(Q35&gt;=55, 1.50, IF(Q35&gt;=50, 1.00, 0.00)))))))</f>
      </c>
      <c r="S35" s="40">
        <f>IF(Q35&gt;=91,"A",IF(Q35&gt;=81,"B+",IF(Q35&gt;=70,"B",IF(Q35&gt;=65,"C+",IF(Q35&gt;=60,"C",IF(Q35&gt;=55,"D+",IF(Q35&gt;=50,"D","F")))))))</f>
      </c>
      <c r="T35" s="40">
        <v>95</v>
      </c>
      <c r="U35" s="40">
        <f>IF(T35&gt;=91, 4.00, IF(T35&gt;=81, 3.50, IF(T35&gt;=70, 3.00, IF(T35&gt;=65, 2.50, IF(T35&gt;=60, 2.00, IF(T35&gt;=55, 1.50, IF(T35&gt;=50, 1.00, 0.00)))))))</f>
      </c>
      <c r="V35" s="40">
        <f>IF(T35&gt;=91,"A",IF(T35&gt;=81,"B+",IF(T35&gt;=70,"B",IF(T35&gt;=65,"C+",IF(T35&gt;=60,"C",IF(T35&gt;=55,"D+",IF(T35&gt;=50,"D","F")))))))</f>
      </c>
      <c r="W35" s="42">
        <v>77</v>
      </c>
      <c r="X35" s="40">
        <f>IF(W35&gt;=91, 4.00, IF(W35&gt;=81, 3.50, IF(W35&gt;=70, 3.00, IF(W35&gt;=65, 2.50, IF(W35&gt;=60, 2.00, IF(W35&gt;=55, 1.50, IF(W35&gt;=50, 1.00, 0.00)))))))</f>
      </c>
      <c r="Y35" s="40">
        <f>IF(W35&gt;=91,"A",IF(W35&gt;=81,"B+",IF(W35&gt;=70,"B",IF(W35&gt;=65,"C+",IF(W35&gt;=60,"C",IF(W35&gt;=55,"D+",IF(W35&gt;=50,"D","F")))))))</f>
      </c>
      <c r="Z35" s="40">
        <v>80</v>
      </c>
      <c r="AA35" s="40">
        <f>IF(Z35&gt;=91, 4.00, IF(Z35&gt;=81, 3.50, IF(Z35&gt;=70, 3.00, IF(Z35&gt;=65, 2.50, IF(Z35&gt;=60, 2.00, IF(Z35&gt;=55, 1.50, IF(Z35&gt;=50, 1.00, 0.00)))))))</f>
      </c>
      <c r="AB35" s="40">
        <f>IF(Z35&gt;=91,"A",IF(Z35&gt;=81,"B+",IF(Z35&gt;=70,"B",IF(Z35&gt;=65,"C+",IF(Z35&gt;=60,"C",IF(Z35&gt;=55,"D+",IF(Z35&gt;=50,"D","F")))))))</f>
      </c>
      <c r="AC35" s="40">
        <v>83</v>
      </c>
      <c r="AD35" s="40">
        <f>IF(AC35&gt;=91, 4.00, IF(AC35&gt;=81, 3.50, IF(AC35&gt;=70, 3.00, IF(AC35&gt;=65, 2.50, IF(AC35&gt;=60, 2.00, IF(AC35&gt;=55, 1.50, IF(AC35&gt;=50, 1.00, 0.00)))))))</f>
      </c>
      <c r="AE35" s="40">
        <f>IF(AC35&gt;=91,"A",IF(AC35&gt;=81,"B+",IF(AC35&gt;=70,"B",IF(AC35&gt;=65,"C+",IF(AC35&gt;=60,"C",IF(AC35&gt;=55,"D+",IF(AC35&gt;=50,"D","F")))))))</f>
      </c>
      <c r="AF35" s="40">
        <v>86</v>
      </c>
      <c r="AG35" s="40">
        <f>IF(AF35&gt;=91, 4.00, IF(AF35&gt;=81, 3.50, IF(AF35&gt;=70, 3.00, IF(AF35&gt;=65, 2.50, IF(AF35&gt;=60, 2.00, IF(AF35&gt;=55, 1.50, IF(AF35&gt;=50, 1.00, 0.00)))))))</f>
      </c>
      <c r="AH35" s="40">
        <f>IF(AF35&gt;=91,"A",IF(AF35&gt;=81,"B+",IF(AF35&gt;=70,"B",IF(AF35&gt;=65,"C+",IF(AF35&gt;=60,"C",IF(AF35&gt;=55,"D+",IF(AF35&gt;=50,"D","F")))))))</f>
      </c>
      <c r="AI35" s="40">
        <v>89</v>
      </c>
      <c r="AJ35" s="40">
        <f>IF(AI35&gt;=91, 4.00, IF(AI35&gt;=81, 3.50, IF(AI35&gt;=70, 3.00, IF(AI35&gt;=65, 2.50, IF(AI35&gt;=60, 2.00, IF(AI35&gt;=55, 1.50, IF(AI35&gt;=50, 1.00, 0.00)))))))</f>
      </c>
      <c r="AK35" s="40">
        <f>IF(AI35&gt;=91,"A",IF(AI35&gt;=81,"B+",IF(AI35&gt;=70,"B",IF(AI35&gt;=65,"C+",IF(AI35&gt;=60,"C",IF(AI35&gt;=55,"D+",IF(AI35&gt;=50,"D","F")))))))</f>
      </c>
      <c r="AL35" s="40">
        <v>92</v>
      </c>
      <c r="AM35" s="40">
        <f>IF(AL35&gt;=91, 4.00, IF(AL35&gt;=81, 3.50, IF(AL35&gt;=70, 3.00, IF(AL35&gt;=65, 2.50, IF(AL35&gt;=60, 2.00, IF(AL35&gt;=55, 1.50, IF(AL35&gt;=50, 1.00, 0.00)))))))</f>
      </c>
      <c r="AN35" s="40">
        <f>IF(AL35&gt;=91,"A",IF(AL35&gt;=81,"B+",IF(AL35&gt;=70,"B",IF(AL35&gt;=65,"C+",IF(AL35&gt;=60,"C",IF(AL35&gt;=55,"D+",IF(AL35&gt;=50,"D","F")))))))</f>
      </c>
      <c r="AO35" s="40">
        <v>95</v>
      </c>
      <c r="AP35" s="40">
        <f>IF(AO35&gt;=91, 4.00, IF(AO35&gt;=81, 3.50, IF(AO35&gt;=70, 3.00, IF(AO35&gt;=65, 2.50, IF(AO35&gt;=60, 2.00, IF(AO35&gt;=55, 1.50, IF(AO35&gt;=50, 1.00, 0.00)))))))</f>
      </c>
      <c r="AQ35" s="40">
        <f>IF(AO35&gt;=91,"A",IF(AO35&gt;=81,"B+",IF(AO35&gt;=70,"B",IF(AO35&gt;=65,"C+",IF(AO35&gt;=60,"C",IF(AO35&gt;=55,"D+",IF(AO35&gt;=50,"D","F")))))))</f>
      </c>
      <c r="AR35" s="40">
        <f>ROUND((L35*3+O35*2+R35*1+U35*1+X35*1+AA35*2+AD35*2+AG35*2+AJ35*1+AM35*2+AP35*2)/19, 2)</f>
      </c>
      <c r="AS35" s="52">
        <v>78</v>
      </c>
      <c r="AT35" s="40">
        <f>IF(AS35&gt;=91, 4.00, IF(AS35&gt;=81, 3.50, IF(AS35&gt;=70, 3.00, IF(AS35&gt;=65, 2.50, IF(AS35&gt;=60, 2.00, IF(AS35&gt;=55, 1.50, IF(AS35&gt;=50, 1.00, 0.00)))))))</f>
      </c>
      <c r="AU35" s="40">
        <f>IF(AS35&gt;=91,"A",IF(AS35&gt;=81,"B+",IF(AS35&gt;=70,"B",IF(AS35&gt;=65,"C+",IF(AS35&gt;=60,"C",IF(AS35&gt;=55,"D+",IF(AS35&gt;=50,"D","F")))))))</f>
      </c>
      <c r="AV35" s="40" t="s">
        <v>43</v>
      </c>
      <c r="AW35" s="40">
        <f>IF(AV35&gt;=91, 4.00, IF(AV35&gt;=81, 3.50, IF(AV35&gt;=70, 3.00, IF(AV35&gt;=65, 2.50, IF(AV35&gt;=60, 2.00, IF(AV35&gt;=55, 1.50, IF(AV35&gt;=50, 1.00, 0.00)))))))</f>
      </c>
      <c r="AX35" s="40">
        <f>IF(AV35&gt;=91,"A",IF(AV35&gt;=81,"B+",IF(AV35&gt;=70,"B",IF(AV35&gt;=65,"C+",IF(AV35&gt;=60,"C",IF(AV35&gt;=55,"D+",IF(AV35&gt;=50,"D","F")))))))</f>
      </c>
      <c r="AY35" s="40" t="s">
        <v>314</v>
      </c>
      <c r="AZ35" s="40">
        <f>IF(AY35&gt;=91, 4.00, IF(AY35&gt;=81, 3.50, IF(AY35&gt;=70, 3.00, IF(AY35&gt;=65, 2.50, IF(AY35&gt;=60, 2.00, IF(AY35&gt;=55, 1.50, IF(AY35&gt;=50, 1.00, 0.00)))))))</f>
      </c>
      <c r="BA35" s="111">
        <f>IF(AY35&gt;=91,"A",IF(AY35&gt;=81,"B+",IF(AY35&gt;=70,"B",IF(AY35&gt;=65,"C+",IF(AY35&gt;=60,"C",IF(AY35&gt;=55,"D+",IF(AY35&gt;=50,"D","F")))))))</f>
      </c>
      <c r="BB35" s="112">
        <v>87</v>
      </c>
      <c r="BC35" s="49">
        <f>IF(BB35&gt;=91, 4.00, IF(BB35&gt;=81, 3.50, IF(BB35&gt;=70, 3.00, IF(BB35&gt;=65, 2.50, IF(BB35&gt;=60, 2.00, IF(BB35&gt;=55, 1.50, IF(BB35&gt;=50, 1.00, 0.00)))))))</f>
      </c>
      <c r="BD35" s="49">
        <f>IF(BB35&gt;=91,"A",IF(BB35&gt;=81,"B+",IF(BB35&gt;=70,"B",IF(BB35&gt;=65,"C+",IF(BB35&gt;=60,"C",IF(BB35&gt;=55,"D+",IF(BB35&gt;=50,"D","F")))))))</f>
      </c>
      <c r="BE35" s="40" t="str">
        <f>IF(BC35&gt;90,"A",IF(BC35&gt;80,"B+",IF(BC35&gt;69,"B",IF(BC35&gt;64,"C+",IF(BC35&gt;59,"C",IF(BC35&gt;54,"D+",IF(BC35&gt;49,"D",IF(BC35&gt;=0,"F"))))))))</f>
        <v>F</v>
      </c>
      <c r="BF35" s="49">
        <f>IF(BE35&gt;=91, 4.00, IF(BE35&gt;=81, 3.50, IF(BE35&gt;=70, 3.00, IF(BE35&gt;=65, 2.50, IF(BE35&gt;=60, 2.00, IF(BE35&gt;=55, 1.50, IF(BE35&gt;=50, 1.00, 0.00)))))))</f>
      </c>
      <c r="BG35" s="49">
        <f>IF(BE35&gt;=91,"A",IF(BE35&gt;=81,"B+",IF(BE35&gt;=70,"B",IF(BE35&gt;=65,"C+",IF(BE35&gt;=60,"C",IF(BE35&gt;=55,"D+",IF(BE35&gt;=50,"D","F")))))))</f>
      </c>
      <c r="BH35" s="40" t="str">
        <f>IF(BF35&gt;90,"A",IF(BF35&gt;80,"B+",IF(BF35&gt;69,"B",IF(BF35&gt;64,"C+",IF(BF35&gt;59,"C",IF(BF35&gt;54,"D+",IF(BF35&gt;49,"D",IF(BF35&gt;=0,"F"))))))))</f>
        <v>F</v>
      </c>
      <c r="BI35" s="49">
        <f>IF(BH35&gt;=91, 4.00, IF(BH35&gt;=81, 3.50, IF(BH35&gt;=70, 3.00, IF(BH35&gt;=65, 2.50, IF(BH35&gt;=60, 2.00, IF(BH35&gt;=55, 1.50, IF(BH35&gt;=50, 1.00, 0.00)))))))</f>
      </c>
      <c r="BJ35" s="49">
        <f>IF(BH35&gt;=91,"A",IF(BH35&gt;=81,"B+",IF(BH35&gt;=70,"B",IF(BH35&gt;=65,"C+",IF(BH35&gt;=60,"C",IF(BH35&gt;=55,"D+",IF(BH35&gt;=50,"D","F")))))))</f>
      </c>
      <c r="BK35" s="40" t="str">
        <f>IF(BI35&gt;90,"A",IF(BI35&gt;80,"B+",IF(BI35&gt;69,"B",IF(BI35&gt;64,"C+",IF(BI35&gt;59,"C",IF(BI35&gt;54,"D+",IF(BI35&gt;49,"D",IF(BI35&gt;=0,"F"))))))))</f>
        <v>F</v>
      </c>
      <c r="BL35" s="49">
        <f>IF(BK35&gt;=91, 4.00, IF(BK35&gt;=81, 3.50, IF(BK35&gt;=70, 3.00, IF(BK35&gt;=65, 2.50, IF(BK35&gt;=60, 2.00, IF(BK35&gt;=55, 1.50, IF(BK35&gt;=50, 1.00, 0.00)))))))</f>
      </c>
      <c r="BM35" s="49">
        <f>IF(BK35&gt;=91,"A",IF(BK35&gt;=81,"B+",IF(BK35&gt;=70,"B",IF(BK35&gt;=65,"C+",IF(BK35&gt;=60,"C",IF(BK35&gt;=55,"D+",IF(BK35&gt;=50,"D","F")))))))</f>
      </c>
      <c r="BN35" s="40" t="str">
        <f>IF(BL35&gt;90,"A",IF(BL35&gt;80,"B+",IF(BL35&gt;69,"B",IF(BL35&gt;64,"C+",IF(BL35&gt;59,"C",IF(BL35&gt;54,"D+",IF(BL35&gt;49,"D",IF(BL35&gt;=0,"F"))))))))</f>
        <v>F</v>
      </c>
      <c r="BO35" s="49">
        <f>IF(BN35&gt;=91, 4.00, IF(BN35&gt;=81, 3.50, IF(BN35&gt;=70, 3.00, IF(BN35&gt;=65, 2.50, IF(BN35&gt;=60, 2.00, IF(BN35&gt;=55, 1.50, IF(BN35&gt;=50, 1.00, 0.00)))))))</f>
      </c>
      <c r="BP35" s="49">
        <f>IF(BN35&gt;=91,"A",IF(BN35&gt;=81,"B+",IF(BN35&gt;=70,"B",IF(BN35&gt;=65,"C+",IF(BN35&gt;=60,"C",IF(BN35&gt;=55,"D+",IF(BN35&gt;=50,"D","F")))))))</f>
      </c>
      <c r="BQ35" s="40" t="str">
        <f>IF(BO35&gt;90,"A",IF(BO35&gt;80,"B+",IF(BO35&gt;69,"B",IF(BO35&gt;64,"C+",IF(BO35&gt;59,"C",IF(BO35&gt;54,"D+",IF(BO35&gt;49,"D",IF(BO35&gt;=0,"F"))))))))</f>
        <v>F</v>
      </c>
      <c r="BR35" s="49">
        <f>IF(BQ35&gt;=91, 4.00, IF(BQ35&gt;=81, 3.50, IF(BQ35&gt;=70, 3.00, IF(BQ35&gt;=65, 2.50, IF(BQ35&gt;=60, 2.00, IF(BQ35&gt;=55, 1.50, IF(BQ35&gt;=50, 1.00, 0.00)))))))</f>
      </c>
      <c r="BS35" s="49">
        <f>IF(BQ35&gt;=91,"A",IF(BQ35&gt;=81,"B+",IF(BQ35&gt;=70,"B",IF(BQ35&gt;=65,"C+",IF(BQ35&gt;=60,"C",IF(BQ35&gt;=55,"D+",IF(BQ35&gt;=50,"D","F")))))))</f>
      </c>
      <c r="BT35" s="40" t="str">
        <f>IF(BR35&gt;90,"A",IF(BR35&gt;80,"B+",IF(BR35&gt;69,"B",IF(BR35&gt;64,"C+",IF(BR35&gt;59,"C",IF(BR35&gt;54,"D+",IF(BR35&gt;49,"D",IF(BR35&gt;=0,"F"))))))))</f>
        <v>F</v>
      </c>
      <c r="BU35" s="49">
        <f>IF(BT35&gt;=91, 4.00, IF(BT35&gt;=81, 3.50, IF(BT35&gt;=70, 3.00, IF(BT35&gt;=65, 2.50, IF(BT35&gt;=60, 2.00, IF(BT35&gt;=55, 1.50, IF(BT35&gt;=50, 1.00, 0.00)))))))</f>
      </c>
      <c r="BV35" s="49">
        <f>IF(BT35&gt;=91,"A",IF(BT35&gt;=81,"B+",IF(BT35&gt;=70,"B",IF(BT35&gt;=65,"C+",IF(BT35&gt;=60,"C",IF(BT35&gt;=55,"D+",IF(BT35&gt;=50,"D","F")))))))</f>
      </c>
      <c r="BW35" s="40">
        <f>ROUND((AT35*3+AW35*2+AZ35*1+BC35*1+BF35*1+BI35*2+BL35*2+BO35*1+BR35*2+BU35*3)/18, 2)</f>
      </c>
      <c r="BX35" s="49"/>
      <c r="BY35" s="49" t="str">
        <f>IF(BX35&gt;90,"4.00",IF(BX35&gt;80,"3.50",IF(BX35&gt;69,"3.00",IF(BX35&gt;64,"2.50",IF(BX35&gt;59,"2.00",IF(BX35&gt;54,"1.50",IF(BX35&gt;49,"1.00","0.00")))))))</f>
        <v>0.00</v>
      </c>
      <c r="BZ35" s="40" t="str">
        <f>IF(BX35&gt;90,"A",IF(BX35&gt;80,"B+",IF(BX35&gt;69,"B",IF(BX35&gt;64,"C+",IF(BX35&gt;59,"C",IF(BX35&gt;54,"D+",IF(BX35&gt;49,"D",IF(BX35&gt;=0,"F"))))))))</f>
        <v>F</v>
      </c>
      <c r="CA35" s="49"/>
      <c r="CB35" s="49" t="str">
        <f>IF(CA35&gt;90,"4.00",IF(CA35&gt;80,"3.50",IF(CA35&gt;69,"3.00",IF(CA35&gt;64,"2.50",IF(CA35&gt;59,"2.00",IF(CA35&gt;54,"1.50",IF(CA35&gt;49,"1.00","0.00")))))))</f>
        <v>0.00</v>
      </c>
      <c r="CC35" s="40" t="str">
        <f>IF(CA35&gt;90,"A",IF(CA35&gt;80,"B+",IF(CA35&gt;69,"B",IF(CA35&gt;64,"C+",IF(CA35&gt;59,"C",IF(CA35&gt;54,"D+",IF(CA35&gt;49,"D",IF(CA35&gt;=0,"F"))))))))</f>
        <v>F</v>
      </c>
      <c r="CD35" s="49"/>
      <c r="CE35" s="49" t="str">
        <f>IF(CD35&gt;90,"4.00",IF(CD35&gt;80,"3.50",IF(CD35&gt;69,"3.00",IF(CD35&gt;64,"2.50",IF(CD35&gt;59,"2.00",IF(CD35&gt;54,"1.50",IF(CD35&gt;49,"1.00","0.00")))))))</f>
        <v>0.00</v>
      </c>
      <c r="CF35" s="40" t="str">
        <f>IF(CD35&gt;90,"A",IF(CD35&gt;80,"B+",IF(CD35&gt;69,"B",IF(CD35&gt;64,"C+",IF(CD35&gt;59,"C",IF(CD35&gt;54,"D+",IF(CD35&gt;49,"D",IF(CD35&gt;=0,"F"))))))))</f>
        <v>F</v>
      </c>
      <c r="CG35" s="50">
        <f>(BD35*3+BG35*1+BJ35*1+BM35*2+BP35*1+BS35*2+BV35*2+BY35*1+CB35*2+CE35*2)/(3+1+1+2+1+2+2+1+2+2)</f>
        <v>0</v>
      </c>
      <c r="CH35" s="50">
        <f>(AR35+CG35)/2</f>
        <v>0</v>
      </c>
      <c r="CI35" s="51">
        <f>RANK(CH35,$CH$7:CH64)</f>
        <v>1</v>
      </c>
      <c r="CJ35" s="67"/>
      <c r="CK35" s="52"/>
      <c r="CL35" s="52"/>
      <c r="CM35" s="52"/>
    </row>
    <row r="36" ht="20" customHeight="1" spans="1:91" s="53" customFormat="1" x14ac:dyDescent="0.25">
      <c r="A36" s="40">
        <v>30</v>
      </c>
      <c r="B36" s="40" t="s">
        <v>141</v>
      </c>
      <c r="C36" s="40" t="s">
        <v>51</v>
      </c>
      <c r="D36" s="40" t="s">
        <v>218</v>
      </c>
      <c r="E36" s="40" t="s">
        <v>219</v>
      </c>
      <c r="F36" s="40" t="s">
        <v>315</v>
      </c>
      <c r="G36" s="40" t="s">
        <v>221</v>
      </c>
      <c r="H36" s="44"/>
      <c r="I36" s="112"/>
      <c r="J36" s="40">
        <v>1</v>
      </c>
      <c r="K36" s="42">
        <v>89</v>
      </c>
      <c r="L36" s="40">
        <f>IF(K36&gt;=91, 4.00, IF(K36&gt;=81, 3.50, IF(K36&gt;=70, 3.00, IF(K36&gt;=65, 2.50, IF(K36&gt;=60, 2.00, IF(K36&gt;=55, 1.50, IF(K36&gt;=50, 1.00, 0.00)))))))</f>
      </c>
      <c r="M36" s="40">
        <f>IF(K36&gt;=91,"A",IF(K36&gt;=81,"B+",IF(K36&gt;=70,"B",IF(K36&gt;=65,"C+",IF(K36&gt;=60,"C",IF(K36&gt;=55,"D+",IF(K36&gt;=50,"D","F")))))))</f>
      </c>
      <c r="N36" s="42">
        <v>92</v>
      </c>
      <c r="O36" s="40">
        <f>IF(N36&gt;=91, 4.00, IF(N36&gt;=81, 3.50, IF(N36&gt;=70, 3.00, IF(N36&gt;=65, 2.50, IF(N36&gt;=60, 2.00, IF(N36&gt;=55, 1.50, IF(N36&gt;=50, 1.00, 0.00)))))))</f>
      </c>
      <c r="P36" s="40">
        <f>IF(N36&gt;=91,"A",IF(N36&gt;=81,"B+",IF(N36&gt;=70,"B",IF(N36&gt;=65,"C+",IF(N36&gt;=60,"C",IF(N36&gt;=55,"D+",IF(N36&gt;=50,"D","F")))))))</f>
      </c>
      <c r="Q36" s="42">
        <v>95</v>
      </c>
      <c r="R36" s="40">
        <f>IF(Q36&gt;=91, 4.00, IF(Q36&gt;=81, 3.50, IF(Q36&gt;=70, 3.00, IF(Q36&gt;=65, 2.50, IF(Q36&gt;=60, 2.00, IF(Q36&gt;=55, 1.50, IF(Q36&gt;=50, 1.00, 0.00)))))))</f>
      </c>
      <c r="S36" s="40">
        <f>IF(Q36&gt;=91,"A",IF(Q36&gt;=81,"B+",IF(Q36&gt;=70,"B",IF(Q36&gt;=65,"C+",IF(Q36&gt;=60,"C",IF(Q36&gt;=55,"D+",IF(Q36&gt;=50,"D","F")))))))</f>
      </c>
      <c r="T36" s="40">
        <v>77</v>
      </c>
      <c r="U36" s="40">
        <f>IF(T36&gt;=91, 4.00, IF(T36&gt;=81, 3.50, IF(T36&gt;=70, 3.00, IF(T36&gt;=65, 2.50, IF(T36&gt;=60, 2.00, IF(T36&gt;=55, 1.50, IF(T36&gt;=50, 1.00, 0.00)))))))</f>
      </c>
      <c r="V36" s="40">
        <f>IF(T36&gt;=91,"A",IF(T36&gt;=81,"B+",IF(T36&gt;=70,"B",IF(T36&gt;=65,"C+",IF(T36&gt;=60,"C",IF(T36&gt;=55,"D+",IF(T36&gt;=50,"D","F")))))))</f>
      </c>
      <c r="W36" s="42">
        <v>80</v>
      </c>
      <c r="X36" s="40">
        <f>IF(W36&gt;=91, 4.00, IF(W36&gt;=81, 3.50, IF(W36&gt;=70, 3.00, IF(W36&gt;=65, 2.50, IF(W36&gt;=60, 2.00, IF(W36&gt;=55, 1.50, IF(W36&gt;=50, 1.00, 0.00)))))))</f>
      </c>
      <c r="Y36" s="40">
        <f>IF(W36&gt;=91,"A",IF(W36&gt;=81,"B+",IF(W36&gt;=70,"B",IF(W36&gt;=65,"C+",IF(W36&gt;=60,"C",IF(W36&gt;=55,"D+",IF(W36&gt;=50,"D","F")))))))</f>
      </c>
      <c r="Z36" s="40">
        <v>83</v>
      </c>
      <c r="AA36" s="40">
        <f>IF(Z36&gt;=91, 4.00, IF(Z36&gt;=81, 3.50, IF(Z36&gt;=70, 3.00, IF(Z36&gt;=65, 2.50, IF(Z36&gt;=60, 2.00, IF(Z36&gt;=55, 1.50, IF(Z36&gt;=50, 1.00, 0.00)))))))</f>
      </c>
      <c r="AB36" s="40">
        <f>IF(Z36&gt;=91,"A",IF(Z36&gt;=81,"B+",IF(Z36&gt;=70,"B",IF(Z36&gt;=65,"C+",IF(Z36&gt;=60,"C",IF(Z36&gt;=55,"D+",IF(Z36&gt;=50,"D","F")))))))</f>
      </c>
      <c r="AC36" s="40">
        <v>86</v>
      </c>
      <c r="AD36" s="40">
        <f>IF(AC36&gt;=91, 4.00, IF(AC36&gt;=81, 3.50, IF(AC36&gt;=70, 3.00, IF(AC36&gt;=65, 2.50, IF(AC36&gt;=60, 2.00, IF(AC36&gt;=55, 1.50, IF(AC36&gt;=50, 1.00, 0.00)))))))</f>
      </c>
      <c r="AE36" s="40">
        <f>IF(AC36&gt;=91,"A",IF(AC36&gt;=81,"B+",IF(AC36&gt;=70,"B",IF(AC36&gt;=65,"C+",IF(AC36&gt;=60,"C",IF(AC36&gt;=55,"D+",IF(AC36&gt;=50,"D","F")))))))</f>
      </c>
      <c r="AF36" s="40">
        <v>89</v>
      </c>
      <c r="AG36" s="40">
        <f>IF(AF36&gt;=91, 4.00, IF(AF36&gt;=81, 3.50, IF(AF36&gt;=70, 3.00, IF(AF36&gt;=65, 2.50, IF(AF36&gt;=60, 2.00, IF(AF36&gt;=55, 1.50, IF(AF36&gt;=50, 1.00, 0.00)))))))</f>
      </c>
      <c r="AH36" s="40">
        <f>IF(AF36&gt;=91,"A",IF(AF36&gt;=81,"B+",IF(AF36&gt;=70,"B",IF(AF36&gt;=65,"C+",IF(AF36&gt;=60,"C",IF(AF36&gt;=55,"D+",IF(AF36&gt;=50,"D","F")))))))</f>
      </c>
      <c r="AI36" s="40">
        <v>92</v>
      </c>
      <c r="AJ36" s="40">
        <f>IF(AI36&gt;=91, 4.00, IF(AI36&gt;=81, 3.50, IF(AI36&gt;=70, 3.00, IF(AI36&gt;=65, 2.50, IF(AI36&gt;=60, 2.00, IF(AI36&gt;=55, 1.50, IF(AI36&gt;=50, 1.00, 0.00)))))))</f>
      </c>
      <c r="AK36" s="40">
        <f>IF(AI36&gt;=91,"A",IF(AI36&gt;=81,"B+",IF(AI36&gt;=70,"B",IF(AI36&gt;=65,"C+",IF(AI36&gt;=60,"C",IF(AI36&gt;=55,"D+",IF(AI36&gt;=50,"D","F")))))))</f>
      </c>
      <c r="AL36" s="40">
        <v>95</v>
      </c>
      <c r="AM36" s="40">
        <f>IF(AL36&gt;=91, 4.00, IF(AL36&gt;=81, 3.50, IF(AL36&gt;=70, 3.00, IF(AL36&gt;=65, 2.50, IF(AL36&gt;=60, 2.00, IF(AL36&gt;=55, 1.50, IF(AL36&gt;=50, 1.00, 0.00)))))))</f>
      </c>
      <c r="AN36" s="40">
        <f>IF(AL36&gt;=91,"A",IF(AL36&gt;=81,"B+",IF(AL36&gt;=70,"B",IF(AL36&gt;=65,"C+",IF(AL36&gt;=60,"C",IF(AL36&gt;=55,"D+",IF(AL36&gt;=50,"D","F")))))))</f>
      </c>
      <c r="AO36" s="40">
        <v>77</v>
      </c>
      <c r="AP36" s="40">
        <f>IF(AO36&gt;=91, 4.00, IF(AO36&gt;=81, 3.50, IF(AO36&gt;=70, 3.00, IF(AO36&gt;=65, 2.50, IF(AO36&gt;=60, 2.00, IF(AO36&gt;=55, 1.50, IF(AO36&gt;=50, 1.00, 0.00)))))))</f>
      </c>
      <c r="AQ36" s="40">
        <f>IF(AO36&gt;=91,"A",IF(AO36&gt;=81,"B+",IF(AO36&gt;=70,"B",IF(AO36&gt;=65,"C+",IF(AO36&gt;=60,"C",IF(AO36&gt;=55,"D+",IF(AO36&gt;=50,"D","F")))))))</f>
      </c>
      <c r="AR36" s="40">
        <f>ROUND((L36*3+O36*2+R36*1+U36*1+X36*1+AA36*2+AD36*2+AG36*2+AJ36*1+AM36*2+AP36*2)/19, 2)</f>
      </c>
      <c r="AS36" s="52">
        <v>81</v>
      </c>
      <c r="AT36" s="40">
        <f>IF(AS36&gt;=91, 4.00, IF(AS36&gt;=81, 3.50, IF(AS36&gt;=70, 3.00, IF(AS36&gt;=65, 2.50, IF(AS36&gt;=60, 2.00, IF(AS36&gt;=55, 1.50, IF(AS36&gt;=50, 1.00, 0.00)))))))</f>
      </c>
      <c r="AU36" s="40">
        <f>IF(AS36&gt;=91,"A",IF(AS36&gt;=81,"B+",IF(AS36&gt;=70,"B",IF(AS36&gt;=65,"C+",IF(AS36&gt;=60,"C",IF(AS36&gt;=55,"D+",IF(AS36&gt;=50,"D","F")))))))</f>
      </c>
      <c r="AV36" s="40" t="s">
        <v>51</v>
      </c>
      <c r="AW36" s="40">
        <f>IF(AV36&gt;=91, 4.00, IF(AV36&gt;=81, 3.50, IF(AV36&gt;=70, 3.00, IF(AV36&gt;=65, 2.50, IF(AV36&gt;=60, 2.00, IF(AV36&gt;=55, 1.50, IF(AV36&gt;=50, 1.00, 0.00)))))))</f>
      </c>
      <c r="AX36" s="40">
        <f>IF(AV36&gt;=91,"A",IF(AV36&gt;=81,"B+",IF(AV36&gt;=70,"B",IF(AV36&gt;=65,"C+",IF(AV36&gt;=60,"C",IF(AV36&gt;=55,"D+",IF(AV36&gt;=50,"D","F")))))))</f>
      </c>
      <c r="AY36" s="40" t="s">
        <v>315</v>
      </c>
      <c r="AZ36" s="40">
        <f>IF(AY36&gt;=91, 4.00, IF(AY36&gt;=81, 3.50, IF(AY36&gt;=70, 3.00, IF(AY36&gt;=65, 2.50, IF(AY36&gt;=60, 2.00, IF(AY36&gt;=55, 1.50, IF(AY36&gt;=50, 1.00, 0.00)))))))</f>
      </c>
      <c r="BA36" s="44">
        <f>IF(AY36&gt;=91,"A",IF(AY36&gt;=81,"B+",IF(AY36&gt;=70,"B",IF(AY36&gt;=65,"C+",IF(AY36&gt;=60,"C",IF(AY36&gt;=55,"D+",IF(AY36&gt;=50,"D","F")))))))</f>
      </c>
      <c r="BB36" s="112">
        <v>90</v>
      </c>
      <c r="BC36" s="49">
        <f>IF(BB36&gt;=91, 4.00, IF(BB36&gt;=81, 3.50, IF(BB36&gt;=70, 3.00, IF(BB36&gt;=65, 2.50, IF(BB36&gt;=60, 2.00, IF(BB36&gt;=55, 1.50, IF(BB36&gt;=50, 1.00, 0.00)))))))</f>
      </c>
      <c r="BD36" s="49">
        <f>IF(BB36&gt;=91,"A",IF(BB36&gt;=81,"B+",IF(BB36&gt;=70,"B",IF(BB36&gt;=65,"C+",IF(BB36&gt;=60,"C",IF(BB36&gt;=55,"D+",IF(BB36&gt;=50,"D","F")))))))</f>
      </c>
      <c r="BE36" s="40" t="str">
        <f>IF(BC36&gt;90,"A",IF(BC36&gt;80,"B+",IF(BC36&gt;69,"B",IF(BC36&gt;64,"C+",IF(BC36&gt;59,"C",IF(BC36&gt;54,"D+",IF(BC36&gt;49,"D",IF(BC36&gt;=0,"F"))))))))</f>
        <v>F</v>
      </c>
      <c r="BF36" s="49">
        <f>IF(BE36&gt;=91, 4.00, IF(BE36&gt;=81, 3.50, IF(BE36&gt;=70, 3.00, IF(BE36&gt;=65, 2.50, IF(BE36&gt;=60, 2.00, IF(BE36&gt;=55, 1.50, IF(BE36&gt;=50, 1.00, 0.00)))))))</f>
      </c>
      <c r="BG36" s="49">
        <f>IF(BE36&gt;=91,"A",IF(BE36&gt;=81,"B+",IF(BE36&gt;=70,"B",IF(BE36&gt;=65,"C+",IF(BE36&gt;=60,"C",IF(BE36&gt;=55,"D+",IF(BE36&gt;=50,"D","F")))))))</f>
      </c>
      <c r="BH36" s="40" t="str">
        <f>IF(BF36&gt;90,"A",IF(BF36&gt;80,"B+",IF(BF36&gt;69,"B",IF(BF36&gt;64,"C+",IF(BF36&gt;59,"C",IF(BF36&gt;54,"D+",IF(BF36&gt;49,"D",IF(BF36&gt;=0,"F"))))))))</f>
        <v>F</v>
      </c>
      <c r="BI36" s="49">
        <f>IF(BH36&gt;=91, 4.00, IF(BH36&gt;=81, 3.50, IF(BH36&gt;=70, 3.00, IF(BH36&gt;=65, 2.50, IF(BH36&gt;=60, 2.00, IF(BH36&gt;=55, 1.50, IF(BH36&gt;=50, 1.00, 0.00)))))))</f>
      </c>
      <c r="BJ36" s="49">
        <f>IF(BH36&gt;=91,"A",IF(BH36&gt;=81,"B+",IF(BH36&gt;=70,"B",IF(BH36&gt;=65,"C+",IF(BH36&gt;=60,"C",IF(BH36&gt;=55,"D+",IF(BH36&gt;=50,"D","F")))))))</f>
      </c>
      <c r="BK36" s="40" t="str">
        <f>IF(BI36&gt;90,"A",IF(BI36&gt;80,"B+",IF(BI36&gt;69,"B",IF(BI36&gt;64,"C+",IF(BI36&gt;59,"C",IF(BI36&gt;54,"D+",IF(BI36&gt;49,"D",IF(BI36&gt;=0,"F"))))))))</f>
        <v>F</v>
      </c>
      <c r="BL36" s="49">
        <f>IF(BK36&gt;=91, 4.00, IF(BK36&gt;=81, 3.50, IF(BK36&gt;=70, 3.00, IF(BK36&gt;=65, 2.50, IF(BK36&gt;=60, 2.00, IF(BK36&gt;=55, 1.50, IF(BK36&gt;=50, 1.00, 0.00)))))))</f>
      </c>
      <c r="BM36" s="49">
        <f>IF(BK36&gt;=91,"A",IF(BK36&gt;=81,"B+",IF(BK36&gt;=70,"B",IF(BK36&gt;=65,"C+",IF(BK36&gt;=60,"C",IF(BK36&gt;=55,"D+",IF(BK36&gt;=50,"D","F")))))))</f>
      </c>
      <c r="BN36" s="40" t="str">
        <f>IF(BL36&gt;90,"A",IF(BL36&gt;80,"B+",IF(BL36&gt;69,"B",IF(BL36&gt;64,"C+",IF(BL36&gt;59,"C",IF(BL36&gt;54,"D+",IF(BL36&gt;49,"D",IF(BL36&gt;=0,"F"))))))))</f>
        <v>F</v>
      </c>
      <c r="BO36" s="49">
        <f>IF(BN36&gt;=91, 4.00, IF(BN36&gt;=81, 3.50, IF(BN36&gt;=70, 3.00, IF(BN36&gt;=65, 2.50, IF(BN36&gt;=60, 2.00, IF(BN36&gt;=55, 1.50, IF(BN36&gt;=50, 1.00, 0.00)))))))</f>
      </c>
      <c r="BP36" s="49">
        <f>IF(BN36&gt;=91,"A",IF(BN36&gt;=81,"B+",IF(BN36&gt;=70,"B",IF(BN36&gt;=65,"C+",IF(BN36&gt;=60,"C",IF(BN36&gt;=55,"D+",IF(BN36&gt;=50,"D","F")))))))</f>
      </c>
      <c r="BQ36" s="40" t="str">
        <f>IF(BO36&gt;90,"A",IF(BO36&gt;80,"B+",IF(BO36&gt;69,"B",IF(BO36&gt;64,"C+",IF(BO36&gt;59,"C",IF(BO36&gt;54,"D+",IF(BO36&gt;49,"D",IF(BO36&gt;=0,"F"))))))))</f>
        <v>F</v>
      </c>
      <c r="BR36" s="49">
        <f>IF(BQ36&gt;=91, 4.00, IF(BQ36&gt;=81, 3.50, IF(BQ36&gt;=70, 3.00, IF(BQ36&gt;=65, 2.50, IF(BQ36&gt;=60, 2.00, IF(BQ36&gt;=55, 1.50, IF(BQ36&gt;=50, 1.00, 0.00)))))))</f>
      </c>
      <c r="BS36" s="49">
        <f>IF(BQ36&gt;=91,"A",IF(BQ36&gt;=81,"B+",IF(BQ36&gt;=70,"B",IF(BQ36&gt;=65,"C+",IF(BQ36&gt;=60,"C",IF(BQ36&gt;=55,"D+",IF(BQ36&gt;=50,"D","F")))))))</f>
      </c>
      <c r="BT36" s="40" t="str">
        <f>IF(BR36&gt;90,"A",IF(BR36&gt;80,"B+",IF(BR36&gt;69,"B",IF(BR36&gt;64,"C+",IF(BR36&gt;59,"C",IF(BR36&gt;54,"D+",IF(BR36&gt;49,"D",IF(BR36&gt;=0,"F"))))))))</f>
        <v>F</v>
      </c>
      <c r="BU36" s="49">
        <f>IF(BT36&gt;=91, 4.00, IF(BT36&gt;=81, 3.50, IF(BT36&gt;=70, 3.00, IF(BT36&gt;=65, 2.50, IF(BT36&gt;=60, 2.00, IF(BT36&gt;=55, 1.50, IF(BT36&gt;=50, 1.00, 0.00)))))))</f>
      </c>
      <c r="BV36" s="49">
        <f>IF(BT36&gt;=91,"A",IF(BT36&gt;=81,"B+",IF(BT36&gt;=70,"B",IF(BT36&gt;=65,"C+",IF(BT36&gt;=60,"C",IF(BT36&gt;=55,"D+",IF(BT36&gt;=50,"D","F")))))))</f>
      </c>
      <c r="BW36" s="40">
        <f>ROUND((AT36*3+AW36*2+AZ36*1+BC36*1+BF36*1+BI36*2+BL36*2+BO36*1+BR36*2+BU36*3)/18, 2)</f>
      </c>
      <c r="BX36" s="49"/>
      <c r="BY36" s="49" t="str">
        <f>IF(BX36&gt;90,"4.00",IF(BX36&gt;80,"3.50",IF(BX36&gt;69,"3.00",IF(BX36&gt;64,"2.50",IF(BX36&gt;59,"2.00",IF(BX36&gt;54,"1.50",IF(BX36&gt;49,"1.00","0.00")))))))</f>
        <v>0.00</v>
      </c>
      <c r="BZ36" s="40" t="str">
        <f>IF(BX36&gt;90,"A",IF(BX36&gt;80,"B+",IF(BX36&gt;69,"B",IF(BX36&gt;64,"C+",IF(BX36&gt;59,"C",IF(BX36&gt;54,"D+",IF(BX36&gt;49,"D",IF(BX36&gt;=0,"F"))))))))</f>
        <v>F</v>
      </c>
      <c r="CA36" s="49"/>
      <c r="CB36" s="49" t="str">
        <f>IF(CA36&gt;90,"4.00",IF(CA36&gt;80,"3.50",IF(CA36&gt;69,"3.00",IF(CA36&gt;64,"2.50",IF(CA36&gt;59,"2.00",IF(CA36&gt;54,"1.50",IF(CA36&gt;49,"1.00","0.00")))))))</f>
        <v>0.00</v>
      </c>
      <c r="CC36" s="40" t="str">
        <f>IF(CA36&gt;90,"A",IF(CA36&gt;80,"B+",IF(CA36&gt;69,"B",IF(CA36&gt;64,"C+",IF(CA36&gt;59,"C",IF(CA36&gt;54,"D+",IF(CA36&gt;49,"D",IF(CA36&gt;=0,"F"))))))))</f>
        <v>F</v>
      </c>
      <c r="CD36" s="49"/>
      <c r="CE36" s="49" t="str">
        <f>IF(CD36&gt;90,"4.00",IF(CD36&gt;80,"3.50",IF(CD36&gt;69,"3.00",IF(CD36&gt;64,"2.50",IF(CD36&gt;59,"2.00",IF(CD36&gt;54,"1.50",IF(CD36&gt;49,"1.00","0.00")))))))</f>
        <v>0.00</v>
      </c>
      <c r="CF36" s="40" t="str">
        <f>IF(CD36&gt;90,"A",IF(CD36&gt;80,"B+",IF(CD36&gt;69,"B",IF(CD36&gt;64,"C+",IF(CD36&gt;59,"C",IF(CD36&gt;54,"D+",IF(CD36&gt;49,"D",IF(CD36&gt;=0,"F"))))))))</f>
        <v>F</v>
      </c>
      <c r="CG36" s="50">
        <f>(BD36*3+BG36*1+BJ36*1+BM36*2+BP36*1+BS36*2+BV36*2+BY36*1+CB36*2+CE36*2)/(3+1+1+2+1+2+2+1+2+2)</f>
        <v>0</v>
      </c>
      <c r="CH36" s="50">
        <f>(AR36+CG36)/2</f>
        <v>0</v>
      </c>
      <c r="CI36" s="51">
        <f>RANK(CH36,$CH$7:CH65)</f>
        <v>1</v>
      </c>
      <c r="CJ36" s="67"/>
      <c r="CK36" s="52"/>
      <c r="CL36" s="52"/>
      <c r="CM36" s="52"/>
    </row>
    <row r="37" ht="20" customHeight="1" spans="1:75" x14ac:dyDescent="0.25">
      <c r="A37" s="1">
        <v>31</v>
      </c>
      <c r="B37" s="2" t="s">
        <v>146</v>
      </c>
      <c r="C37" s="2" t="s">
        <v>222</v>
      </c>
      <c r="J37" s="1"/>
      <c r="K37" s="77">
        <v>92</v>
      </c>
      <c r="L37" s="78">
        <f>IF(K37&gt;=91, 4.00, IF(K37&gt;=81, 3.50, IF(K37&gt;=70, 3.00, IF(K37&gt;=65, 2.50, IF(K37&gt;=60, 2.00, IF(K37&gt;=55, 1.50, IF(K37&gt;=50, 1.00, 0.00)))))))</f>
      </c>
      <c r="M37" s="79">
        <f>IF(K37&gt;=91,"A",IF(K37&gt;=81,"B+",IF(K37&gt;=70,"B",IF(K37&gt;=65,"C+",IF(K37&gt;=60,"C",IF(K37&gt;=55,"D+",IF(K37&gt;=50,"D","F")))))))</f>
      </c>
      <c r="N37" s="77">
        <v>95</v>
      </c>
      <c r="O37" s="78">
        <f>IF(N37&gt;=91, 4.00, IF(N37&gt;=81, 3.50, IF(N37&gt;=70, 3.00, IF(N37&gt;=65, 2.50, IF(N37&gt;=60, 2.00, IF(N37&gt;=55, 1.50, IF(N37&gt;=50, 1.00, 0.00)))))))</f>
      </c>
      <c r="P37" s="79">
        <f>IF(N37&gt;=91,"A",IF(N37&gt;=81,"B+",IF(N37&gt;=70,"B",IF(N37&gt;=65,"C+",IF(N37&gt;=60,"C",IF(N37&gt;=55,"D+",IF(N37&gt;=50,"D","F")))))))</f>
      </c>
      <c r="Q37" s="77">
        <v>77</v>
      </c>
      <c r="R37" s="78">
        <f>IF(Q37&gt;=91, 4.00, IF(Q37&gt;=81, 3.50, IF(Q37&gt;=70, 3.00, IF(Q37&gt;=65, 2.50, IF(Q37&gt;=60, 2.00, IF(Q37&gt;=55, 1.50, IF(Q37&gt;=50, 1.00, 0.00)))))))</f>
      </c>
      <c r="S37" s="79">
        <f>IF(Q37&gt;=91,"A",IF(Q37&gt;=81,"B+",IF(Q37&gt;=70,"B",IF(Q37&gt;=65,"C+",IF(Q37&gt;=60,"C",IF(Q37&gt;=55,"D+",IF(Q37&gt;=50,"D","F")))))))</f>
      </c>
      <c r="T37" s="77">
        <v>80</v>
      </c>
      <c r="U37" s="78">
        <f>IF(T37&gt;=91, 4.00, IF(T37&gt;=81, 3.50, IF(T37&gt;=70, 3.00, IF(T37&gt;=65, 2.50, IF(T37&gt;=60, 2.00, IF(T37&gt;=55, 1.50, IF(T37&gt;=50, 1.00, 0.00)))))))</f>
      </c>
      <c r="V37" s="79">
        <f>IF(T37&gt;=91,"A",IF(T37&gt;=81,"B+",IF(T37&gt;=70,"B",IF(T37&gt;=65,"C+",IF(T37&gt;=60,"C",IF(T37&gt;=55,"D+",IF(T37&gt;=50,"D","F")))))))</f>
      </c>
      <c r="W37" s="77">
        <v>83</v>
      </c>
      <c r="X37" s="78">
        <f>IF(W37&gt;=91, 4.00, IF(W37&gt;=81, 3.50, IF(W37&gt;=70, 3.00, IF(W37&gt;=65, 2.50, IF(W37&gt;=60, 2.00, IF(W37&gt;=55, 1.50, IF(W37&gt;=50, 1.00, 0.00)))))))</f>
      </c>
      <c r="Y37" s="79">
        <f>IF(W37&gt;=91,"A",IF(W37&gt;=81,"B+",IF(W37&gt;=70,"B",IF(W37&gt;=65,"C+",IF(W37&gt;=60,"C",IF(W37&gt;=55,"D+",IF(W37&gt;=50,"D","F")))))))</f>
      </c>
      <c r="Z37" s="77">
        <v>86</v>
      </c>
      <c r="AA37" s="78">
        <f>IF(Z37&gt;=91, 4.00, IF(Z37&gt;=81, 3.50, IF(Z37&gt;=70, 3.00, IF(Z37&gt;=65, 2.50, IF(Z37&gt;=60, 2.00, IF(Z37&gt;=55, 1.50, IF(Z37&gt;=50, 1.00, 0.00)))))))</f>
      </c>
      <c r="AB37" s="79">
        <f>IF(Z37&gt;=91,"A",IF(Z37&gt;=81,"B+",IF(Z37&gt;=70,"B",IF(Z37&gt;=65,"C+",IF(Z37&gt;=60,"C",IF(Z37&gt;=55,"D+",IF(Z37&gt;=50,"D","F")))))))</f>
      </c>
      <c r="AC37" s="77">
        <v>89</v>
      </c>
      <c r="AD37" s="78">
        <f>IF(AC37&gt;=91, 4.00, IF(AC37&gt;=81, 3.50, IF(AC37&gt;=70, 3.00, IF(AC37&gt;=65, 2.50, IF(AC37&gt;=60, 2.00, IF(AC37&gt;=55, 1.50, IF(AC37&gt;=50, 1.00, 0.00)))))))</f>
      </c>
      <c r="AE37" s="79">
        <f>IF(AC37&gt;=91,"A",IF(AC37&gt;=81,"B+",IF(AC37&gt;=70,"B",IF(AC37&gt;=65,"C+",IF(AC37&gt;=60,"C",IF(AC37&gt;=55,"D+",IF(AC37&gt;=50,"D","F")))))))</f>
      </c>
      <c r="AF37" s="77">
        <v>92</v>
      </c>
      <c r="AG37" s="78">
        <f>IF(AF37&gt;=91, 4.00, IF(AF37&gt;=81, 3.50, IF(AF37&gt;=70, 3.00, IF(AF37&gt;=65, 2.50, IF(AF37&gt;=60, 2.00, IF(AF37&gt;=55, 1.50, IF(AF37&gt;=50, 1.00, 0.00)))))))</f>
      </c>
      <c r="AH37" s="79">
        <f>IF(AF37&gt;=91,"A",IF(AF37&gt;=81,"B+",IF(AF37&gt;=70,"B",IF(AF37&gt;=65,"C+",IF(AF37&gt;=60,"C",IF(AF37&gt;=55,"D+",IF(AF37&gt;=50,"D","F")))))))</f>
      </c>
      <c r="AI37" s="77">
        <v>95</v>
      </c>
      <c r="AJ37" s="78">
        <f>IF(AI37&gt;=91, 4.00, IF(AI37&gt;=81, 3.50, IF(AI37&gt;=70, 3.00, IF(AI37&gt;=65, 2.50, IF(AI37&gt;=60, 2.00, IF(AI37&gt;=55, 1.50, IF(AI37&gt;=50, 1.00, 0.00)))))))</f>
      </c>
      <c r="AK37" s="79">
        <f>IF(AI37&gt;=91,"A",IF(AI37&gt;=81,"B+",IF(AI37&gt;=70,"B",IF(AI37&gt;=65,"C+",IF(AI37&gt;=60,"C",IF(AI37&gt;=55,"D+",IF(AI37&gt;=50,"D","F")))))))</f>
      </c>
      <c r="AL37" s="77">
        <v>77</v>
      </c>
      <c r="AM37" s="78">
        <f>IF(AL37&gt;=91, 4.00, IF(AL37&gt;=81, 3.50, IF(AL37&gt;=70, 3.00, IF(AL37&gt;=65, 2.50, IF(AL37&gt;=60, 2.00, IF(AL37&gt;=55, 1.50, IF(AL37&gt;=50, 1.00, 0.00)))))))</f>
      </c>
      <c r="AN37" s="79">
        <f>IF(AL37&gt;=91,"A",IF(AL37&gt;=81,"B+",IF(AL37&gt;=70,"B",IF(AL37&gt;=65,"C+",IF(AL37&gt;=60,"C",IF(AL37&gt;=55,"D+",IF(AL37&gt;=50,"D","F")))))))</f>
      </c>
      <c r="AO37" s="77">
        <v>80</v>
      </c>
      <c r="AP37" s="78">
        <f>IF(AO37&gt;=91, 4.00, IF(AO37&gt;=81, 3.50, IF(AO37&gt;=70, 3.00, IF(AO37&gt;=65, 2.50, IF(AO37&gt;=60, 2.00, IF(AO37&gt;=55, 1.50, IF(AO37&gt;=50, 1.00, 0.00)))))))</f>
      </c>
      <c r="AQ37" s="79">
        <f>IF(AO37&gt;=91,"A",IF(AO37&gt;=81,"B+",IF(AO37&gt;=70,"B",IF(AO37&gt;=65,"C+",IF(AO37&gt;=60,"C",IF(AO37&gt;=55,"D+",IF(AO37&gt;=50,"D","F")))))))</f>
      </c>
      <c r="AR37" s="80">
        <f>ROUND((L37*3+O37*2+R37*1+U37*1+X37*1+AA37*2+AD37*2+AG37*2+AJ37*1+AM37*2+AP37*2)/19, 2)</f>
      </c>
      <c r="AS37" s="81">
        <v>84</v>
      </c>
      <c r="AT37" s="82">
        <f>IF(AS37&gt;=91, 4.00, IF(AS37&gt;=81, 3.50, IF(AS37&gt;=70, 3.00, IF(AS37&gt;=65, 2.50, IF(AS37&gt;=60, 2.00, IF(AS37&gt;=55, 1.50, IF(AS37&gt;=50, 1.00, 0.00)))))))</f>
      </c>
      <c r="AU37" s="83">
        <f>IF(AS37&gt;=91,"A",IF(AS37&gt;=81,"B+",IF(AS37&gt;=70,"B",IF(AS37&gt;=65,"C+",IF(AS37&gt;=60,"C",IF(AS37&gt;=55,"D+",IF(AS37&gt;=50,"D","F")))))))</f>
      </c>
      <c r="AV37" s="81">
        <v>87</v>
      </c>
      <c r="AW37" s="82">
        <f>IF(AV37&gt;=91, 4.00, IF(AV37&gt;=81, 3.50, IF(AV37&gt;=70, 3.00, IF(AV37&gt;=65, 2.50, IF(AV37&gt;=60, 2.00, IF(AV37&gt;=55, 1.50, IF(AV37&gt;=50, 1.00, 0.00)))))))</f>
      </c>
      <c r="AX37" s="83">
        <f>IF(AV37&gt;=91,"A",IF(AV37&gt;=81,"B+",IF(AV37&gt;=70,"B",IF(AV37&gt;=65,"C+",IF(AV37&gt;=60,"C",IF(AV37&gt;=55,"D+",IF(AV37&gt;=50,"D","F")))))))</f>
      </c>
      <c r="AY37" s="81">
        <v>90</v>
      </c>
      <c r="AZ37" s="82">
        <f>IF(AY37&gt;=91, 4.00, IF(AY37&gt;=81, 3.50, IF(AY37&gt;=70, 3.00, IF(AY37&gt;=65, 2.50, IF(AY37&gt;=60, 2.00, IF(AY37&gt;=55, 1.50, IF(AY37&gt;=50, 1.00, 0.00)))))))</f>
      </c>
      <c r="BA37" s="83">
        <f>IF(AY37&gt;=91,"A",IF(AY37&gt;=81,"B+",IF(AY37&gt;=70,"B",IF(AY37&gt;=65,"C+",IF(AY37&gt;=60,"C",IF(AY37&gt;=55,"D+",IF(AY37&gt;=50,"D","F")))))))</f>
      </c>
      <c r="BB37" s="81">
        <v>93</v>
      </c>
      <c r="BC37" s="78">
        <f>IF(BB37&gt;=91, 4.00, IF(BB37&gt;=81, 3.50, IF(BB37&gt;=70, 3.00, IF(BB37&gt;=65, 2.50, IF(BB37&gt;=60, 2.00, IF(BB37&gt;=55, 1.50, IF(BB37&gt;=50, 1.00, 0.00)))))))</f>
      </c>
      <c r="BD37" s="79">
        <f>IF(BB37&gt;=91,"A",IF(BB37&gt;=81,"B+",IF(BB37&gt;=70,"B",IF(BB37&gt;=65,"C+",IF(BB37&gt;=60,"C",IF(BB37&gt;=55,"D+",IF(BB37&gt;=50,"D","F")))))))</f>
      </c>
      <c r="BE37" s="77">
        <v>75</v>
      </c>
      <c r="BF37" s="78">
        <f>IF(BE37&gt;=91, 4.00, IF(BE37&gt;=81, 3.50, IF(BE37&gt;=70, 3.00, IF(BE37&gt;=65, 2.50, IF(BE37&gt;=60, 2.00, IF(BE37&gt;=55, 1.50, IF(BE37&gt;=50, 1.00, 0.00)))))))</f>
      </c>
      <c r="BG37" s="79">
        <f>IF(BE37&gt;=91,"A",IF(BE37&gt;=81,"B+",IF(BE37&gt;=70,"B",IF(BE37&gt;=65,"C+",IF(BE37&gt;=60,"C",IF(BE37&gt;=55,"D+",IF(BE37&gt;=50,"D","F")))))))</f>
      </c>
      <c r="BH37" s="77">
        <v>78</v>
      </c>
      <c r="BI37" s="78">
        <f>IF(BH37&gt;=91, 4.00, IF(BH37&gt;=81, 3.50, IF(BH37&gt;=70, 3.00, IF(BH37&gt;=65, 2.50, IF(BH37&gt;=60, 2.00, IF(BH37&gt;=55, 1.50, IF(BH37&gt;=50, 1.00, 0.00)))))))</f>
      </c>
      <c r="BJ37" s="79">
        <f>IF(BH37&gt;=91,"A",IF(BH37&gt;=81,"B+",IF(BH37&gt;=70,"B",IF(BH37&gt;=65,"C+",IF(BH37&gt;=60,"C",IF(BH37&gt;=55,"D+",IF(BH37&gt;=50,"D","F")))))))</f>
      </c>
      <c r="BK37" s="77">
        <v>81</v>
      </c>
      <c r="BL37" s="78">
        <f>IF(BK37&gt;=91, 4.00, IF(BK37&gt;=81, 3.50, IF(BK37&gt;=70, 3.00, IF(BK37&gt;=65, 2.50, IF(BK37&gt;=60, 2.00, IF(BK37&gt;=55, 1.50, IF(BK37&gt;=50, 1.00, 0.00)))))))</f>
      </c>
      <c r="BM37" s="79">
        <f>IF(BK37&gt;=91,"A",IF(BK37&gt;=81,"B+",IF(BK37&gt;=70,"B",IF(BK37&gt;=65,"C+",IF(BK37&gt;=60,"C",IF(BK37&gt;=55,"D+",IF(BK37&gt;=50,"D","F")))))))</f>
      </c>
      <c r="BN37" s="77">
        <v>84</v>
      </c>
      <c r="BO37" s="78">
        <f>IF(BN37&gt;=91, 4.00, IF(BN37&gt;=81, 3.50, IF(BN37&gt;=70, 3.00, IF(BN37&gt;=65, 2.50, IF(BN37&gt;=60, 2.00, IF(BN37&gt;=55, 1.50, IF(BN37&gt;=50, 1.00, 0.00)))))))</f>
      </c>
      <c r="BP37" s="79">
        <f>IF(BN37&gt;=91,"A",IF(BN37&gt;=81,"B+",IF(BN37&gt;=70,"B",IF(BN37&gt;=65,"C+",IF(BN37&gt;=60,"C",IF(BN37&gt;=55,"D+",IF(BN37&gt;=50,"D","F")))))))</f>
      </c>
      <c r="BQ37" s="77">
        <v>87</v>
      </c>
      <c r="BR37" s="78">
        <f>IF(BQ37&gt;=91, 4.00, IF(BQ37&gt;=81, 3.50, IF(BQ37&gt;=70, 3.00, IF(BQ37&gt;=65, 2.50, IF(BQ37&gt;=60, 2.00, IF(BQ37&gt;=55, 1.50, IF(BQ37&gt;=50, 1.00, 0.00)))))))</f>
      </c>
      <c r="BS37" s="79">
        <f>IF(BQ37&gt;=91,"A",IF(BQ37&gt;=81,"B+",IF(BQ37&gt;=70,"B",IF(BQ37&gt;=65,"C+",IF(BQ37&gt;=60,"C",IF(BQ37&gt;=55,"D+",IF(BQ37&gt;=50,"D","F")))))))</f>
      </c>
      <c r="BT37" s="77">
        <v>90</v>
      </c>
      <c r="BU37" s="78">
        <f>IF(BT37&gt;=91, 4.00, IF(BT37&gt;=81, 3.50, IF(BT37&gt;=70, 3.00, IF(BT37&gt;=65, 2.50, IF(BT37&gt;=60, 2.00, IF(BT37&gt;=55, 1.50, IF(BT37&gt;=50, 1.00, 0.00)))))))</f>
      </c>
      <c r="BV37" s="79">
        <f>IF(BT37&gt;=91,"A",IF(BT37&gt;=81,"B+",IF(BT37&gt;=70,"B",IF(BT37&gt;=65,"C+",IF(BT37&gt;=60,"C",IF(BT37&gt;=55,"D+",IF(BT37&gt;=50,"D","F")))))))</f>
      </c>
      <c r="BW37" s="84">
        <f>ROUND((AT37*3+AW37*2+AZ37*1+BC37*1+BF37*1+BI37*2+BL37*2+BO37*1+BR37*2+BU37*3)/18, 2)</f>
      </c>
    </row>
    <row r="38" ht="16" customHeight="1" spans="1:21" x14ac:dyDescent="0.25">
      <c r="A38" s="1"/>
      <c r="B38" s="2"/>
      <c r="C38" s="2"/>
      <c r="J38" s="1"/>
      <c r="M38" s="1"/>
      <c r="P38" s="1"/>
      <c r="S38" s="1"/>
      <c r="T38" s="1"/>
      <c r="U38" s="85" t="s">
        <v>316</v>
      </c>
    </row>
    <row r="39" spans="1:202" x14ac:dyDescent="0.25">
      <c r="A39" s="1"/>
      <c r="B39" s="2"/>
      <c r="C39" s="2"/>
      <c r="J39" s="1"/>
      <c r="M39" s="1"/>
      <c r="P39" s="1"/>
      <c r="S39" s="1"/>
      <c r="T39" s="1"/>
      <c r="U39" s="1"/>
      <c r="V39" s="1"/>
      <c r="Y39" s="1"/>
      <c r="AB39" s="1"/>
      <c r="AE39" s="1"/>
      <c r="AF39" s="1"/>
      <c r="AG39" s="1"/>
      <c r="AH39" s="1"/>
      <c r="AK39" s="1"/>
      <c r="AN39" s="1"/>
      <c r="AO39" s="1"/>
      <c r="AP39" s="1"/>
      <c r="AQ39" s="1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E39" s="1"/>
      <c r="BF39" s="1"/>
      <c r="BG39" s="1"/>
      <c r="BH39" s="1"/>
      <c r="BI39" s="1"/>
      <c r="BJ39" s="1"/>
      <c r="BK39" s="1"/>
      <c r="BN39" s="1"/>
      <c r="BQ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3"/>
      <c r="CH39" s="3"/>
      <c r="CI39" s="3"/>
      <c r="CJ39" s="4"/>
      <c r="CK39" s="3"/>
      <c r="CL39" s="3"/>
      <c r="CM39" s="3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</row>
    <row r="40" ht="16" customHeight="1" spans="1:202" x14ac:dyDescent="0.25">
      <c r="A40" s="1"/>
      <c r="B40" s="2"/>
      <c r="C40" s="2"/>
      <c r="J40" s="1"/>
      <c r="M40" s="1"/>
      <c r="P40" s="1"/>
      <c r="S40" s="1"/>
      <c r="T40" s="1"/>
      <c r="U40" s="86" t="s">
        <v>224</v>
      </c>
      <c r="V40" s="1"/>
      <c r="Y40" s="1"/>
      <c r="AB40" s="1"/>
      <c r="AE40" s="1"/>
      <c r="AF40" s="1"/>
      <c r="AG40" s="1"/>
      <c r="AH40" s="1"/>
      <c r="AK40" s="1"/>
      <c r="AN40" s="1"/>
      <c r="AO40" s="1"/>
      <c r="AP40" s="1"/>
      <c r="AQ40" s="1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E40" s="1"/>
      <c r="BF40" s="1"/>
      <c r="BG40" s="1"/>
      <c r="BH40" s="1"/>
      <c r="BI40" s="1"/>
      <c r="BJ40" s="1"/>
      <c r="BK40" s="1"/>
      <c r="BN40" s="1"/>
      <c r="BQ40" s="1"/>
      <c r="BT40" s="86" t="s">
        <v>317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3"/>
      <c r="CH40" s="3"/>
      <c r="CI40" s="3"/>
      <c r="CJ40" s="4"/>
      <c r="CK40" s="3"/>
      <c r="CL40" s="3"/>
      <c r="CM40" s="3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</row>
  </sheetData>
  <mergeCells count="1">
    <mergeCell ref="A1:DD6"/>
  </mergeCells>
  <conditionalFormatting sqref="B8"/>
  <conditionalFormatting sqref="AU8"/>
  <pageMargins left="0.2" right="0.2" top="0.75" bottom="0.25" header="0.3" footer="0.3"/>
  <pageSetup orientation="landscape" horizontalDpi="4294967293" verticalDpi="0" scale="6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40"/>
  <sheetViews>
    <sheetView workbookViewId="0">
      <selection activeCell="A1" sqref="A1"/>
    </sheetView>
  </sheetViews>
  <sheetFormatPr defaultRowHeight="15" outlineLevelRow="0" outlineLevelCol="0" x14ac:dyDescent="0" defaultColWidth="9"/>
  <cols>
    <col min="1" max="1" width="4.5" style="1" customWidth="1"/>
    <col min="2" max="2" width="16.1640625" style="2" customWidth="1"/>
    <col min="3" max="3" width="5.5" style="2" customWidth="1"/>
    <col min="4" max="4" width="13" customWidth="1"/>
    <col min="5" max="5" width="16.33203125" customWidth="1"/>
    <col min="6" max="6" width="15" customWidth="1"/>
    <col min="7" max="7" width="23.33203125" customWidth="1"/>
    <col min="8" max="8" width="14.1640625" customWidth="1"/>
    <col min="9" max="9" width="21" customWidth="1"/>
    <col min="10" max="10" width="4.33203125" style="1" customWidth="1"/>
    <col min="11" max="12" width="6.6640625" customWidth="1"/>
    <col min="13" max="13" width="8.5" style="1" customWidth="1"/>
    <col min="14" max="14" width="8.5" customWidth="1"/>
    <col min="15" max="15" width="7.6640625" customWidth="1"/>
    <col min="16" max="16" width="6.1640625" style="1" customWidth="1"/>
    <col min="17" max="18" width="6" customWidth="1"/>
    <col min="19" max="19" width="6" style="1" customWidth="1"/>
    <col min="20" max="22" width="6.5" style="1" customWidth="1"/>
    <col min="23" max="24" width="6.33203125" customWidth="1"/>
    <col min="25" max="25" width="6.33203125" style="1" customWidth="1"/>
    <col min="26" max="27" width="6" customWidth="1"/>
    <col min="28" max="28" width="6" style="1" customWidth="1"/>
    <col min="29" max="29" width="5.5" style="3" customWidth="1"/>
    <col min="30" max="30" width="5" style="3" customWidth="1"/>
    <col min="31" max="31" width="7.6640625" style="3" customWidth="1"/>
    <col min="32" max="32" width="11.6640625" style="3" customWidth="1"/>
    <col min="33" max="33" width="8.1640625" style="3" customWidth="1"/>
    <col min="34" max="34" width="13.5" style="3" customWidth="1"/>
    <col min="35" max="35" width="20.5" style="3" customWidth="1"/>
    <col min="36" max="36" width="14.83203125" style="3" customWidth="1"/>
    <col min="37" max="37" width="23.83203125" style="3" customWidth="1"/>
    <col min="38" max="39" width="14.83203125" style="3" customWidth="1"/>
    <col min="40" max="41" width="6" customWidth="1"/>
    <col min="42" max="48" width="6" style="1" customWidth="1"/>
    <col min="49" max="50" width="6" customWidth="1"/>
    <col min="51" max="51" width="6" style="1" customWidth="1"/>
    <col min="52" max="54" width="6.83203125" style="3" customWidth="1"/>
    <col min="55" max="55" width="11" style="4" customWidth="1"/>
    <col min="56" max="58" width="9" style="3" customWidth="1"/>
    <col min="59" max="16384" width="9" style="5" customWidth="1"/>
  </cols>
  <sheetData>
    <row r="1" ht="32.25" customHeight="1" spans="1:55" x14ac:dyDescent="0.25">
      <c r="A1" s="6" t="s">
        <v>354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6" t="s">
        <v>354</v>
      </c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</row>
    <row r="2" ht="33.75" customHeight="1" spans="1:55" x14ac:dyDescent="0.25">
      <c r="A2" s="8" t="s">
        <v>2</v>
      </c>
      <c r="B2" s="9" t="s">
        <v>3</v>
      </c>
      <c r="C2" s="9" t="s">
        <v>4</v>
      </c>
      <c r="D2" s="10" t="s">
        <v>5</v>
      </c>
      <c r="E2" s="10" t="s">
        <v>6</v>
      </c>
      <c r="F2" s="10" t="s">
        <v>7</v>
      </c>
      <c r="G2" s="10" t="s">
        <v>8</v>
      </c>
      <c r="H2" s="11" t="s">
        <v>9</v>
      </c>
      <c r="I2" s="10" t="s">
        <v>10</v>
      </c>
      <c r="J2" s="12" t="s">
        <v>11</v>
      </c>
      <c r="K2" s="18" t="s">
        <v>355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6" t="s">
        <v>356</v>
      </c>
      <c r="AD2" s="17"/>
      <c r="AE2" s="8" t="s">
        <v>14</v>
      </c>
      <c r="AF2" s="9" t="s">
        <v>15</v>
      </c>
      <c r="AG2" s="9" t="s">
        <v>16</v>
      </c>
      <c r="AH2" s="10" t="s">
        <v>14</v>
      </c>
      <c r="AI2" s="10" t="s">
        <v>15</v>
      </c>
      <c r="AJ2" s="10" t="s">
        <v>16</v>
      </c>
      <c r="AK2" s="10" t="s">
        <v>14</v>
      </c>
      <c r="AL2" s="11" t="s">
        <v>15</v>
      </c>
      <c r="AM2" s="10" t="s">
        <v>16</v>
      </c>
      <c r="AN2" s="18" t="s">
        <v>357</v>
      </c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6" t="s">
        <v>18</v>
      </c>
      <c r="BA2" s="19" t="s">
        <v>19</v>
      </c>
      <c r="BB2" s="19" t="s">
        <v>20</v>
      </c>
      <c r="BC2" s="19" t="s">
        <v>21</v>
      </c>
    </row>
    <row r="3" ht="42.75" customHeight="1" spans="1:55" x14ac:dyDescent="0.25">
      <c r="A3" s="8"/>
      <c r="B3" s="9"/>
      <c r="C3" s="9"/>
      <c r="D3" s="10"/>
      <c r="E3" s="10"/>
      <c r="F3" s="10"/>
      <c r="G3" s="10"/>
      <c r="H3" s="11"/>
      <c r="I3" s="10"/>
      <c r="J3" s="12"/>
      <c r="K3" s="21" t="s">
        <v>358</v>
      </c>
      <c r="L3" s="21"/>
      <c r="M3" s="21"/>
      <c r="N3" s="20" t="s">
        <v>359</v>
      </c>
      <c r="O3" s="20"/>
      <c r="P3" s="20"/>
      <c r="Q3" s="20" t="s">
        <v>360</v>
      </c>
      <c r="R3" s="20"/>
      <c r="S3" s="20"/>
      <c r="T3" s="20" t="s">
        <v>361</v>
      </c>
      <c r="U3" s="20"/>
      <c r="V3" s="20"/>
      <c r="W3" s="20" t="s">
        <v>362</v>
      </c>
      <c r="X3" s="20"/>
      <c r="Y3" s="20"/>
      <c r="Z3" s="132" t="s">
        <v>363</v>
      </c>
      <c r="AA3" s="132"/>
      <c r="AB3" s="132"/>
      <c r="AC3" s="16"/>
      <c r="AD3" s="17"/>
      <c r="AE3" s="8"/>
      <c r="AF3" s="9"/>
      <c r="AG3" s="9"/>
      <c r="AH3" s="10"/>
      <c r="AI3" s="10"/>
      <c r="AJ3" s="10"/>
      <c r="AK3" s="10"/>
      <c r="AL3" s="11"/>
      <c r="AM3" s="10"/>
      <c r="AN3" s="134" t="s">
        <v>364</v>
      </c>
      <c r="AO3" s="134"/>
      <c r="AP3" s="134"/>
      <c r="AQ3" s="134" t="s">
        <v>365</v>
      </c>
      <c r="AR3" s="134"/>
      <c r="AS3" s="134"/>
      <c r="AT3" s="134" t="s">
        <v>366</v>
      </c>
      <c r="AU3" s="134"/>
      <c r="AV3" s="134"/>
      <c r="AW3" s="134" t="s">
        <v>367</v>
      </c>
      <c r="AX3" s="134"/>
      <c r="AY3" s="134"/>
      <c r="AZ3" s="16"/>
      <c r="BA3" s="19"/>
      <c r="BB3" s="19"/>
      <c r="BC3" s="19"/>
    </row>
    <row r="4" ht="24.75" customHeight="1" spans="1:169" s="28" customFormat="1" x14ac:dyDescent="0.25">
      <c r="A4" s="8"/>
      <c r="B4" s="9"/>
      <c r="C4" s="9"/>
      <c r="D4" s="10"/>
      <c r="E4" s="10"/>
      <c r="F4" s="10"/>
      <c r="G4" s="10"/>
      <c r="H4" s="11"/>
      <c r="I4" s="10"/>
      <c r="J4" s="12"/>
      <c r="K4" s="29" t="s">
        <v>16</v>
      </c>
      <c r="L4" s="29" t="s">
        <v>14</v>
      </c>
      <c r="M4" s="29" t="s">
        <v>15</v>
      </c>
      <c r="N4" s="29" t="s">
        <v>16</v>
      </c>
      <c r="O4" s="29" t="s">
        <v>14</v>
      </c>
      <c r="P4" s="29" t="s">
        <v>15</v>
      </c>
      <c r="Q4" s="29" t="s">
        <v>16</v>
      </c>
      <c r="R4" s="29" t="s">
        <v>14</v>
      </c>
      <c r="S4" s="29" t="s">
        <v>15</v>
      </c>
      <c r="T4" s="29" t="s">
        <v>16</v>
      </c>
      <c r="U4" s="29" t="s">
        <v>14</v>
      </c>
      <c r="V4" s="29" t="s">
        <v>15</v>
      </c>
      <c r="W4" s="29" t="s">
        <v>16</v>
      </c>
      <c r="X4" s="29" t="s">
        <v>14</v>
      </c>
      <c r="Y4" s="29" t="s">
        <v>15</v>
      </c>
      <c r="Z4" s="29" t="s">
        <v>16</v>
      </c>
      <c r="AA4" s="29" t="s">
        <v>14</v>
      </c>
      <c r="AB4" s="29" t="s">
        <v>15</v>
      </c>
      <c r="AC4" s="16"/>
      <c r="AD4" s="17"/>
      <c r="AE4" s="8"/>
      <c r="AF4" s="9"/>
      <c r="AG4" s="9"/>
      <c r="AH4" s="10"/>
      <c r="AI4" s="10"/>
      <c r="AJ4" s="10"/>
      <c r="AK4" s="10"/>
      <c r="AL4" s="11"/>
      <c r="AM4" s="10"/>
      <c r="AN4" s="29" t="s">
        <v>14</v>
      </c>
      <c r="AO4" s="29" t="s">
        <v>15</v>
      </c>
      <c r="AP4" s="29" t="s">
        <v>368</v>
      </c>
      <c r="AQ4" s="29" t="s">
        <v>16</v>
      </c>
      <c r="AR4" s="29" t="s">
        <v>14</v>
      </c>
      <c r="AS4" s="29" t="s">
        <v>15</v>
      </c>
      <c r="AT4" s="29" t="s">
        <v>16</v>
      </c>
      <c r="AU4" s="29" t="s">
        <v>14</v>
      </c>
      <c r="AV4" s="29" t="s">
        <v>15</v>
      </c>
      <c r="AW4" s="29" t="s">
        <v>16</v>
      </c>
      <c r="AX4" s="29" t="s">
        <v>14</v>
      </c>
      <c r="AY4" s="29" t="s">
        <v>15</v>
      </c>
      <c r="AZ4" s="16"/>
      <c r="BA4" s="19"/>
      <c r="BB4" s="19"/>
      <c r="BC4" s="19"/>
      <c r="BD4" s="31"/>
      <c r="BE4" s="31"/>
      <c r="BF4" s="31"/>
      <c r="BG4" s="32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4"/>
      <c r="BS4" s="34"/>
      <c r="BT4" s="33"/>
      <c r="BU4" s="33"/>
      <c r="BV4" s="34"/>
      <c r="BW4" s="34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</row>
    <row r="5" ht="24.75" customHeight="1" spans="1:169" s="36" customFormat="1" x14ac:dyDescent="0.25">
      <c r="A5" s="8"/>
      <c r="B5" s="9"/>
      <c r="C5" s="9"/>
      <c r="D5" s="10"/>
      <c r="E5" s="10"/>
      <c r="F5" s="10"/>
      <c r="G5" s="10"/>
      <c r="H5" s="11"/>
      <c r="I5" s="10"/>
      <c r="J5" s="12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16"/>
      <c r="AD5" s="17" t="s">
        <v>369</v>
      </c>
      <c r="AE5" s="8"/>
      <c r="AF5" s="9"/>
      <c r="AG5" s="9"/>
      <c r="AH5" s="10"/>
      <c r="AI5" s="10"/>
      <c r="AJ5" s="10"/>
      <c r="AK5" s="10"/>
      <c r="AL5" s="11"/>
      <c r="AM5" s="10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16"/>
      <c r="BA5" s="19"/>
      <c r="BB5" s="19"/>
      <c r="BC5" s="19"/>
      <c r="BD5" s="3"/>
      <c r="BE5" s="3"/>
      <c r="BF5" s="3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/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</row>
    <row r="6" ht="24.75" customHeight="1" spans="1:169" s="36" customFormat="1" x14ac:dyDescent="0.25">
      <c r="A6" s="8"/>
      <c r="B6" s="9"/>
      <c r="C6" s="9"/>
      <c r="D6" s="10"/>
      <c r="E6" s="10"/>
      <c r="F6" s="10"/>
      <c r="G6" s="10"/>
      <c r="H6" s="11"/>
      <c r="I6" s="10"/>
      <c r="J6" s="12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16"/>
      <c r="AD6" s="17" t="s">
        <v>16</v>
      </c>
      <c r="AE6" s="8"/>
      <c r="AF6" s="9"/>
      <c r="AG6" s="9"/>
      <c r="AH6" s="10"/>
      <c r="AI6" s="10"/>
      <c r="AJ6" s="10"/>
      <c r="AK6" s="10"/>
      <c r="AL6" s="11"/>
      <c r="AM6" s="10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16"/>
      <c r="BA6" s="19"/>
      <c r="BB6" s="19"/>
      <c r="BC6" s="19"/>
      <c r="BD6" s="3"/>
      <c r="BE6" s="3"/>
      <c r="BF6" s="3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</row>
    <row r="7" ht="20" customHeight="1" spans="1:169" s="39" customFormat="1" x14ac:dyDescent="0.25">
      <c r="A7" s="40">
        <v>1</v>
      </c>
      <c r="B7" s="40" t="s">
        <v>349</v>
      </c>
      <c r="C7" s="40" t="s">
        <v>43</v>
      </c>
      <c r="D7" s="40" t="s">
        <v>44</v>
      </c>
      <c r="E7" s="40" t="s">
        <v>45</v>
      </c>
      <c r="F7" s="40" t="s">
        <v>261</v>
      </c>
      <c r="G7" s="40" t="s">
        <v>47</v>
      </c>
      <c r="H7" s="111"/>
      <c r="I7" s="112"/>
      <c r="J7" s="40">
        <v>1</v>
      </c>
      <c r="K7" s="42">
        <v>86</v>
      </c>
      <c r="L7" s="40">
        <f>IF(K7&gt;=91, 4.00, IF(K7&gt;=81, 3.50, IF(K7&gt;=70, 3.00, IF(K7&gt;=65, 2.50, IF(K7&gt;=60, 2.00, IF(K7&gt;=55, 1.50, IF(K7&gt;=50, 1.00, 0.00)))))))</f>
      </c>
      <c r="M7" s="40">
        <f>IF(K7&gt;=91,"A",IF(K7&gt;=81,"B+",IF(K7&gt;=70,"B",IF(K7&gt;=65,"C+",IF(K7&gt;=60,"C",IF(K7&gt;=55,"D+",IF(K7&gt;=50,"D","F")))))))</f>
      </c>
      <c r="N7" s="42">
        <v>89</v>
      </c>
      <c r="O7" s="40">
        <f>IF(N7&gt;=91, 4.00, IF(N7&gt;=81, 3.50, IF(N7&gt;=70, 3.00, IF(N7&gt;=65, 2.50, IF(N7&gt;=60, 2.00, IF(N7&gt;=55, 1.50, IF(N7&gt;=50, 1.00, 0.00)))))))</f>
      </c>
      <c r="P7" s="40">
        <f>IF(N7&gt;=91,"A",IF(N7&gt;=81,"B+",IF(N7&gt;=70,"B",IF(N7&gt;=65,"C+",IF(N7&gt;=60,"C",IF(N7&gt;=55,"D+",IF(N7&gt;=50,"D","F")))))))</f>
      </c>
      <c r="Q7" s="42">
        <v>92</v>
      </c>
      <c r="R7" s="40">
        <f>IF(Q7&gt;=91, 4.00, IF(Q7&gt;=81, 3.50, IF(Q7&gt;=70, 3.00, IF(Q7&gt;=65, 2.50, IF(Q7&gt;=60, 2.00, IF(Q7&gt;=55, 1.50, IF(Q7&gt;=50, 1.00, 0.00)))))))</f>
      </c>
      <c r="S7" s="40">
        <f>IF(Q7&gt;=91,"A",IF(Q7&gt;=81,"B+",IF(Q7&gt;=70,"B",IF(Q7&gt;=65,"C+",IF(Q7&gt;=60,"C",IF(Q7&gt;=55,"D+",IF(Q7&gt;=50,"D","F")))))))</f>
      </c>
      <c r="T7" s="42">
        <v>95</v>
      </c>
      <c r="U7" s="40">
        <f>IF(T7&gt;=91, 4.00, IF(T7&gt;=81, 3.50, IF(T7&gt;=70, 3.00, IF(T7&gt;=65, 2.50, IF(T7&gt;=60, 2.00, IF(T7&gt;=55, 1.50, IF(T7&gt;=50, 1.00, 0.00)))))))</f>
      </c>
      <c r="V7" s="40">
        <f>IF(T7&gt;=91,"A",IF(T7&gt;=81,"B+",IF(T7&gt;=70,"B",IF(T7&gt;=65,"C+",IF(T7&gt;=60,"C",IF(T7&gt;=55,"D+",IF(T7&gt;=50,"D","F")))))))</f>
      </c>
      <c r="W7" s="42">
        <v>77</v>
      </c>
      <c r="X7" s="40">
        <f>IF(W7&gt;=91, 4.00, IF(W7&gt;=81, 3.50, IF(W7&gt;=70, 3.00, IF(W7&gt;=65, 2.50, IF(W7&gt;=60, 2.00, IF(W7&gt;=55, 1.50, IF(W7&gt;=50, 1.00, 0.00)))))))</f>
      </c>
      <c r="Y7" s="40">
        <f>IF(W7&gt;=91,"A",IF(W7&gt;=81,"B+",IF(W7&gt;=70,"B",IF(W7&gt;=65,"C+",IF(W7&gt;=60,"C",IF(W7&gt;=55,"D+",IF(W7&gt;=50,"D","F")))))))</f>
      </c>
      <c r="Z7" s="46">
        <v>80</v>
      </c>
      <c r="AA7" s="40">
        <f>IF(Z7&gt;=91, 4.00, IF(Z7&gt;=81, 3.50, IF(Z7&gt;=70, 3.00, IF(Z7&gt;=65, 2.50, IF(Z7&gt;=60, 2.00, IF(Z7&gt;=55, 1.50, IF(Z7&gt;=50, 1.00, 0.00)))))))</f>
      </c>
      <c r="AB7" s="40">
        <f>IF(Z7&gt;=91,"A",IF(Z7&gt;=81,"B+",IF(Z7&gt;=70,"B",IF(Z7&gt;=65,"C+",IF(Z7&gt;=60,"C",IF(Z7&gt;=55,"D+",IF(Z7&gt;=50,"D","F")))))))</f>
      </c>
      <c r="AC7" s="40">
        <f>ROUND((L7*2+O7*2+R7*2+U7*2+X7*2+AA7*1)/11, 2)</f>
      </c>
      <c r="AD7" s="47">
        <v>84</v>
      </c>
      <c r="AE7" s="40">
        <f>IF(AD7&gt;=91, 4.00, IF(AD7&gt;=81, 3.50, IF(AD7&gt;=70, 3.00, IF(AD7&gt;=65, 2.50, IF(AD7&gt;=60, 2.00, IF(AD7&gt;=55, 1.50, IF(AD7&gt;=50, 1.00, 0.00)))))))</f>
      </c>
      <c r="AF7" s="40">
        <f>IF(AD7&gt;=91,"A",IF(AD7&gt;=81,"B+",IF(AD7&gt;=70,"B",IF(AD7&gt;=65,"C+",IF(AD7&gt;=60,"C",IF(AD7&gt;=55,"D+",IF(AD7&gt;=50,"D","F")))))))</f>
      </c>
      <c r="AG7" s="40" t="s">
        <v>43</v>
      </c>
      <c r="AH7" s="40">
        <f>IF(AG7&gt;=91, 4.00, IF(AG7&gt;=81, 3.50, IF(AG7&gt;=70, 3.00, IF(AG7&gt;=65, 2.50, IF(AG7&gt;=60, 2.00, IF(AG7&gt;=55, 1.50, IF(AG7&gt;=50, 1.00, 0.00)))))))</f>
      </c>
      <c r="AI7" s="40">
        <f>IF(AG7&gt;=91,"A",IF(AG7&gt;=81,"B+",IF(AG7&gt;=70,"B",IF(AG7&gt;=65,"C+",IF(AG7&gt;=60,"C",IF(AG7&gt;=55,"D+",IF(AG7&gt;=50,"D","F")))))))</f>
      </c>
      <c r="AJ7" s="40" t="s">
        <v>261</v>
      </c>
      <c r="AK7" s="40">
        <f>IF(AJ7&gt;=91, 4.00, IF(AJ7&gt;=81, 3.50, IF(AJ7&gt;=70, 3.00, IF(AJ7&gt;=65, 2.50, IF(AJ7&gt;=60, 2.00, IF(AJ7&gt;=55, 1.50, IF(AJ7&gt;=50, 1.00, 0.00)))))))</f>
      </c>
      <c r="AL7" s="111">
        <f>IF(AJ7&gt;=91,"A",IF(AJ7&gt;=81,"B+",IF(AJ7&gt;=70,"B",IF(AJ7&gt;=65,"C+",IF(AJ7&gt;=60,"C",IF(AJ7&gt;=55,"D+",IF(AJ7&gt;=50,"D","F")))))))</f>
      </c>
      <c r="AM7" s="112">
        <v>93</v>
      </c>
      <c r="AN7" s="48">
        <f>IF(AM7&gt;=91, 4.00, IF(AM7&gt;=81, 3.50, IF(AM7&gt;=70, 3.00, IF(AM7&gt;=65, 2.50, IF(AM7&gt;=60, 2.00, IF(AM7&gt;=55, 1.50, IF(AM7&gt;=50, 1.00, 0.00)))))))</f>
      </c>
      <c r="AO7" s="49">
        <f>IF(AM7&gt;=91,"A",IF(AM7&gt;=81,"B+",IF(AM7&gt;=70,"B",IF(AM7&gt;=65,"C+",IF(AM7&gt;=60,"C",IF(AM7&gt;=55,"D+",IF(AM7&gt;=50,"D","F")))))))</f>
      </c>
      <c r="AP7" s="40">
        <f>ROUND((AE7*2+AH7*2+AK7*2+AN7*6)/12, 2)</f>
      </c>
      <c r="AQ7" s="48"/>
      <c r="AR7" s="49" t="str">
        <f>IF(AQ7&gt;90,"4.00",IF(AQ7&gt;80,"3.50",IF(AQ7&gt;69,"3.00",IF(AQ7&gt;64,"2.50",IF(AQ7&gt;59,"2.00",IF(AQ7&gt;54,"1.50",IF(AQ7&gt;49,"1.00","0.00")))))))</f>
        <v>0.00</v>
      </c>
      <c r="AS7" s="40" t="str">
        <f>IF(AQ7&gt;90,"A",IF(AQ7&gt;80,"B+",IF(AQ7&gt;69,"B",IF(AQ7&gt;64,"C+",IF(AQ7&gt;59,"C",IF(AQ7&gt;54,"D+",IF(AQ7&gt;49,"D",IF(AQ7&gt;=0,"F"))))))))</f>
        <v>F</v>
      </c>
      <c r="AT7" s="43"/>
      <c r="AU7" s="49" t="str">
        <f>IF(AT7&gt;90,"4.00",IF(AT7&gt;80,"3.50",IF(AT7&gt;69,"3.00",IF(AT7&gt;64,"2.50",IF(AT7&gt;59,"2.00",IF(AT7&gt;54,"1.50",IF(AT7&gt;49,"1.00","0.00")))))))</f>
        <v>0.00</v>
      </c>
      <c r="AV7" s="40" t="str">
        <f>IF(AT7&gt;90,"A",IF(AT7&gt;80,"B+",IF(AT7&gt;69,"B",IF(AT7&gt;64,"C+",IF(AT7&gt;59,"C",IF(AT7&gt;54,"D+",IF(AT7&gt;49,"D",IF(AT7&gt;=0,"F"))))))))</f>
        <v>F</v>
      </c>
      <c r="AW7" s="48"/>
      <c r="AX7" s="49" t="str">
        <f>IF(AW7&gt;90,"4.00",IF(AW7&gt;80,"3.50",IF(AW7&gt;69,"3.00",IF(AW7&gt;64,"2.50",IF(AW7&gt;59,"2.00",IF(AW7&gt;54,"1.50",IF(AW7&gt;49,"1.00","0.00")))))))</f>
        <v>0.00</v>
      </c>
      <c r="AY7" s="40" t="str">
        <f>IF(AW7&gt;90,"A",IF(AW7&gt;80,"B+",IF(AW7&gt;69,"B",IF(AW7&gt;64,"C+",IF(AW7&gt;59,"C",IF(AW7&gt;54,"D+",IF(AW7&gt;49,"D",IF(AW7&gt;=0,"F"))))))))</f>
        <v>F</v>
      </c>
      <c r="AZ7" s="135">
        <f>(AO7*2+AR7*2+AU7*2+AX7*9)/(2+2+2+9)</f>
        <v>0</v>
      </c>
      <c r="BA7" s="50">
        <f>(AC7+AZ7)/2</f>
        <v>0</v>
      </c>
      <c r="BB7" s="51">
        <f>RANK(BA7,$BA$7:BA36)</f>
        <v>1</v>
      </c>
      <c r="BC7" s="40"/>
      <c r="BD7" s="52"/>
      <c r="BE7" s="52"/>
      <c r="BF7" s="52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3"/>
      <c r="CV7" s="53"/>
      <c r="CW7" s="53"/>
      <c r="CX7" s="53"/>
      <c r="CY7" s="53"/>
      <c r="CZ7" s="53"/>
      <c r="DA7" s="53"/>
      <c r="DB7" s="53"/>
      <c r="DC7" s="53"/>
      <c r="DD7" s="53"/>
      <c r="DE7" s="53"/>
      <c r="DF7" s="53"/>
      <c r="DG7" s="53"/>
      <c r="DH7" s="53"/>
      <c r="DI7" s="53"/>
      <c r="DJ7" s="53"/>
      <c r="DK7" s="53"/>
      <c r="DL7" s="53"/>
      <c r="DM7" s="53"/>
      <c r="DN7" s="53"/>
      <c r="DO7" s="53"/>
      <c r="DP7" s="53"/>
      <c r="DQ7" s="53"/>
      <c r="DR7" s="53"/>
      <c r="DS7" s="53"/>
      <c r="DT7" s="53"/>
      <c r="DU7" s="53"/>
      <c r="DV7" s="53"/>
      <c r="DW7" s="53"/>
      <c r="DX7" s="53"/>
      <c r="DY7" s="53"/>
      <c r="DZ7" s="53"/>
      <c r="EA7" s="53"/>
      <c r="EB7" s="53"/>
      <c r="EC7" s="53"/>
      <c r="ED7" s="53"/>
      <c r="EE7" s="53"/>
      <c r="EF7" s="53"/>
      <c r="EG7" s="53"/>
      <c r="EH7" s="53"/>
      <c r="EI7" s="53"/>
      <c r="EJ7" s="53"/>
      <c r="EK7" s="53"/>
      <c r="EL7" s="53"/>
      <c r="EM7" s="53"/>
      <c r="EN7" s="53"/>
      <c r="EO7" s="53"/>
      <c r="EP7" s="53"/>
      <c r="EQ7" s="53"/>
      <c r="ER7" s="53"/>
      <c r="ES7" s="53"/>
      <c r="ET7" s="53"/>
      <c r="EU7" s="53"/>
      <c r="EV7" s="53"/>
      <c r="EW7" s="53"/>
      <c r="EX7" s="53"/>
      <c r="EY7" s="53"/>
      <c r="EZ7" s="53"/>
      <c r="FA7" s="53"/>
      <c r="FB7" s="53"/>
      <c r="FC7" s="53"/>
      <c r="FD7" s="53"/>
      <c r="FE7" s="53"/>
      <c r="FF7" s="53"/>
      <c r="FG7" s="53"/>
      <c r="FH7" s="53"/>
      <c r="FI7" s="53"/>
      <c r="FJ7" s="53"/>
      <c r="FK7" s="53"/>
      <c r="FL7" s="53"/>
      <c r="FM7" s="53"/>
    </row>
    <row r="8" ht="20" customHeight="1" spans="1:169" s="39" customFormat="1" x14ac:dyDescent="0.25">
      <c r="A8" s="40">
        <v>2</v>
      </c>
      <c r="B8" s="40" t="s">
        <v>263</v>
      </c>
      <c r="C8" s="40" t="s">
        <v>51</v>
      </c>
      <c r="D8" s="40" t="s">
        <v>52</v>
      </c>
      <c r="E8" s="40" t="s">
        <v>53</v>
      </c>
      <c r="F8" s="40" t="s">
        <v>264</v>
      </c>
      <c r="G8" s="40" t="s">
        <v>55</v>
      </c>
      <c r="H8" s="44"/>
      <c r="I8" s="112"/>
      <c r="J8" s="40">
        <v>1</v>
      </c>
      <c r="K8" s="42">
        <v>89</v>
      </c>
      <c r="L8" s="40">
        <f>IF(K8&gt;=91, 4.00, IF(K8&gt;=81, 3.50, IF(K8&gt;=70, 3.00, IF(K8&gt;=65, 2.50, IF(K8&gt;=60, 2.00, IF(K8&gt;=55, 1.50, IF(K8&gt;=50, 1.00, 0.00)))))))</f>
      </c>
      <c r="M8" s="40">
        <f>IF(K8&gt;=91,"A",IF(K8&gt;=81,"B+",IF(K8&gt;=70,"B",IF(K8&gt;=65,"C+",IF(K8&gt;=60,"C",IF(K8&gt;=55,"D+",IF(K8&gt;=50,"D","F")))))))</f>
      </c>
      <c r="N8" s="42">
        <v>92</v>
      </c>
      <c r="O8" s="40">
        <f>IF(N8&gt;=91, 4.00, IF(N8&gt;=81, 3.50, IF(N8&gt;=70, 3.00, IF(N8&gt;=65, 2.50, IF(N8&gt;=60, 2.00, IF(N8&gt;=55, 1.50, IF(N8&gt;=50, 1.00, 0.00)))))))</f>
      </c>
      <c r="P8" s="40">
        <f>IF(N8&gt;=91,"A",IF(N8&gt;=81,"B+",IF(N8&gt;=70,"B",IF(N8&gt;=65,"C+",IF(N8&gt;=60,"C",IF(N8&gt;=55,"D+",IF(N8&gt;=50,"D","F")))))))</f>
      </c>
      <c r="Q8" s="42">
        <v>95</v>
      </c>
      <c r="R8" s="40">
        <f>IF(Q8&gt;=91, 4.00, IF(Q8&gt;=81, 3.50, IF(Q8&gt;=70, 3.00, IF(Q8&gt;=65, 2.50, IF(Q8&gt;=60, 2.00, IF(Q8&gt;=55, 1.50, IF(Q8&gt;=50, 1.00, 0.00)))))))</f>
      </c>
      <c r="S8" s="40">
        <f>IF(Q8&gt;=91,"A",IF(Q8&gt;=81,"B+",IF(Q8&gt;=70,"B",IF(Q8&gt;=65,"C+",IF(Q8&gt;=60,"C",IF(Q8&gt;=55,"D+",IF(Q8&gt;=50,"D","F")))))))</f>
      </c>
      <c r="T8" s="42">
        <v>77</v>
      </c>
      <c r="U8" s="40">
        <f>IF(T8&gt;=91, 4.00, IF(T8&gt;=81, 3.50, IF(T8&gt;=70, 3.00, IF(T8&gt;=65, 2.50, IF(T8&gt;=60, 2.00, IF(T8&gt;=55, 1.50, IF(T8&gt;=50, 1.00, 0.00)))))))</f>
      </c>
      <c r="V8" s="40">
        <f>IF(T8&gt;=91,"A",IF(T8&gt;=81,"B+",IF(T8&gt;=70,"B",IF(T8&gt;=65,"C+",IF(T8&gt;=60,"C",IF(T8&gt;=55,"D+",IF(T8&gt;=50,"D","F")))))))</f>
      </c>
      <c r="W8" s="42">
        <v>80</v>
      </c>
      <c r="X8" s="40">
        <f>IF(W8&gt;=91, 4.00, IF(W8&gt;=81, 3.50, IF(W8&gt;=70, 3.00, IF(W8&gt;=65, 2.50, IF(W8&gt;=60, 2.00, IF(W8&gt;=55, 1.50, IF(W8&gt;=50, 1.00, 0.00)))))))</f>
      </c>
      <c r="Y8" s="40">
        <f>IF(W8&gt;=91,"A",IF(W8&gt;=81,"B+",IF(W8&gt;=70,"B",IF(W8&gt;=65,"C+",IF(W8&gt;=60,"C",IF(W8&gt;=55,"D+",IF(W8&gt;=50,"D","F")))))))</f>
      </c>
      <c r="Z8" s="46">
        <v>83</v>
      </c>
      <c r="AA8" s="40">
        <f>IF(Z8&gt;=91, 4.00, IF(Z8&gt;=81, 3.50, IF(Z8&gt;=70, 3.00, IF(Z8&gt;=65, 2.50, IF(Z8&gt;=60, 2.00, IF(Z8&gt;=55, 1.50, IF(Z8&gt;=50, 1.00, 0.00)))))))</f>
      </c>
      <c r="AB8" s="40">
        <f>IF(Z8&gt;=91,"A",IF(Z8&gt;=81,"B+",IF(Z8&gt;=70,"B",IF(Z8&gt;=65,"C+",IF(Z8&gt;=60,"C",IF(Z8&gt;=55,"D+",IF(Z8&gt;=50,"D","F")))))))</f>
      </c>
      <c r="AC8" s="40">
        <f>ROUND((L8*2+O8*2+R8*2+U8*2+X8*2+AA8*1)/11, 2)</f>
      </c>
      <c r="AD8" s="47">
        <v>87</v>
      </c>
      <c r="AE8" s="40">
        <f>IF(AD8&gt;=91, 4.00, IF(AD8&gt;=81, 3.50, IF(AD8&gt;=70, 3.00, IF(AD8&gt;=65, 2.50, IF(AD8&gt;=60, 2.00, IF(AD8&gt;=55, 1.50, IF(AD8&gt;=50, 1.00, 0.00)))))))</f>
      </c>
      <c r="AF8" s="40">
        <f>IF(AD8&gt;=91,"A",IF(AD8&gt;=81,"B+",IF(AD8&gt;=70,"B",IF(AD8&gt;=65,"C+",IF(AD8&gt;=60,"C",IF(AD8&gt;=55,"D+",IF(AD8&gt;=50,"D","F")))))))</f>
      </c>
      <c r="AG8" s="40" t="s">
        <v>51</v>
      </c>
      <c r="AH8" s="40">
        <f>IF(AG8&gt;=91, 4.00, IF(AG8&gt;=81, 3.50, IF(AG8&gt;=70, 3.00, IF(AG8&gt;=65, 2.50, IF(AG8&gt;=60, 2.00, IF(AG8&gt;=55, 1.50, IF(AG8&gt;=50, 1.00, 0.00)))))))</f>
      </c>
      <c r="AI8" s="40">
        <f>IF(AG8&gt;=91,"A",IF(AG8&gt;=81,"B+",IF(AG8&gt;=70,"B",IF(AG8&gt;=65,"C+",IF(AG8&gt;=60,"C",IF(AG8&gt;=55,"D+",IF(AG8&gt;=50,"D","F")))))))</f>
      </c>
      <c r="AJ8" s="40" t="s">
        <v>264</v>
      </c>
      <c r="AK8" s="40">
        <f>IF(AJ8&gt;=91, 4.00, IF(AJ8&gt;=81, 3.50, IF(AJ8&gt;=70, 3.00, IF(AJ8&gt;=65, 2.50, IF(AJ8&gt;=60, 2.00, IF(AJ8&gt;=55, 1.50, IF(AJ8&gt;=50, 1.00, 0.00)))))))</f>
      </c>
      <c r="AL8" s="44">
        <f>IF(AJ8&gt;=91,"A",IF(AJ8&gt;=81,"B+",IF(AJ8&gt;=70,"B",IF(AJ8&gt;=65,"C+",IF(AJ8&gt;=60,"C",IF(AJ8&gt;=55,"D+",IF(AJ8&gt;=50,"D","F")))))))</f>
      </c>
      <c r="AM8" s="112">
        <v>75</v>
      </c>
      <c r="AN8" s="48">
        <f>IF(AM8&gt;=91, 4.00, IF(AM8&gt;=81, 3.50, IF(AM8&gt;=70, 3.00, IF(AM8&gt;=65, 2.50, IF(AM8&gt;=60, 2.00, IF(AM8&gt;=55, 1.50, IF(AM8&gt;=50, 1.00, 0.00)))))))</f>
      </c>
      <c r="AO8" s="49">
        <f>IF(AM8&gt;=91,"A",IF(AM8&gt;=81,"B+",IF(AM8&gt;=70,"B",IF(AM8&gt;=65,"C+",IF(AM8&gt;=60,"C",IF(AM8&gt;=55,"D+",IF(AM8&gt;=50,"D","F")))))))</f>
      </c>
      <c r="AP8" s="40">
        <f>ROUND((AE8*2+AH8*2+AK8*2+AN8*6)/12, 2)</f>
      </c>
      <c r="AQ8" s="48"/>
      <c r="AR8" s="49" t="str">
        <f>IF(AQ8&gt;90,"4.00",IF(AQ8&gt;80,"3.50",IF(AQ8&gt;69,"3.00",IF(AQ8&gt;64,"2.50",IF(AQ8&gt;59,"2.00",IF(AQ8&gt;54,"1.50",IF(AQ8&gt;49,"1.00","0.00")))))))</f>
        <v>0.00</v>
      </c>
      <c r="AS8" s="40" t="str">
        <f>IF(AQ8&gt;90,"A",IF(AQ8&gt;80,"B+",IF(AQ8&gt;69,"B",IF(AQ8&gt;64,"C+",IF(AQ8&gt;59,"C",IF(AQ8&gt;54,"D+",IF(AQ8&gt;49,"D",IF(AQ8&gt;=0,"F"))))))))</f>
        <v>F</v>
      </c>
      <c r="AT8" s="43"/>
      <c r="AU8" s="49" t="str">
        <f>IF(AT8&gt;90,"4.00",IF(AT8&gt;80,"3.50",IF(AT8&gt;69,"3.00",IF(AT8&gt;64,"2.50",IF(AT8&gt;59,"2.00",IF(AT8&gt;54,"1.50",IF(AT8&gt;49,"1.00","0.00")))))))</f>
        <v>0.00</v>
      </c>
      <c r="AV8" s="40" t="str">
        <f>IF(AT8&gt;90,"A",IF(AT8&gt;80,"B+",IF(AT8&gt;69,"B",IF(AT8&gt;64,"C+",IF(AT8&gt;59,"C",IF(AT8&gt;54,"D+",IF(AT8&gt;49,"D",IF(AT8&gt;=0,"F"))))))))</f>
        <v>F</v>
      </c>
      <c r="AW8" s="48"/>
      <c r="AX8" s="49" t="str">
        <f>IF(AW8&gt;90,"4.00",IF(AW8&gt;80,"3.50",IF(AW8&gt;69,"3.00",IF(AW8&gt;64,"2.50",IF(AW8&gt;59,"2.00",IF(AW8&gt;54,"1.50",IF(AW8&gt;49,"1.00","0.00")))))))</f>
        <v>0.00</v>
      </c>
      <c r="AY8" s="40" t="str">
        <f>IF(AW8&gt;90,"A",IF(AW8&gt;80,"B+",IF(AW8&gt;69,"B",IF(AW8&gt;64,"C+",IF(AW8&gt;59,"C",IF(AW8&gt;54,"D+",IF(AW8&gt;49,"D",IF(AW8&gt;=0,"F"))))))))</f>
        <v>F</v>
      </c>
      <c r="AZ8" s="135">
        <f>(AO8*2+AR8*2+AU8*2+AX8*9)/(2+2+2+9)</f>
        <v>0</v>
      </c>
      <c r="BA8" s="50">
        <f>(AC8+AZ8)/2</f>
        <v>0</v>
      </c>
      <c r="BB8" s="51">
        <f>RANK(BA8,$BA$7:BA37)</f>
        <v>1</v>
      </c>
      <c r="BC8" s="40"/>
      <c r="BD8" s="52"/>
      <c r="BE8" s="52"/>
      <c r="BF8" s="52"/>
      <c r="BG8" s="53"/>
      <c r="BH8" s="53"/>
      <c r="BI8" s="53"/>
      <c r="BJ8" s="53"/>
      <c r="BK8" s="53"/>
      <c r="BL8" s="53"/>
      <c r="BM8" s="53"/>
      <c r="BN8" s="53"/>
      <c r="BO8" s="53"/>
      <c r="BP8" s="53"/>
      <c r="BQ8" s="53"/>
      <c r="BR8" s="53"/>
      <c r="BS8" s="53"/>
      <c r="BT8" s="53"/>
      <c r="BU8" s="53"/>
      <c r="BV8" s="53"/>
      <c r="BW8" s="53"/>
      <c r="BX8" s="53"/>
      <c r="BY8" s="53"/>
      <c r="BZ8" s="53"/>
      <c r="CA8" s="53"/>
      <c r="CB8" s="53"/>
      <c r="CC8" s="53"/>
      <c r="CD8" s="53"/>
      <c r="CE8" s="53"/>
      <c r="CF8" s="53"/>
      <c r="CG8" s="53"/>
      <c r="CH8" s="53"/>
      <c r="CI8" s="53"/>
      <c r="CJ8" s="53"/>
      <c r="CK8" s="53"/>
      <c r="CL8" s="53"/>
      <c r="CM8" s="53"/>
      <c r="CN8" s="53"/>
      <c r="CO8" s="53"/>
      <c r="CP8" s="53"/>
      <c r="CQ8" s="53"/>
      <c r="CR8" s="53"/>
      <c r="CS8" s="53"/>
      <c r="CT8" s="53"/>
      <c r="CU8" s="53"/>
      <c r="CV8" s="53"/>
      <c r="CW8" s="53"/>
      <c r="CX8" s="53"/>
      <c r="CY8" s="53"/>
      <c r="CZ8" s="53"/>
      <c r="DA8" s="53"/>
      <c r="DB8" s="53"/>
      <c r="DC8" s="53"/>
      <c r="DD8" s="53"/>
      <c r="DE8" s="53"/>
      <c r="DF8" s="53"/>
      <c r="DG8" s="53"/>
      <c r="DH8" s="53"/>
      <c r="DI8" s="53"/>
      <c r="DJ8" s="53"/>
      <c r="DK8" s="53"/>
      <c r="DL8" s="53"/>
      <c r="DM8" s="53"/>
      <c r="DN8" s="53"/>
      <c r="DO8" s="53"/>
      <c r="DP8" s="53"/>
      <c r="DQ8" s="53"/>
      <c r="DR8" s="53"/>
      <c r="DS8" s="53"/>
      <c r="DT8" s="53"/>
      <c r="DU8" s="53"/>
      <c r="DV8" s="53"/>
      <c r="DW8" s="53"/>
      <c r="DX8" s="53"/>
      <c r="DY8" s="53"/>
      <c r="DZ8" s="53"/>
      <c r="EA8" s="53"/>
      <c r="EB8" s="53"/>
      <c r="EC8" s="53"/>
      <c r="ED8" s="53"/>
      <c r="EE8" s="53"/>
      <c r="EF8" s="53"/>
      <c r="EG8" s="53"/>
      <c r="EH8" s="53"/>
      <c r="EI8" s="53"/>
      <c r="EJ8" s="53"/>
      <c r="EK8" s="53"/>
      <c r="EL8" s="53"/>
      <c r="EM8" s="53"/>
      <c r="EN8" s="53"/>
      <c r="EO8" s="53"/>
      <c r="EP8" s="53"/>
      <c r="EQ8" s="53"/>
      <c r="ER8" s="53"/>
      <c r="ES8" s="53"/>
      <c r="ET8" s="53"/>
      <c r="EU8" s="53"/>
      <c r="EV8" s="53"/>
      <c r="EW8" s="53"/>
      <c r="EX8" s="53"/>
      <c r="EY8" s="53"/>
      <c r="EZ8" s="53"/>
      <c r="FA8" s="53"/>
      <c r="FB8" s="53"/>
      <c r="FC8" s="53"/>
      <c r="FD8" s="53"/>
      <c r="FE8" s="53"/>
      <c r="FF8" s="53"/>
      <c r="FG8" s="53"/>
      <c r="FH8" s="53"/>
      <c r="FI8" s="53"/>
      <c r="FJ8" s="53"/>
      <c r="FK8" s="53"/>
      <c r="FL8" s="53"/>
      <c r="FM8" s="53"/>
    </row>
    <row r="9" ht="20" customHeight="1" spans="1:169" s="39" customFormat="1" x14ac:dyDescent="0.25">
      <c r="A9" s="40">
        <v>3</v>
      </c>
      <c r="B9" s="40" t="s">
        <v>265</v>
      </c>
      <c r="C9" s="40" t="s">
        <v>43</v>
      </c>
      <c r="D9" s="40" t="s">
        <v>58</v>
      </c>
      <c r="E9" s="40" t="s">
        <v>59</v>
      </c>
      <c r="F9" s="40" t="s">
        <v>266</v>
      </c>
      <c r="G9" s="40" t="s">
        <v>61</v>
      </c>
      <c r="H9" s="44"/>
      <c r="I9" s="112"/>
      <c r="J9" s="40">
        <v>1</v>
      </c>
      <c r="K9" s="42">
        <v>92</v>
      </c>
      <c r="L9" s="40">
        <f>IF(K9&gt;=91, 4.00, IF(K9&gt;=81, 3.50, IF(K9&gt;=70, 3.00, IF(K9&gt;=65, 2.50, IF(K9&gt;=60, 2.00, IF(K9&gt;=55, 1.50, IF(K9&gt;=50, 1.00, 0.00)))))))</f>
      </c>
      <c r="M9" s="40">
        <f>IF(K9&gt;=91,"A",IF(K9&gt;=81,"B+",IF(K9&gt;=70,"B",IF(K9&gt;=65,"C+",IF(K9&gt;=60,"C",IF(K9&gt;=55,"D+",IF(K9&gt;=50,"D","F")))))))</f>
      </c>
      <c r="N9" s="42">
        <v>95</v>
      </c>
      <c r="O9" s="40">
        <f>IF(N9&gt;=91, 4.00, IF(N9&gt;=81, 3.50, IF(N9&gt;=70, 3.00, IF(N9&gt;=65, 2.50, IF(N9&gt;=60, 2.00, IF(N9&gt;=55, 1.50, IF(N9&gt;=50, 1.00, 0.00)))))))</f>
      </c>
      <c r="P9" s="40">
        <f>IF(N9&gt;=91,"A",IF(N9&gt;=81,"B+",IF(N9&gt;=70,"B",IF(N9&gt;=65,"C+",IF(N9&gt;=60,"C",IF(N9&gt;=55,"D+",IF(N9&gt;=50,"D","F")))))))</f>
      </c>
      <c r="Q9" s="42">
        <v>77</v>
      </c>
      <c r="R9" s="40">
        <f>IF(Q9&gt;=91, 4.00, IF(Q9&gt;=81, 3.50, IF(Q9&gt;=70, 3.00, IF(Q9&gt;=65, 2.50, IF(Q9&gt;=60, 2.00, IF(Q9&gt;=55, 1.50, IF(Q9&gt;=50, 1.00, 0.00)))))))</f>
      </c>
      <c r="S9" s="40">
        <f>IF(Q9&gt;=91,"A",IF(Q9&gt;=81,"B+",IF(Q9&gt;=70,"B",IF(Q9&gt;=65,"C+",IF(Q9&gt;=60,"C",IF(Q9&gt;=55,"D+",IF(Q9&gt;=50,"D","F")))))))</f>
      </c>
      <c r="T9" s="42">
        <v>80</v>
      </c>
      <c r="U9" s="40">
        <f>IF(T9&gt;=91, 4.00, IF(T9&gt;=81, 3.50, IF(T9&gt;=70, 3.00, IF(T9&gt;=65, 2.50, IF(T9&gt;=60, 2.00, IF(T9&gt;=55, 1.50, IF(T9&gt;=50, 1.00, 0.00)))))))</f>
      </c>
      <c r="V9" s="40">
        <f>IF(T9&gt;=91,"A",IF(T9&gt;=81,"B+",IF(T9&gt;=70,"B",IF(T9&gt;=65,"C+",IF(T9&gt;=60,"C",IF(T9&gt;=55,"D+",IF(T9&gt;=50,"D","F")))))))</f>
      </c>
      <c r="W9" s="42">
        <v>83</v>
      </c>
      <c r="X9" s="40">
        <f>IF(W9&gt;=91, 4.00, IF(W9&gt;=81, 3.50, IF(W9&gt;=70, 3.00, IF(W9&gt;=65, 2.50, IF(W9&gt;=60, 2.00, IF(W9&gt;=55, 1.50, IF(W9&gt;=50, 1.00, 0.00)))))))</f>
      </c>
      <c r="Y9" s="40">
        <f>IF(W9&gt;=91,"A",IF(W9&gt;=81,"B+",IF(W9&gt;=70,"B",IF(W9&gt;=65,"C+",IF(W9&gt;=60,"C",IF(W9&gt;=55,"D+",IF(W9&gt;=50,"D","F")))))))</f>
      </c>
      <c r="Z9" s="46">
        <v>86</v>
      </c>
      <c r="AA9" s="40">
        <f>IF(Z9&gt;=91, 4.00, IF(Z9&gt;=81, 3.50, IF(Z9&gt;=70, 3.00, IF(Z9&gt;=65, 2.50, IF(Z9&gt;=60, 2.00, IF(Z9&gt;=55, 1.50, IF(Z9&gt;=50, 1.00, 0.00)))))))</f>
      </c>
      <c r="AB9" s="40">
        <f>IF(Z9&gt;=91,"A",IF(Z9&gt;=81,"B+",IF(Z9&gt;=70,"B",IF(Z9&gt;=65,"C+",IF(Z9&gt;=60,"C",IF(Z9&gt;=55,"D+",IF(Z9&gt;=50,"D","F")))))))</f>
      </c>
      <c r="AC9" s="40">
        <f>ROUND((L9*2+O9*2+R9*2+U9*2+X9*2+AA9*1)/11, 2)</f>
      </c>
      <c r="AD9" s="47">
        <v>90</v>
      </c>
      <c r="AE9" s="40">
        <f>IF(AD9&gt;=91, 4.00, IF(AD9&gt;=81, 3.50, IF(AD9&gt;=70, 3.00, IF(AD9&gt;=65, 2.50, IF(AD9&gt;=60, 2.00, IF(AD9&gt;=55, 1.50, IF(AD9&gt;=50, 1.00, 0.00)))))))</f>
      </c>
      <c r="AF9" s="40">
        <f>IF(AD9&gt;=91,"A",IF(AD9&gt;=81,"B+",IF(AD9&gt;=70,"B",IF(AD9&gt;=65,"C+",IF(AD9&gt;=60,"C",IF(AD9&gt;=55,"D+",IF(AD9&gt;=50,"D","F")))))))</f>
      </c>
      <c r="AG9" s="40" t="s">
        <v>43</v>
      </c>
      <c r="AH9" s="40">
        <f>IF(AG9&gt;=91, 4.00, IF(AG9&gt;=81, 3.50, IF(AG9&gt;=70, 3.00, IF(AG9&gt;=65, 2.50, IF(AG9&gt;=60, 2.00, IF(AG9&gt;=55, 1.50, IF(AG9&gt;=50, 1.00, 0.00)))))))</f>
      </c>
      <c r="AI9" s="40">
        <f>IF(AG9&gt;=91,"A",IF(AG9&gt;=81,"B+",IF(AG9&gt;=70,"B",IF(AG9&gt;=65,"C+",IF(AG9&gt;=60,"C",IF(AG9&gt;=55,"D+",IF(AG9&gt;=50,"D","F")))))))</f>
      </c>
      <c r="AJ9" s="40" t="s">
        <v>266</v>
      </c>
      <c r="AK9" s="40">
        <f>IF(AJ9&gt;=91, 4.00, IF(AJ9&gt;=81, 3.50, IF(AJ9&gt;=70, 3.00, IF(AJ9&gt;=65, 2.50, IF(AJ9&gt;=60, 2.00, IF(AJ9&gt;=55, 1.50, IF(AJ9&gt;=50, 1.00, 0.00)))))))</f>
      </c>
      <c r="AL9" s="44">
        <f>IF(AJ9&gt;=91,"A",IF(AJ9&gt;=81,"B+",IF(AJ9&gt;=70,"B",IF(AJ9&gt;=65,"C+",IF(AJ9&gt;=60,"C",IF(AJ9&gt;=55,"D+",IF(AJ9&gt;=50,"D","F")))))))</f>
      </c>
      <c r="AM9" s="112">
        <v>78</v>
      </c>
      <c r="AN9" s="48">
        <f>IF(AM9&gt;=91, 4.00, IF(AM9&gt;=81, 3.50, IF(AM9&gt;=70, 3.00, IF(AM9&gt;=65, 2.50, IF(AM9&gt;=60, 2.00, IF(AM9&gt;=55, 1.50, IF(AM9&gt;=50, 1.00, 0.00)))))))</f>
      </c>
      <c r="AO9" s="49">
        <f>IF(AM9&gt;=91,"A",IF(AM9&gt;=81,"B+",IF(AM9&gt;=70,"B",IF(AM9&gt;=65,"C+",IF(AM9&gt;=60,"C",IF(AM9&gt;=55,"D+",IF(AM9&gt;=50,"D","F")))))))</f>
      </c>
      <c r="AP9" s="40">
        <f>ROUND((AE9*2+AH9*2+AK9*2+AN9*6)/12, 2)</f>
      </c>
      <c r="AQ9" s="48"/>
      <c r="AR9" s="49" t="str">
        <f>IF(AQ9&gt;90,"4.00",IF(AQ9&gt;80,"3.50",IF(AQ9&gt;69,"3.00",IF(AQ9&gt;64,"2.50",IF(AQ9&gt;59,"2.00",IF(AQ9&gt;54,"1.50",IF(AQ9&gt;49,"1.00","0.00")))))))</f>
        <v>0.00</v>
      </c>
      <c r="AS9" s="40" t="str">
        <f>IF(AQ9&gt;90,"A",IF(AQ9&gt;80,"B+",IF(AQ9&gt;69,"B",IF(AQ9&gt;64,"C+",IF(AQ9&gt;59,"C",IF(AQ9&gt;54,"D+",IF(AQ9&gt;49,"D",IF(AQ9&gt;=0,"F"))))))))</f>
        <v>F</v>
      </c>
      <c r="AT9" s="43"/>
      <c r="AU9" s="49" t="str">
        <f>IF(AT9&gt;90,"4.00",IF(AT9&gt;80,"3.50",IF(AT9&gt;69,"3.00",IF(AT9&gt;64,"2.50",IF(AT9&gt;59,"2.00",IF(AT9&gt;54,"1.50",IF(AT9&gt;49,"1.00","0.00")))))))</f>
        <v>0.00</v>
      </c>
      <c r="AV9" s="40" t="str">
        <f>IF(AT9&gt;90,"A",IF(AT9&gt;80,"B+",IF(AT9&gt;69,"B",IF(AT9&gt;64,"C+",IF(AT9&gt;59,"C",IF(AT9&gt;54,"D+",IF(AT9&gt;49,"D",IF(AT9&gt;=0,"F"))))))))</f>
        <v>F</v>
      </c>
      <c r="AW9" s="48"/>
      <c r="AX9" s="49" t="str">
        <f>IF(AW9&gt;90,"4.00",IF(AW9&gt;80,"3.50",IF(AW9&gt;69,"3.00",IF(AW9&gt;64,"2.50",IF(AW9&gt;59,"2.00",IF(AW9&gt;54,"1.50",IF(AW9&gt;49,"1.00","0.00")))))))</f>
        <v>0.00</v>
      </c>
      <c r="AY9" s="40" t="str">
        <f>IF(AW9&gt;90,"A",IF(AW9&gt;80,"B+",IF(AW9&gt;69,"B",IF(AW9&gt;64,"C+",IF(AW9&gt;59,"C",IF(AW9&gt;54,"D+",IF(AW9&gt;49,"D",IF(AW9&gt;=0,"F"))))))))</f>
        <v>F</v>
      </c>
      <c r="AZ9" s="135">
        <f>(AO9*2+AR9*2+AU9*2+AX9*9)/(2+2+2+9)</f>
        <v>0</v>
      </c>
      <c r="BA9" s="50">
        <f>(AC9+AZ9)/2</f>
        <v>0</v>
      </c>
      <c r="BB9" s="51">
        <f>RANK(BA9,$BA$7:BA38)</f>
        <v>1</v>
      </c>
      <c r="BC9" s="58"/>
      <c r="BD9" s="52"/>
      <c r="BE9" s="52"/>
      <c r="BF9" s="52"/>
      <c r="BG9" s="53"/>
      <c r="BH9" s="53"/>
      <c r="BI9" s="53"/>
      <c r="BJ9" s="53"/>
      <c r="BK9" s="53"/>
      <c r="BL9" s="53"/>
      <c r="BM9" s="53"/>
      <c r="BN9" s="53"/>
      <c r="BO9" s="53"/>
      <c r="BP9" s="53"/>
      <c r="BQ9" s="53"/>
      <c r="BR9" s="53"/>
      <c r="BS9" s="53"/>
      <c r="BT9" s="53"/>
      <c r="BU9" s="53"/>
      <c r="BV9" s="53"/>
      <c r="BW9" s="53"/>
      <c r="BX9" s="53"/>
      <c r="BY9" s="53"/>
      <c r="BZ9" s="53"/>
      <c r="CA9" s="53"/>
      <c r="CB9" s="53"/>
      <c r="CC9" s="53"/>
      <c r="CD9" s="53"/>
      <c r="CE9" s="53"/>
      <c r="CF9" s="53"/>
      <c r="CG9" s="53"/>
      <c r="CH9" s="53"/>
      <c r="CI9" s="53"/>
      <c r="CJ9" s="53"/>
      <c r="CK9" s="53"/>
      <c r="CL9" s="53"/>
      <c r="CM9" s="53"/>
      <c r="CN9" s="53"/>
      <c r="CO9" s="53"/>
      <c r="CP9" s="53"/>
      <c r="CQ9" s="53"/>
      <c r="CR9" s="53"/>
      <c r="CS9" s="53"/>
      <c r="CT9" s="53"/>
      <c r="CU9" s="53"/>
      <c r="CV9" s="53"/>
      <c r="CW9" s="53"/>
      <c r="CX9" s="53"/>
      <c r="CY9" s="53"/>
      <c r="CZ9" s="53"/>
      <c r="DA9" s="53"/>
      <c r="DB9" s="53"/>
      <c r="DC9" s="53"/>
      <c r="DD9" s="53"/>
      <c r="DE9" s="53"/>
      <c r="DF9" s="53"/>
      <c r="DG9" s="53"/>
      <c r="DH9" s="53"/>
      <c r="DI9" s="53"/>
      <c r="DJ9" s="53"/>
      <c r="DK9" s="53"/>
      <c r="DL9" s="53"/>
      <c r="DM9" s="53"/>
      <c r="DN9" s="53"/>
      <c r="DO9" s="53"/>
      <c r="DP9" s="53"/>
      <c r="DQ9" s="53"/>
      <c r="DR9" s="53"/>
      <c r="DS9" s="53"/>
      <c r="DT9" s="53"/>
      <c r="DU9" s="53"/>
      <c r="DV9" s="53"/>
      <c r="DW9" s="53"/>
      <c r="DX9" s="53"/>
      <c r="DY9" s="53"/>
      <c r="DZ9" s="53"/>
      <c r="EA9" s="53"/>
      <c r="EB9" s="53"/>
      <c r="EC9" s="53"/>
      <c r="ED9" s="53"/>
      <c r="EE9" s="53"/>
      <c r="EF9" s="53"/>
      <c r="EG9" s="53"/>
      <c r="EH9" s="53"/>
      <c r="EI9" s="53"/>
      <c r="EJ9" s="53"/>
      <c r="EK9" s="53"/>
      <c r="EL9" s="53"/>
      <c r="EM9" s="53"/>
      <c r="EN9" s="53"/>
      <c r="EO9" s="53"/>
      <c r="EP9" s="53"/>
      <c r="EQ9" s="53"/>
      <c r="ER9" s="53"/>
      <c r="ES9" s="53"/>
      <c r="ET9" s="53"/>
      <c r="EU9" s="53"/>
      <c r="EV9" s="53"/>
      <c r="EW9" s="53"/>
      <c r="EX9" s="53"/>
      <c r="EY9" s="53"/>
      <c r="EZ9" s="53"/>
      <c r="FA9" s="53"/>
      <c r="FB9" s="53"/>
      <c r="FC9" s="53"/>
      <c r="FD9" s="53"/>
      <c r="FE9" s="53"/>
      <c r="FF9" s="53"/>
      <c r="FG9" s="53"/>
      <c r="FH9" s="53"/>
      <c r="FI9" s="53"/>
      <c r="FJ9" s="53"/>
      <c r="FK9" s="53"/>
      <c r="FL9" s="53"/>
      <c r="FM9" s="53"/>
    </row>
    <row r="10" ht="20" customHeight="1" spans="1:169" s="39" customFormat="1" x14ac:dyDescent="0.25">
      <c r="A10" s="40">
        <v>4</v>
      </c>
      <c r="B10" s="40" t="s">
        <v>267</v>
      </c>
      <c r="C10" s="40" t="s">
        <v>51</v>
      </c>
      <c r="D10" s="40" t="s">
        <v>268</v>
      </c>
      <c r="E10" s="40" t="s">
        <v>64</v>
      </c>
      <c r="F10" s="40"/>
      <c r="G10" s="40"/>
      <c r="H10" s="111"/>
      <c r="I10" s="112"/>
      <c r="J10" s="40">
        <v>1</v>
      </c>
      <c r="K10" s="42">
        <v>95</v>
      </c>
      <c r="L10" s="40">
        <f>IF(K10&gt;=91, 4.00, IF(K10&gt;=81, 3.50, IF(K10&gt;=70, 3.00, IF(K10&gt;=65, 2.50, IF(K10&gt;=60, 2.00, IF(K10&gt;=55, 1.50, IF(K10&gt;=50, 1.00, 0.00)))))))</f>
      </c>
      <c r="M10" s="40">
        <f>IF(K10&gt;=91,"A",IF(K10&gt;=81,"B+",IF(K10&gt;=70,"B",IF(K10&gt;=65,"C+",IF(K10&gt;=60,"C",IF(K10&gt;=55,"D+",IF(K10&gt;=50,"D","F")))))))</f>
      </c>
      <c r="N10" s="42">
        <v>77</v>
      </c>
      <c r="O10" s="40">
        <f>IF(N10&gt;=91, 4.00, IF(N10&gt;=81, 3.50, IF(N10&gt;=70, 3.00, IF(N10&gt;=65, 2.50, IF(N10&gt;=60, 2.00, IF(N10&gt;=55, 1.50, IF(N10&gt;=50, 1.00, 0.00)))))))</f>
      </c>
      <c r="P10" s="40">
        <f>IF(N10&gt;=91,"A",IF(N10&gt;=81,"B+",IF(N10&gt;=70,"B",IF(N10&gt;=65,"C+",IF(N10&gt;=60,"C",IF(N10&gt;=55,"D+",IF(N10&gt;=50,"D","F")))))))</f>
      </c>
      <c r="Q10" s="42">
        <v>80</v>
      </c>
      <c r="R10" s="40">
        <f>IF(Q10&gt;=91, 4.00, IF(Q10&gt;=81, 3.50, IF(Q10&gt;=70, 3.00, IF(Q10&gt;=65, 2.50, IF(Q10&gt;=60, 2.00, IF(Q10&gt;=55, 1.50, IF(Q10&gt;=50, 1.00, 0.00)))))))</f>
      </c>
      <c r="S10" s="40">
        <f>IF(Q10&gt;=91,"A",IF(Q10&gt;=81,"B+",IF(Q10&gt;=70,"B",IF(Q10&gt;=65,"C+",IF(Q10&gt;=60,"C",IF(Q10&gt;=55,"D+",IF(Q10&gt;=50,"D","F")))))))</f>
      </c>
      <c r="T10" s="42">
        <v>83</v>
      </c>
      <c r="U10" s="40">
        <f>IF(T10&gt;=91, 4.00, IF(T10&gt;=81, 3.50, IF(T10&gt;=70, 3.00, IF(T10&gt;=65, 2.50, IF(T10&gt;=60, 2.00, IF(T10&gt;=55, 1.50, IF(T10&gt;=50, 1.00, 0.00)))))))</f>
      </c>
      <c r="V10" s="40">
        <f>IF(T10&gt;=91,"A",IF(T10&gt;=81,"B+",IF(T10&gt;=70,"B",IF(T10&gt;=65,"C+",IF(T10&gt;=60,"C",IF(T10&gt;=55,"D+",IF(T10&gt;=50,"D","F")))))))</f>
      </c>
      <c r="W10" s="42">
        <v>86</v>
      </c>
      <c r="X10" s="40">
        <f>IF(W10&gt;=91, 4.00, IF(W10&gt;=81, 3.50, IF(W10&gt;=70, 3.00, IF(W10&gt;=65, 2.50, IF(W10&gt;=60, 2.00, IF(W10&gt;=55, 1.50, IF(W10&gt;=50, 1.00, 0.00)))))))</f>
      </c>
      <c r="Y10" s="40">
        <f>IF(W10&gt;=91,"A",IF(W10&gt;=81,"B+",IF(W10&gt;=70,"B",IF(W10&gt;=65,"C+",IF(W10&gt;=60,"C",IF(W10&gt;=55,"D+",IF(W10&gt;=50,"D","F")))))))</f>
      </c>
      <c r="Z10" s="46">
        <v>89</v>
      </c>
      <c r="AA10" s="40">
        <f>IF(Z10&gt;=91, 4.00, IF(Z10&gt;=81, 3.50, IF(Z10&gt;=70, 3.00, IF(Z10&gt;=65, 2.50, IF(Z10&gt;=60, 2.00, IF(Z10&gt;=55, 1.50, IF(Z10&gt;=50, 1.00, 0.00)))))))</f>
      </c>
      <c r="AB10" s="40">
        <f>IF(Z10&gt;=91,"A",IF(Z10&gt;=81,"B+",IF(Z10&gt;=70,"B",IF(Z10&gt;=65,"C+",IF(Z10&gt;=60,"C",IF(Z10&gt;=55,"D+",IF(Z10&gt;=50,"D","F")))))))</f>
      </c>
      <c r="AC10" s="40">
        <f>ROUND((L10*2+O10*2+R10*2+U10*2+X10*2+AA10*1)/11, 2)</f>
      </c>
      <c r="AD10" s="47">
        <v>93</v>
      </c>
      <c r="AE10" s="40">
        <f>IF(AD10&gt;=91, 4.00, IF(AD10&gt;=81, 3.50, IF(AD10&gt;=70, 3.00, IF(AD10&gt;=65, 2.50, IF(AD10&gt;=60, 2.00, IF(AD10&gt;=55, 1.50, IF(AD10&gt;=50, 1.00, 0.00)))))))</f>
      </c>
      <c r="AF10" s="40">
        <f>IF(AD10&gt;=91,"A",IF(AD10&gt;=81,"B+",IF(AD10&gt;=70,"B",IF(AD10&gt;=65,"C+",IF(AD10&gt;=60,"C",IF(AD10&gt;=55,"D+",IF(AD10&gt;=50,"D","F")))))))</f>
      </c>
      <c r="AG10" s="40" t="s">
        <v>51</v>
      </c>
      <c r="AH10" s="40">
        <f>IF(AG10&gt;=91, 4.00, IF(AG10&gt;=81, 3.50, IF(AG10&gt;=70, 3.00, IF(AG10&gt;=65, 2.50, IF(AG10&gt;=60, 2.00, IF(AG10&gt;=55, 1.50, IF(AG10&gt;=50, 1.00, 0.00)))))))</f>
      </c>
      <c r="AI10" s="40">
        <f>IF(AG10&gt;=91,"A",IF(AG10&gt;=81,"B+",IF(AG10&gt;=70,"B",IF(AG10&gt;=65,"C+",IF(AG10&gt;=60,"C",IF(AG10&gt;=55,"D+",IF(AG10&gt;=50,"D","F")))))))</f>
      </c>
      <c r="AJ10" s="40">
        <v>78</v>
      </c>
      <c r="AK10" s="40">
        <f>IF(AJ10&gt;=91, 4.00, IF(AJ10&gt;=81, 3.50, IF(AJ10&gt;=70, 3.00, IF(AJ10&gt;=65, 2.50, IF(AJ10&gt;=60, 2.00, IF(AJ10&gt;=55, 1.50, IF(AJ10&gt;=50, 1.00, 0.00)))))))</f>
      </c>
      <c r="AL10" s="111">
        <f>IF(AJ10&gt;=91,"A",IF(AJ10&gt;=81,"B+",IF(AJ10&gt;=70,"B",IF(AJ10&gt;=65,"C+",IF(AJ10&gt;=60,"C",IF(AJ10&gt;=55,"D+",IF(AJ10&gt;=50,"D","F")))))))</f>
      </c>
      <c r="AM10" s="112">
        <v>81</v>
      </c>
      <c r="AN10" s="48">
        <f>IF(AM10&gt;=91, 4.00, IF(AM10&gt;=81, 3.50, IF(AM10&gt;=70, 3.00, IF(AM10&gt;=65, 2.50, IF(AM10&gt;=60, 2.00, IF(AM10&gt;=55, 1.50, IF(AM10&gt;=50, 1.00, 0.00)))))))</f>
      </c>
      <c r="AO10" s="49">
        <f>IF(AM10&gt;=91,"A",IF(AM10&gt;=81,"B+",IF(AM10&gt;=70,"B",IF(AM10&gt;=65,"C+",IF(AM10&gt;=60,"C",IF(AM10&gt;=55,"D+",IF(AM10&gt;=50,"D","F")))))))</f>
      </c>
      <c r="AP10" s="40">
        <f>ROUND((AE10*2+AH10*2+AK10*2+AN10*6)/12, 2)</f>
      </c>
      <c r="AQ10" s="48"/>
      <c r="AR10" s="49" t="str">
        <f>IF(AQ10&gt;90,"4.00",IF(AQ10&gt;80,"3.50",IF(AQ10&gt;69,"3.00",IF(AQ10&gt;64,"2.50",IF(AQ10&gt;59,"2.00",IF(AQ10&gt;54,"1.50",IF(AQ10&gt;49,"1.00","0.00")))))))</f>
        <v>0.00</v>
      </c>
      <c r="AS10" s="40" t="str">
        <f>IF(AQ10&gt;90,"A",IF(AQ10&gt;80,"B+",IF(AQ10&gt;69,"B",IF(AQ10&gt;64,"C+",IF(AQ10&gt;59,"C",IF(AQ10&gt;54,"D+",IF(AQ10&gt;49,"D",IF(AQ10&gt;=0,"F"))))))))</f>
        <v>F</v>
      </c>
      <c r="AT10" s="43"/>
      <c r="AU10" s="49" t="str">
        <f>IF(AT10&gt;90,"4.00",IF(AT10&gt;80,"3.50",IF(AT10&gt;69,"3.00",IF(AT10&gt;64,"2.50",IF(AT10&gt;59,"2.00",IF(AT10&gt;54,"1.50",IF(AT10&gt;49,"1.00","0.00")))))))</f>
        <v>0.00</v>
      </c>
      <c r="AV10" s="40" t="str">
        <f>IF(AT10&gt;90,"A",IF(AT10&gt;80,"B+",IF(AT10&gt;69,"B",IF(AT10&gt;64,"C+",IF(AT10&gt;59,"C",IF(AT10&gt;54,"D+",IF(AT10&gt;49,"D",IF(AT10&gt;=0,"F"))))))))</f>
        <v>F</v>
      </c>
      <c r="AW10" s="48"/>
      <c r="AX10" s="49" t="str">
        <f>IF(AW10&gt;90,"4.00",IF(AW10&gt;80,"3.50",IF(AW10&gt;69,"3.00",IF(AW10&gt;64,"2.50",IF(AW10&gt;59,"2.00",IF(AW10&gt;54,"1.50",IF(AW10&gt;49,"1.00","0.00")))))))</f>
        <v>0.00</v>
      </c>
      <c r="AY10" s="40" t="str">
        <f>IF(AW10&gt;90,"A",IF(AW10&gt;80,"B+",IF(AW10&gt;69,"B",IF(AW10&gt;64,"C+",IF(AW10&gt;59,"C",IF(AW10&gt;54,"D+",IF(AW10&gt;49,"D",IF(AW10&gt;=0,"F"))))))))</f>
        <v>F</v>
      </c>
      <c r="AZ10" s="135">
        <f>(AO10*2+AR10*2+AU10*2+AX10*9)/(2+2+2+9)</f>
        <v>0</v>
      </c>
      <c r="BA10" s="50">
        <f>(AC10+AZ10)/2</f>
        <v>0</v>
      </c>
      <c r="BB10" s="51">
        <f>RANK(BA10,$BA$7:BA39)</f>
        <v>1</v>
      </c>
      <c r="BC10" s="58"/>
      <c r="BD10" s="52"/>
      <c r="BE10" s="52"/>
      <c r="BF10" s="52"/>
      <c r="BG10" s="53"/>
      <c r="BH10" s="53"/>
      <c r="BI10" s="53"/>
      <c r="BJ10" s="53"/>
      <c r="BK10" s="53"/>
      <c r="BL10" s="53"/>
      <c r="BM10" s="53"/>
      <c r="BN10" s="53"/>
      <c r="BO10" s="53"/>
      <c r="BP10" s="53"/>
      <c r="BQ10" s="53"/>
      <c r="BR10" s="53"/>
      <c r="BS10" s="53"/>
      <c r="BT10" s="53"/>
      <c r="BU10" s="53"/>
      <c r="BV10" s="53"/>
      <c r="BW10" s="53"/>
      <c r="BX10" s="53"/>
      <c r="BY10" s="53"/>
      <c r="BZ10" s="53"/>
      <c r="CA10" s="53"/>
      <c r="CB10" s="53"/>
      <c r="CC10" s="53"/>
      <c r="CD10" s="53"/>
      <c r="CE10" s="53"/>
      <c r="CF10" s="53"/>
      <c r="CG10" s="53"/>
      <c r="CH10" s="53"/>
      <c r="CI10" s="53"/>
      <c r="CJ10" s="53"/>
      <c r="CK10" s="53"/>
      <c r="CL10" s="53"/>
      <c r="CM10" s="53"/>
      <c r="CN10" s="53"/>
      <c r="CO10" s="53"/>
      <c r="CP10" s="53"/>
      <c r="CQ10" s="53"/>
      <c r="CR10" s="53"/>
      <c r="CS10" s="53"/>
      <c r="CT10" s="53"/>
      <c r="CU10" s="53"/>
      <c r="CV10" s="53"/>
      <c r="CW10" s="53"/>
      <c r="CX10" s="53"/>
      <c r="CY10" s="53"/>
      <c r="CZ10" s="53"/>
      <c r="DA10" s="53"/>
      <c r="DB10" s="53"/>
      <c r="DC10" s="53"/>
      <c r="DD10" s="53"/>
      <c r="DE10" s="53"/>
      <c r="DF10" s="53"/>
      <c r="DG10" s="53"/>
      <c r="DH10" s="53"/>
      <c r="DI10" s="53"/>
      <c r="DJ10" s="53"/>
      <c r="DK10" s="53"/>
      <c r="DL10" s="53"/>
      <c r="DM10" s="53"/>
      <c r="DN10" s="53"/>
      <c r="DO10" s="53"/>
      <c r="DP10" s="53"/>
      <c r="DQ10" s="53"/>
      <c r="DR10" s="53"/>
      <c r="DS10" s="53"/>
      <c r="DT10" s="53"/>
      <c r="DU10" s="53"/>
      <c r="DV10" s="53"/>
      <c r="DW10" s="53"/>
      <c r="DX10" s="53"/>
      <c r="DY10" s="53"/>
      <c r="DZ10" s="53"/>
      <c r="EA10" s="53"/>
      <c r="EB10" s="53"/>
      <c r="EC10" s="53"/>
      <c r="ED10" s="53"/>
      <c r="EE10" s="53"/>
      <c r="EF10" s="53"/>
      <c r="EG10" s="53"/>
      <c r="EH10" s="53"/>
      <c r="EI10" s="53"/>
      <c r="EJ10" s="53"/>
      <c r="EK10" s="53"/>
      <c r="EL10" s="53"/>
      <c r="EM10" s="53"/>
      <c r="EN10" s="53"/>
      <c r="EO10" s="53"/>
      <c r="EP10" s="53"/>
      <c r="EQ10" s="53"/>
      <c r="ER10" s="53"/>
      <c r="ES10" s="53"/>
      <c r="ET10" s="53"/>
      <c r="EU10" s="53"/>
      <c r="EV10" s="53"/>
      <c r="EW10" s="53"/>
      <c r="EX10" s="53"/>
      <c r="EY10" s="53"/>
      <c r="EZ10" s="53"/>
      <c r="FA10" s="53"/>
      <c r="FB10" s="53"/>
      <c r="FC10" s="53"/>
      <c r="FD10" s="53"/>
      <c r="FE10" s="53"/>
      <c r="FF10" s="53"/>
      <c r="FG10" s="53"/>
      <c r="FH10" s="53"/>
      <c r="FI10" s="53"/>
      <c r="FJ10" s="53"/>
      <c r="FK10" s="53"/>
      <c r="FL10" s="53"/>
      <c r="FM10" s="53"/>
    </row>
    <row r="11" ht="20" customHeight="1" spans="1:169" s="39" customFormat="1" x14ac:dyDescent="0.25">
      <c r="A11" s="40">
        <v>5</v>
      </c>
      <c r="B11" s="40" t="s">
        <v>269</v>
      </c>
      <c r="C11" s="40" t="s">
        <v>51</v>
      </c>
      <c r="D11" s="40" t="s">
        <v>70</v>
      </c>
      <c r="E11" s="40" t="s">
        <v>71</v>
      </c>
      <c r="F11" s="40"/>
      <c r="G11" s="40"/>
      <c r="H11" s="111"/>
      <c r="I11" s="112"/>
      <c r="J11" s="40">
        <v>1</v>
      </c>
      <c r="K11" s="42">
        <v>77</v>
      </c>
      <c r="L11" s="40">
        <f>IF(K11&gt;=91, 4.00, IF(K11&gt;=81, 3.50, IF(K11&gt;=70, 3.00, IF(K11&gt;=65, 2.50, IF(K11&gt;=60, 2.00, IF(K11&gt;=55, 1.50, IF(K11&gt;=50, 1.00, 0.00)))))))</f>
      </c>
      <c r="M11" s="40">
        <f>IF(K11&gt;=91,"A",IF(K11&gt;=81,"B+",IF(K11&gt;=70,"B",IF(K11&gt;=65,"C+",IF(K11&gt;=60,"C",IF(K11&gt;=55,"D+",IF(K11&gt;=50,"D","F")))))))</f>
      </c>
      <c r="N11" s="42">
        <v>80</v>
      </c>
      <c r="O11" s="40">
        <f>IF(N11&gt;=91, 4.00, IF(N11&gt;=81, 3.50, IF(N11&gt;=70, 3.00, IF(N11&gt;=65, 2.50, IF(N11&gt;=60, 2.00, IF(N11&gt;=55, 1.50, IF(N11&gt;=50, 1.00, 0.00)))))))</f>
      </c>
      <c r="P11" s="40">
        <f>IF(N11&gt;=91,"A",IF(N11&gt;=81,"B+",IF(N11&gt;=70,"B",IF(N11&gt;=65,"C+",IF(N11&gt;=60,"C",IF(N11&gt;=55,"D+",IF(N11&gt;=50,"D","F")))))))</f>
      </c>
      <c r="Q11" s="42">
        <v>83</v>
      </c>
      <c r="R11" s="40">
        <f>IF(Q11&gt;=91, 4.00, IF(Q11&gt;=81, 3.50, IF(Q11&gt;=70, 3.00, IF(Q11&gt;=65, 2.50, IF(Q11&gt;=60, 2.00, IF(Q11&gt;=55, 1.50, IF(Q11&gt;=50, 1.00, 0.00)))))))</f>
      </c>
      <c r="S11" s="40">
        <f>IF(Q11&gt;=91,"A",IF(Q11&gt;=81,"B+",IF(Q11&gt;=70,"B",IF(Q11&gt;=65,"C+",IF(Q11&gt;=60,"C",IF(Q11&gt;=55,"D+",IF(Q11&gt;=50,"D","F")))))))</f>
      </c>
      <c r="T11" s="42">
        <v>86</v>
      </c>
      <c r="U11" s="40">
        <f>IF(T11&gt;=91, 4.00, IF(T11&gt;=81, 3.50, IF(T11&gt;=70, 3.00, IF(T11&gt;=65, 2.50, IF(T11&gt;=60, 2.00, IF(T11&gt;=55, 1.50, IF(T11&gt;=50, 1.00, 0.00)))))))</f>
      </c>
      <c r="V11" s="40">
        <f>IF(T11&gt;=91,"A",IF(T11&gt;=81,"B+",IF(T11&gt;=70,"B",IF(T11&gt;=65,"C+",IF(T11&gt;=60,"C",IF(T11&gt;=55,"D+",IF(T11&gt;=50,"D","F")))))))</f>
      </c>
      <c r="W11" s="42">
        <v>89</v>
      </c>
      <c r="X11" s="40">
        <f>IF(W11&gt;=91, 4.00, IF(W11&gt;=81, 3.50, IF(W11&gt;=70, 3.00, IF(W11&gt;=65, 2.50, IF(W11&gt;=60, 2.00, IF(W11&gt;=55, 1.50, IF(W11&gt;=50, 1.00, 0.00)))))))</f>
      </c>
      <c r="Y11" s="40">
        <f>IF(W11&gt;=91,"A",IF(W11&gt;=81,"B+",IF(W11&gt;=70,"B",IF(W11&gt;=65,"C+",IF(W11&gt;=60,"C",IF(W11&gt;=55,"D+",IF(W11&gt;=50,"D","F")))))))</f>
      </c>
      <c r="Z11" s="46">
        <v>92</v>
      </c>
      <c r="AA11" s="40">
        <f>IF(Z11&gt;=91, 4.00, IF(Z11&gt;=81, 3.50, IF(Z11&gt;=70, 3.00, IF(Z11&gt;=65, 2.50, IF(Z11&gt;=60, 2.00, IF(Z11&gt;=55, 1.50, IF(Z11&gt;=50, 1.00, 0.00)))))))</f>
      </c>
      <c r="AB11" s="40">
        <f>IF(Z11&gt;=91,"A",IF(Z11&gt;=81,"B+",IF(Z11&gt;=70,"B",IF(Z11&gt;=65,"C+",IF(Z11&gt;=60,"C",IF(Z11&gt;=55,"D+",IF(Z11&gt;=50,"D","F")))))))</f>
      </c>
      <c r="AC11" s="40">
        <f>ROUND((L11*2+O11*2+R11*2+U11*2+X11*2+AA11*1)/11, 2)</f>
      </c>
      <c r="AD11" s="47">
        <v>75</v>
      </c>
      <c r="AE11" s="40">
        <f>IF(AD11&gt;=91, 4.00, IF(AD11&gt;=81, 3.50, IF(AD11&gt;=70, 3.00, IF(AD11&gt;=65, 2.50, IF(AD11&gt;=60, 2.00, IF(AD11&gt;=55, 1.50, IF(AD11&gt;=50, 1.00, 0.00)))))))</f>
      </c>
      <c r="AF11" s="40">
        <f>IF(AD11&gt;=91,"A",IF(AD11&gt;=81,"B+",IF(AD11&gt;=70,"B",IF(AD11&gt;=65,"C+",IF(AD11&gt;=60,"C",IF(AD11&gt;=55,"D+",IF(AD11&gt;=50,"D","F")))))))</f>
      </c>
      <c r="AG11" s="40" t="s">
        <v>51</v>
      </c>
      <c r="AH11" s="40">
        <f>IF(AG11&gt;=91, 4.00, IF(AG11&gt;=81, 3.50, IF(AG11&gt;=70, 3.00, IF(AG11&gt;=65, 2.50, IF(AG11&gt;=60, 2.00, IF(AG11&gt;=55, 1.50, IF(AG11&gt;=50, 1.00, 0.00)))))))</f>
      </c>
      <c r="AI11" s="40">
        <f>IF(AG11&gt;=91,"A",IF(AG11&gt;=81,"B+",IF(AG11&gt;=70,"B",IF(AG11&gt;=65,"C+",IF(AG11&gt;=60,"C",IF(AG11&gt;=55,"D+",IF(AG11&gt;=50,"D","F")))))))</f>
      </c>
      <c r="AJ11" s="40">
        <v>81</v>
      </c>
      <c r="AK11" s="40">
        <f>IF(AJ11&gt;=91, 4.00, IF(AJ11&gt;=81, 3.50, IF(AJ11&gt;=70, 3.00, IF(AJ11&gt;=65, 2.50, IF(AJ11&gt;=60, 2.00, IF(AJ11&gt;=55, 1.50, IF(AJ11&gt;=50, 1.00, 0.00)))))))</f>
      </c>
      <c r="AL11" s="111">
        <f>IF(AJ11&gt;=91,"A",IF(AJ11&gt;=81,"B+",IF(AJ11&gt;=70,"B",IF(AJ11&gt;=65,"C+",IF(AJ11&gt;=60,"C",IF(AJ11&gt;=55,"D+",IF(AJ11&gt;=50,"D","F")))))))</f>
      </c>
      <c r="AM11" s="112">
        <v>84</v>
      </c>
      <c r="AN11" s="40">
        <f>IF(AM11&gt;=91, 4.00, IF(AM11&gt;=81, 3.50, IF(AM11&gt;=70, 3.00, IF(AM11&gt;=65, 2.50, IF(AM11&gt;=60, 2.00, IF(AM11&gt;=55, 1.50, IF(AM11&gt;=50, 1.00, 0.00)))))))</f>
      </c>
      <c r="AO11" s="49">
        <f>IF(AM11&gt;=91,"A",IF(AM11&gt;=81,"B+",IF(AM11&gt;=70,"B",IF(AM11&gt;=65,"C+",IF(AM11&gt;=60,"C",IF(AM11&gt;=55,"D+",IF(AM11&gt;=50,"D","F")))))))</f>
      </c>
      <c r="AP11" s="40">
        <f>ROUND((AE11*2+AH11*2+AK11*2+AN11*6)/12, 2)</f>
      </c>
      <c r="AQ11" s="48"/>
      <c r="AR11" s="49" t="str">
        <f>IF(AQ11&gt;90,"4.00",IF(AQ11&gt;80,"3.50",IF(AQ11&gt;69,"3.00",IF(AQ11&gt;64,"2.50",IF(AQ11&gt;59,"2.00",IF(AQ11&gt;54,"1.50",IF(AQ11&gt;49,"1.00","0.00")))))))</f>
        <v>0.00</v>
      </c>
      <c r="AS11" s="40" t="str">
        <f>IF(AQ11&gt;90,"A",IF(AQ11&gt;80,"B+",IF(AQ11&gt;69,"B",IF(AQ11&gt;64,"C+",IF(AQ11&gt;59,"C",IF(AQ11&gt;54,"D+",IF(AQ11&gt;49,"D",IF(AQ11&gt;=0,"F"))))))))</f>
        <v>F</v>
      </c>
      <c r="AT11" s="43"/>
      <c r="AU11" s="49" t="str">
        <f>IF(AT11&gt;90,"4.00",IF(AT11&gt;80,"3.50",IF(AT11&gt;69,"3.00",IF(AT11&gt;64,"2.50",IF(AT11&gt;59,"2.00",IF(AT11&gt;54,"1.50",IF(AT11&gt;49,"1.00","0.00")))))))</f>
        <v>0.00</v>
      </c>
      <c r="AV11" s="40" t="str">
        <f>IF(AT11&gt;90,"A",IF(AT11&gt;80,"B+",IF(AT11&gt;69,"B",IF(AT11&gt;64,"C+",IF(AT11&gt;59,"C",IF(AT11&gt;54,"D+",IF(AT11&gt;49,"D",IF(AT11&gt;=0,"F"))))))))</f>
        <v>F</v>
      </c>
      <c r="AW11" s="48"/>
      <c r="AX11" s="49" t="str">
        <f>IF(AW11&gt;90,"4.00",IF(AW11&gt;80,"3.50",IF(AW11&gt;69,"3.00",IF(AW11&gt;64,"2.50",IF(AW11&gt;59,"2.00",IF(AW11&gt;54,"1.50",IF(AW11&gt;49,"1.00","0.00")))))))</f>
        <v>0.00</v>
      </c>
      <c r="AY11" s="40" t="str">
        <f>IF(AW11&gt;90,"A",IF(AW11&gt;80,"B+",IF(AW11&gt;69,"B",IF(AW11&gt;64,"C+",IF(AW11&gt;59,"C",IF(AW11&gt;54,"D+",IF(AW11&gt;49,"D",IF(AW11&gt;=0,"F"))))))))</f>
        <v>F</v>
      </c>
      <c r="AZ11" s="135">
        <f>(AO11*2+AR11*2+AU11*2+AX11*9)/(2+2+2+9)</f>
        <v>0</v>
      </c>
      <c r="BA11" s="50">
        <f>(AC11+AZ11)/2</f>
        <v>0</v>
      </c>
      <c r="BB11" s="51">
        <f>RANK(BA11,$BA$7:BA40)</f>
        <v>1</v>
      </c>
      <c r="BC11" s="40"/>
      <c r="BD11" s="52"/>
      <c r="BE11" s="52"/>
      <c r="BF11" s="52"/>
      <c r="BG11" s="53"/>
      <c r="BH11" s="53"/>
      <c r="BI11" s="53"/>
      <c r="BJ11" s="53"/>
      <c r="BK11" s="53"/>
      <c r="BL11" s="53"/>
      <c r="BM11" s="53"/>
      <c r="BN11" s="53"/>
      <c r="BO11" s="53"/>
      <c r="BP11" s="53"/>
      <c r="BQ11" s="53"/>
      <c r="BR11" s="53"/>
      <c r="BS11" s="53"/>
      <c r="BT11" s="53"/>
      <c r="BU11" s="53"/>
      <c r="BV11" s="53"/>
      <c r="BW11" s="53"/>
      <c r="BX11" s="53"/>
      <c r="BY11" s="53"/>
      <c r="BZ11" s="53"/>
      <c r="CA11" s="53"/>
      <c r="CB11" s="53"/>
      <c r="CC11" s="53"/>
      <c r="CD11" s="53"/>
      <c r="CE11" s="53"/>
      <c r="CF11" s="53"/>
      <c r="CG11" s="53"/>
      <c r="CH11" s="53"/>
      <c r="CI11" s="53"/>
      <c r="CJ11" s="53"/>
      <c r="CK11" s="53"/>
      <c r="CL11" s="53"/>
      <c r="CM11" s="53"/>
      <c r="CN11" s="53"/>
      <c r="CO11" s="53"/>
      <c r="CP11" s="53"/>
      <c r="CQ11" s="53"/>
      <c r="CR11" s="53"/>
      <c r="CS11" s="53"/>
      <c r="CT11" s="53"/>
      <c r="CU11" s="53"/>
      <c r="CV11" s="53"/>
      <c r="CW11" s="53"/>
      <c r="CX11" s="53"/>
      <c r="CY11" s="53"/>
      <c r="CZ11" s="53"/>
      <c r="DA11" s="53"/>
      <c r="DB11" s="53"/>
      <c r="DC11" s="53"/>
      <c r="DD11" s="53"/>
      <c r="DE11" s="53"/>
      <c r="DF11" s="53"/>
      <c r="DG11" s="53"/>
      <c r="DH11" s="53"/>
      <c r="DI11" s="53"/>
      <c r="DJ11" s="53"/>
      <c r="DK11" s="53"/>
      <c r="DL11" s="53"/>
      <c r="DM11" s="53"/>
      <c r="DN11" s="53"/>
      <c r="DO11" s="53"/>
      <c r="DP11" s="53"/>
      <c r="DQ11" s="53"/>
      <c r="DR11" s="53"/>
      <c r="DS11" s="53"/>
      <c r="DT11" s="53"/>
      <c r="DU11" s="53"/>
      <c r="DV11" s="53"/>
      <c r="DW11" s="53"/>
      <c r="DX11" s="53"/>
      <c r="DY11" s="53"/>
      <c r="DZ11" s="53"/>
      <c r="EA11" s="53"/>
      <c r="EB11" s="53"/>
      <c r="EC11" s="53"/>
      <c r="ED11" s="53"/>
      <c r="EE11" s="53"/>
      <c r="EF11" s="53"/>
      <c r="EG11" s="53"/>
      <c r="EH11" s="53"/>
      <c r="EI11" s="53"/>
      <c r="EJ11" s="53"/>
      <c r="EK11" s="53"/>
      <c r="EL11" s="53"/>
      <c r="EM11" s="53"/>
      <c r="EN11" s="53"/>
      <c r="EO11" s="53"/>
      <c r="EP11" s="53"/>
      <c r="EQ11" s="53"/>
      <c r="ER11" s="53"/>
      <c r="ES11" s="53"/>
      <c r="ET11" s="53"/>
      <c r="EU11" s="53"/>
      <c r="EV11" s="53"/>
      <c r="EW11" s="53"/>
      <c r="EX11" s="53"/>
      <c r="EY11" s="53"/>
      <c r="EZ11" s="53"/>
      <c r="FA11" s="53"/>
      <c r="FB11" s="53"/>
      <c r="FC11" s="53"/>
      <c r="FD11" s="53"/>
      <c r="FE11" s="53"/>
      <c r="FF11" s="53"/>
      <c r="FG11" s="53"/>
      <c r="FH11" s="53"/>
      <c r="FI11" s="53"/>
      <c r="FJ11" s="53"/>
      <c r="FK11" s="53"/>
      <c r="FL11" s="53"/>
      <c r="FM11" s="53"/>
    </row>
    <row r="12" ht="20" customHeight="1" spans="1:169" s="39" customFormat="1" x14ac:dyDescent="0.25">
      <c r="A12" s="40">
        <v>6</v>
      </c>
      <c r="B12" s="40" t="s">
        <v>270</v>
      </c>
      <c r="C12" s="40" t="s">
        <v>51</v>
      </c>
      <c r="D12" s="40" t="s">
        <v>75</v>
      </c>
      <c r="E12" s="40" t="s">
        <v>76</v>
      </c>
      <c r="F12" s="40" t="s">
        <v>271</v>
      </c>
      <c r="G12" s="40" t="s">
        <v>78</v>
      </c>
      <c r="H12" s="44"/>
      <c r="I12" s="112"/>
      <c r="J12" s="40">
        <v>1</v>
      </c>
      <c r="K12" s="42">
        <v>80</v>
      </c>
      <c r="L12" s="40">
        <f>IF(K12&gt;=91, 4.00, IF(K12&gt;=81, 3.50, IF(K12&gt;=70, 3.00, IF(K12&gt;=65, 2.50, IF(K12&gt;=60, 2.00, IF(K12&gt;=55, 1.50, IF(K12&gt;=50, 1.00, 0.00)))))))</f>
      </c>
      <c r="M12" s="40">
        <f>IF(K12&gt;=91,"A",IF(K12&gt;=81,"B+",IF(K12&gt;=70,"B",IF(K12&gt;=65,"C+",IF(K12&gt;=60,"C",IF(K12&gt;=55,"D+",IF(K12&gt;=50,"D","F")))))))</f>
      </c>
      <c r="N12" s="42">
        <v>83</v>
      </c>
      <c r="O12" s="40">
        <f>IF(N12&gt;=91, 4.00, IF(N12&gt;=81, 3.50, IF(N12&gt;=70, 3.00, IF(N12&gt;=65, 2.50, IF(N12&gt;=60, 2.00, IF(N12&gt;=55, 1.50, IF(N12&gt;=50, 1.00, 0.00)))))))</f>
      </c>
      <c r="P12" s="40">
        <f>IF(N12&gt;=91,"A",IF(N12&gt;=81,"B+",IF(N12&gt;=70,"B",IF(N12&gt;=65,"C+",IF(N12&gt;=60,"C",IF(N12&gt;=55,"D+",IF(N12&gt;=50,"D","F")))))))</f>
      </c>
      <c r="Q12" s="42">
        <v>86</v>
      </c>
      <c r="R12" s="40">
        <f>IF(Q12&gt;=91, 4.00, IF(Q12&gt;=81, 3.50, IF(Q12&gt;=70, 3.00, IF(Q12&gt;=65, 2.50, IF(Q12&gt;=60, 2.00, IF(Q12&gt;=55, 1.50, IF(Q12&gt;=50, 1.00, 0.00)))))))</f>
      </c>
      <c r="S12" s="40">
        <f>IF(Q12&gt;=91,"A",IF(Q12&gt;=81,"B+",IF(Q12&gt;=70,"B",IF(Q12&gt;=65,"C+",IF(Q12&gt;=60,"C",IF(Q12&gt;=55,"D+",IF(Q12&gt;=50,"D","F")))))))</f>
      </c>
      <c r="T12" s="42">
        <v>89</v>
      </c>
      <c r="U12" s="40">
        <f>IF(T12&gt;=91, 4.00, IF(T12&gt;=81, 3.50, IF(T12&gt;=70, 3.00, IF(T12&gt;=65, 2.50, IF(T12&gt;=60, 2.00, IF(T12&gt;=55, 1.50, IF(T12&gt;=50, 1.00, 0.00)))))))</f>
      </c>
      <c r="V12" s="40">
        <f>IF(T12&gt;=91,"A",IF(T12&gt;=81,"B+",IF(T12&gt;=70,"B",IF(T12&gt;=65,"C+",IF(T12&gt;=60,"C",IF(T12&gt;=55,"D+",IF(T12&gt;=50,"D","F")))))))</f>
      </c>
      <c r="W12" s="42">
        <v>92</v>
      </c>
      <c r="X12" s="40">
        <f>IF(W12&gt;=91, 4.00, IF(W12&gt;=81, 3.50, IF(W12&gt;=70, 3.00, IF(W12&gt;=65, 2.50, IF(W12&gt;=60, 2.00, IF(W12&gt;=55, 1.50, IF(W12&gt;=50, 1.00, 0.00)))))))</f>
      </c>
      <c r="Y12" s="40">
        <f>IF(W12&gt;=91,"A",IF(W12&gt;=81,"B+",IF(W12&gt;=70,"B",IF(W12&gt;=65,"C+",IF(W12&gt;=60,"C",IF(W12&gt;=55,"D+",IF(W12&gt;=50,"D","F")))))))</f>
      </c>
      <c r="Z12" s="46">
        <v>95</v>
      </c>
      <c r="AA12" s="40">
        <f>IF(Z12&gt;=91, 4.00, IF(Z12&gt;=81, 3.50, IF(Z12&gt;=70, 3.00, IF(Z12&gt;=65, 2.50, IF(Z12&gt;=60, 2.00, IF(Z12&gt;=55, 1.50, IF(Z12&gt;=50, 1.00, 0.00)))))))</f>
      </c>
      <c r="AB12" s="40">
        <f>IF(Z12&gt;=91,"A",IF(Z12&gt;=81,"B+",IF(Z12&gt;=70,"B",IF(Z12&gt;=65,"C+",IF(Z12&gt;=60,"C",IF(Z12&gt;=55,"D+",IF(Z12&gt;=50,"D","F")))))))</f>
      </c>
      <c r="AC12" s="40">
        <f>ROUND((L12*2+O12*2+R12*2+U12*2+X12*2+AA12*1)/11, 2)</f>
      </c>
      <c r="AD12" s="47">
        <v>78</v>
      </c>
      <c r="AE12" s="40">
        <f>IF(AD12&gt;=91, 4.00, IF(AD12&gt;=81, 3.50, IF(AD12&gt;=70, 3.00, IF(AD12&gt;=65, 2.50, IF(AD12&gt;=60, 2.00, IF(AD12&gt;=55, 1.50, IF(AD12&gt;=50, 1.00, 0.00)))))))</f>
      </c>
      <c r="AF12" s="40">
        <f>IF(AD12&gt;=91,"A",IF(AD12&gt;=81,"B+",IF(AD12&gt;=70,"B",IF(AD12&gt;=65,"C+",IF(AD12&gt;=60,"C",IF(AD12&gt;=55,"D+",IF(AD12&gt;=50,"D","F")))))))</f>
      </c>
      <c r="AG12" s="40" t="s">
        <v>51</v>
      </c>
      <c r="AH12" s="40">
        <f>IF(AG12&gt;=91, 4.00, IF(AG12&gt;=81, 3.50, IF(AG12&gt;=70, 3.00, IF(AG12&gt;=65, 2.50, IF(AG12&gt;=60, 2.00, IF(AG12&gt;=55, 1.50, IF(AG12&gt;=50, 1.00, 0.00)))))))</f>
      </c>
      <c r="AI12" s="40">
        <f>IF(AG12&gt;=91,"A",IF(AG12&gt;=81,"B+",IF(AG12&gt;=70,"B",IF(AG12&gt;=65,"C+",IF(AG12&gt;=60,"C",IF(AG12&gt;=55,"D+",IF(AG12&gt;=50,"D","F")))))))</f>
      </c>
      <c r="AJ12" s="40" t="s">
        <v>271</v>
      </c>
      <c r="AK12" s="40">
        <f>IF(AJ12&gt;=91, 4.00, IF(AJ12&gt;=81, 3.50, IF(AJ12&gt;=70, 3.00, IF(AJ12&gt;=65, 2.50, IF(AJ12&gt;=60, 2.00, IF(AJ12&gt;=55, 1.50, IF(AJ12&gt;=50, 1.00, 0.00)))))))</f>
      </c>
      <c r="AL12" s="44">
        <f>IF(AJ12&gt;=91,"A",IF(AJ12&gt;=81,"B+",IF(AJ12&gt;=70,"B",IF(AJ12&gt;=65,"C+",IF(AJ12&gt;=60,"C",IF(AJ12&gt;=55,"D+",IF(AJ12&gt;=50,"D","F")))))))</f>
      </c>
      <c r="AM12" s="112">
        <v>87</v>
      </c>
      <c r="AN12" s="48">
        <f>IF(AM12&gt;=91, 4.00, IF(AM12&gt;=81, 3.50, IF(AM12&gt;=70, 3.00, IF(AM12&gt;=65, 2.50, IF(AM12&gt;=60, 2.00, IF(AM12&gt;=55, 1.50, IF(AM12&gt;=50, 1.00, 0.00)))))))</f>
      </c>
      <c r="AO12" s="49">
        <f>IF(AM12&gt;=91,"A",IF(AM12&gt;=81,"B+",IF(AM12&gt;=70,"B",IF(AM12&gt;=65,"C+",IF(AM12&gt;=60,"C",IF(AM12&gt;=55,"D+",IF(AM12&gt;=50,"D","F")))))))</f>
      </c>
      <c r="AP12" s="40">
        <f>ROUND((AE12*2+AH12*2+AK12*2+AN12*6)/12, 2)</f>
      </c>
      <c r="AQ12" s="48"/>
      <c r="AR12" s="49" t="str">
        <f>IF(AQ12&gt;90,"4.00",IF(AQ12&gt;80,"3.50",IF(AQ12&gt;69,"3.00",IF(AQ12&gt;64,"2.50",IF(AQ12&gt;59,"2.00",IF(AQ12&gt;54,"1.50",IF(AQ12&gt;49,"1.00","0.00")))))))</f>
        <v>0.00</v>
      </c>
      <c r="AS12" s="40" t="str">
        <f>IF(AQ12&gt;90,"A",IF(AQ12&gt;80,"B+",IF(AQ12&gt;69,"B",IF(AQ12&gt;64,"C+",IF(AQ12&gt;59,"C",IF(AQ12&gt;54,"D+",IF(AQ12&gt;49,"D",IF(AQ12&gt;=0,"F"))))))))</f>
        <v>F</v>
      </c>
      <c r="AT12" s="43"/>
      <c r="AU12" s="49" t="str">
        <f>IF(AT12&gt;90,"4.00",IF(AT12&gt;80,"3.50",IF(AT12&gt;69,"3.00",IF(AT12&gt;64,"2.50",IF(AT12&gt;59,"2.00",IF(AT12&gt;54,"1.50",IF(AT12&gt;49,"1.00","0.00")))))))</f>
        <v>0.00</v>
      </c>
      <c r="AV12" s="40" t="str">
        <f>IF(AT12&gt;90,"A",IF(AT12&gt;80,"B+",IF(AT12&gt;69,"B",IF(AT12&gt;64,"C+",IF(AT12&gt;59,"C",IF(AT12&gt;54,"D+",IF(AT12&gt;49,"D",IF(AT12&gt;=0,"F"))))))))</f>
        <v>F</v>
      </c>
      <c r="AW12" s="48"/>
      <c r="AX12" s="49" t="str">
        <f>IF(AW12&gt;90,"4.00",IF(AW12&gt;80,"3.50",IF(AW12&gt;69,"3.00",IF(AW12&gt;64,"2.50",IF(AW12&gt;59,"2.00",IF(AW12&gt;54,"1.50",IF(AW12&gt;49,"1.00","0.00")))))))</f>
        <v>0.00</v>
      </c>
      <c r="AY12" s="40" t="str">
        <f>IF(AW12&gt;90,"A",IF(AW12&gt;80,"B+",IF(AW12&gt;69,"B",IF(AW12&gt;64,"C+",IF(AW12&gt;59,"C",IF(AW12&gt;54,"D+",IF(AW12&gt;49,"D",IF(AW12&gt;=0,"F"))))))))</f>
        <v>F</v>
      </c>
      <c r="AZ12" s="135">
        <f>(AO12*2+AR12*2+AU12*2+AX12*9)/(2+2+2+9)</f>
        <v>0</v>
      </c>
      <c r="BA12" s="50">
        <f>(AC12+AZ12)/2</f>
        <v>0</v>
      </c>
      <c r="BB12" s="51">
        <f>RANK(BA12,$BA$7:BA41)</f>
        <v>1</v>
      </c>
      <c r="BC12" s="58"/>
      <c r="BD12" s="52"/>
      <c r="BE12" s="52"/>
      <c r="BF12" s="52"/>
      <c r="BG12" s="53"/>
      <c r="BH12" s="53"/>
      <c r="BI12" s="53"/>
      <c r="BJ12" s="53"/>
      <c r="BK12" s="53"/>
      <c r="BL12" s="53"/>
      <c r="BM12" s="53"/>
      <c r="BN12" s="53"/>
      <c r="BO12" s="53"/>
      <c r="BP12" s="53"/>
      <c r="BQ12" s="53"/>
      <c r="BR12" s="53"/>
      <c r="BS12" s="53"/>
      <c r="BT12" s="53"/>
      <c r="BU12" s="53"/>
      <c r="BV12" s="53"/>
      <c r="BW12" s="53"/>
      <c r="BX12" s="53"/>
      <c r="BY12" s="53"/>
      <c r="BZ12" s="53"/>
      <c r="CA12" s="53"/>
      <c r="CB12" s="53"/>
      <c r="CC12" s="53"/>
      <c r="CD12" s="53"/>
      <c r="CE12" s="53"/>
      <c r="CF12" s="53"/>
      <c r="CG12" s="53"/>
      <c r="CH12" s="53"/>
      <c r="CI12" s="53"/>
      <c r="CJ12" s="53"/>
      <c r="CK12" s="53"/>
      <c r="CL12" s="53"/>
      <c r="CM12" s="53"/>
      <c r="CN12" s="53"/>
      <c r="CO12" s="53"/>
      <c r="CP12" s="53"/>
      <c r="CQ12" s="53"/>
      <c r="CR12" s="53"/>
      <c r="CS12" s="53"/>
      <c r="CT12" s="53"/>
      <c r="CU12" s="53"/>
      <c r="CV12" s="53"/>
      <c r="CW12" s="53"/>
      <c r="CX12" s="53"/>
      <c r="CY12" s="53"/>
      <c r="CZ12" s="53"/>
      <c r="DA12" s="53"/>
      <c r="DB12" s="53"/>
      <c r="DC12" s="53"/>
      <c r="DD12" s="53"/>
      <c r="DE12" s="53"/>
      <c r="DF12" s="53"/>
      <c r="DG12" s="53"/>
      <c r="DH12" s="53"/>
      <c r="DI12" s="53"/>
      <c r="DJ12" s="53"/>
      <c r="DK12" s="53"/>
      <c r="DL12" s="53"/>
      <c r="DM12" s="53"/>
      <c r="DN12" s="53"/>
      <c r="DO12" s="53"/>
      <c r="DP12" s="53"/>
      <c r="DQ12" s="53"/>
      <c r="DR12" s="53"/>
      <c r="DS12" s="53"/>
      <c r="DT12" s="53"/>
      <c r="DU12" s="53"/>
      <c r="DV12" s="53"/>
      <c r="DW12" s="53"/>
      <c r="DX12" s="53"/>
      <c r="DY12" s="53"/>
      <c r="DZ12" s="53"/>
      <c r="EA12" s="53"/>
      <c r="EB12" s="53"/>
      <c r="EC12" s="53"/>
      <c r="ED12" s="53"/>
      <c r="EE12" s="53"/>
      <c r="EF12" s="53"/>
      <c r="EG12" s="53"/>
      <c r="EH12" s="53"/>
      <c r="EI12" s="53"/>
      <c r="EJ12" s="53"/>
      <c r="EK12" s="53"/>
      <c r="EL12" s="53"/>
      <c r="EM12" s="53"/>
      <c r="EN12" s="53"/>
      <c r="EO12" s="53"/>
      <c r="EP12" s="53"/>
      <c r="EQ12" s="53"/>
      <c r="ER12" s="53"/>
      <c r="ES12" s="53"/>
      <c r="ET12" s="53"/>
      <c r="EU12" s="53"/>
      <c r="EV12" s="53"/>
      <c r="EW12" s="53"/>
      <c r="EX12" s="53"/>
      <c r="EY12" s="53"/>
      <c r="EZ12" s="53"/>
      <c r="FA12" s="53"/>
      <c r="FB12" s="53"/>
      <c r="FC12" s="53"/>
      <c r="FD12" s="53"/>
      <c r="FE12" s="53"/>
      <c r="FF12" s="53"/>
      <c r="FG12" s="53"/>
      <c r="FH12" s="53"/>
      <c r="FI12" s="53"/>
      <c r="FJ12" s="53"/>
      <c r="FK12" s="53"/>
      <c r="FL12" s="53"/>
      <c r="FM12" s="53"/>
    </row>
    <row r="13" ht="20" customHeight="1" spans="1:169" s="39" customFormat="1" x14ac:dyDescent="0.25">
      <c r="A13" s="40">
        <v>7</v>
      </c>
      <c r="B13" s="40" t="s">
        <v>272</v>
      </c>
      <c r="C13" s="40" t="s">
        <v>51</v>
      </c>
      <c r="D13" s="40" t="s">
        <v>80</v>
      </c>
      <c r="E13" s="40" t="s">
        <v>81</v>
      </c>
      <c r="F13" s="40" t="s">
        <v>273</v>
      </c>
      <c r="G13" s="40" t="s">
        <v>83</v>
      </c>
      <c r="H13" s="111"/>
      <c r="I13" s="112"/>
      <c r="J13" s="40">
        <v>1</v>
      </c>
      <c r="K13" s="42">
        <v>83</v>
      </c>
      <c r="L13" s="40">
        <f>IF(K13&gt;=91, 4.00, IF(K13&gt;=81, 3.50, IF(K13&gt;=70, 3.00, IF(K13&gt;=65, 2.50, IF(K13&gt;=60, 2.00, IF(K13&gt;=55, 1.50, IF(K13&gt;=50, 1.00, 0.00)))))))</f>
      </c>
      <c r="M13" s="40">
        <f>IF(K13&gt;=91,"A",IF(K13&gt;=81,"B+",IF(K13&gt;=70,"B",IF(K13&gt;=65,"C+",IF(K13&gt;=60,"C",IF(K13&gt;=55,"D+",IF(K13&gt;=50,"D","F")))))))</f>
      </c>
      <c r="N13" s="42">
        <v>86</v>
      </c>
      <c r="O13" s="40">
        <f>IF(N13&gt;=91, 4.00, IF(N13&gt;=81, 3.50, IF(N13&gt;=70, 3.00, IF(N13&gt;=65, 2.50, IF(N13&gt;=60, 2.00, IF(N13&gt;=55, 1.50, IF(N13&gt;=50, 1.00, 0.00)))))))</f>
      </c>
      <c r="P13" s="40">
        <f>IF(N13&gt;=91,"A",IF(N13&gt;=81,"B+",IF(N13&gt;=70,"B",IF(N13&gt;=65,"C+",IF(N13&gt;=60,"C",IF(N13&gt;=55,"D+",IF(N13&gt;=50,"D","F")))))))</f>
      </c>
      <c r="Q13" s="42">
        <v>89</v>
      </c>
      <c r="R13" s="40">
        <f>IF(Q13&gt;=91, 4.00, IF(Q13&gt;=81, 3.50, IF(Q13&gt;=70, 3.00, IF(Q13&gt;=65, 2.50, IF(Q13&gt;=60, 2.00, IF(Q13&gt;=55, 1.50, IF(Q13&gt;=50, 1.00, 0.00)))))))</f>
      </c>
      <c r="S13" s="40">
        <f>IF(Q13&gt;=91,"A",IF(Q13&gt;=81,"B+",IF(Q13&gt;=70,"B",IF(Q13&gt;=65,"C+",IF(Q13&gt;=60,"C",IF(Q13&gt;=55,"D+",IF(Q13&gt;=50,"D","F")))))))</f>
      </c>
      <c r="T13" s="42">
        <v>92</v>
      </c>
      <c r="U13" s="40">
        <f>IF(T13&gt;=91, 4.00, IF(T13&gt;=81, 3.50, IF(T13&gt;=70, 3.00, IF(T13&gt;=65, 2.50, IF(T13&gt;=60, 2.00, IF(T13&gt;=55, 1.50, IF(T13&gt;=50, 1.00, 0.00)))))))</f>
      </c>
      <c r="V13" s="40">
        <f>IF(T13&gt;=91,"A",IF(T13&gt;=81,"B+",IF(T13&gt;=70,"B",IF(T13&gt;=65,"C+",IF(T13&gt;=60,"C",IF(T13&gt;=55,"D+",IF(T13&gt;=50,"D","F")))))))</f>
      </c>
      <c r="W13" s="42">
        <v>95</v>
      </c>
      <c r="X13" s="40">
        <f>IF(W13&gt;=91, 4.00, IF(W13&gt;=81, 3.50, IF(W13&gt;=70, 3.00, IF(W13&gt;=65, 2.50, IF(W13&gt;=60, 2.00, IF(W13&gt;=55, 1.50, IF(W13&gt;=50, 1.00, 0.00)))))))</f>
      </c>
      <c r="Y13" s="40">
        <f>IF(W13&gt;=91,"A",IF(W13&gt;=81,"B+",IF(W13&gt;=70,"B",IF(W13&gt;=65,"C+",IF(W13&gt;=60,"C",IF(W13&gt;=55,"D+",IF(W13&gt;=50,"D","F")))))))</f>
      </c>
      <c r="Z13" s="46">
        <v>77</v>
      </c>
      <c r="AA13" s="40">
        <f>IF(Z13&gt;=91, 4.00, IF(Z13&gt;=81, 3.50, IF(Z13&gt;=70, 3.00, IF(Z13&gt;=65, 2.50, IF(Z13&gt;=60, 2.00, IF(Z13&gt;=55, 1.50, IF(Z13&gt;=50, 1.00, 0.00)))))))</f>
      </c>
      <c r="AB13" s="40">
        <f>IF(Z13&gt;=91,"A",IF(Z13&gt;=81,"B+",IF(Z13&gt;=70,"B",IF(Z13&gt;=65,"C+",IF(Z13&gt;=60,"C",IF(Z13&gt;=55,"D+",IF(Z13&gt;=50,"D","F")))))))</f>
      </c>
      <c r="AC13" s="40">
        <f>ROUND((L13*2+O13*2+R13*2+U13*2+X13*2+AA13*1)/11, 2)</f>
      </c>
      <c r="AD13" s="47">
        <v>81</v>
      </c>
      <c r="AE13" s="40">
        <f>IF(AD13&gt;=91, 4.00, IF(AD13&gt;=81, 3.50, IF(AD13&gt;=70, 3.00, IF(AD13&gt;=65, 2.50, IF(AD13&gt;=60, 2.00, IF(AD13&gt;=55, 1.50, IF(AD13&gt;=50, 1.00, 0.00)))))))</f>
      </c>
      <c r="AF13" s="40">
        <f>IF(AD13&gt;=91,"A",IF(AD13&gt;=81,"B+",IF(AD13&gt;=70,"B",IF(AD13&gt;=65,"C+",IF(AD13&gt;=60,"C",IF(AD13&gt;=55,"D+",IF(AD13&gt;=50,"D","F")))))))</f>
      </c>
      <c r="AG13" s="40" t="s">
        <v>51</v>
      </c>
      <c r="AH13" s="40">
        <f>IF(AG13&gt;=91, 4.00, IF(AG13&gt;=81, 3.50, IF(AG13&gt;=70, 3.00, IF(AG13&gt;=65, 2.50, IF(AG13&gt;=60, 2.00, IF(AG13&gt;=55, 1.50, IF(AG13&gt;=50, 1.00, 0.00)))))))</f>
      </c>
      <c r="AI13" s="40">
        <f>IF(AG13&gt;=91,"A",IF(AG13&gt;=81,"B+",IF(AG13&gt;=70,"B",IF(AG13&gt;=65,"C+",IF(AG13&gt;=60,"C",IF(AG13&gt;=55,"D+",IF(AG13&gt;=50,"D","F")))))))</f>
      </c>
      <c r="AJ13" s="40" t="s">
        <v>273</v>
      </c>
      <c r="AK13" s="40">
        <f>IF(AJ13&gt;=91, 4.00, IF(AJ13&gt;=81, 3.50, IF(AJ13&gt;=70, 3.00, IF(AJ13&gt;=65, 2.50, IF(AJ13&gt;=60, 2.00, IF(AJ13&gt;=55, 1.50, IF(AJ13&gt;=50, 1.00, 0.00)))))))</f>
      </c>
      <c r="AL13" s="111">
        <f>IF(AJ13&gt;=91,"A",IF(AJ13&gt;=81,"B+",IF(AJ13&gt;=70,"B",IF(AJ13&gt;=65,"C+",IF(AJ13&gt;=60,"C",IF(AJ13&gt;=55,"D+",IF(AJ13&gt;=50,"D","F")))))))</f>
      </c>
      <c r="AM13" s="112">
        <v>90</v>
      </c>
      <c r="AN13" s="48">
        <f>IF(AM13&gt;=91, 4.00, IF(AM13&gt;=81, 3.50, IF(AM13&gt;=70, 3.00, IF(AM13&gt;=65, 2.50, IF(AM13&gt;=60, 2.00, IF(AM13&gt;=55, 1.50, IF(AM13&gt;=50, 1.00, 0.00)))))))</f>
      </c>
      <c r="AO13" s="49">
        <f>IF(AM13&gt;=91,"A",IF(AM13&gt;=81,"B+",IF(AM13&gt;=70,"B",IF(AM13&gt;=65,"C+",IF(AM13&gt;=60,"C",IF(AM13&gt;=55,"D+",IF(AM13&gt;=50,"D","F")))))))</f>
      </c>
      <c r="AP13" s="40">
        <f>ROUND((AE13*2+AH13*2+AK13*2+AN13*6)/12, 2)</f>
      </c>
      <c r="AQ13" s="48"/>
      <c r="AR13" s="49" t="str">
        <f>IF(AQ13&gt;90,"4.00",IF(AQ13&gt;80,"3.50",IF(AQ13&gt;69,"3.00",IF(AQ13&gt;64,"2.50",IF(AQ13&gt;59,"2.00",IF(AQ13&gt;54,"1.50",IF(AQ13&gt;49,"1.00","0.00")))))))</f>
        <v>0.00</v>
      </c>
      <c r="AS13" s="40" t="str">
        <f>IF(AQ13&gt;90,"A",IF(AQ13&gt;80,"B+",IF(AQ13&gt;69,"B",IF(AQ13&gt;64,"C+",IF(AQ13&gt;59,"C",IF(AQ13&gt;54,"D+",IF(AQ13&gt;49,"D",IF(AQ13&gt;=0,"F"))))))))</f>
        <v>F</v>
      </c>
      <c r="AT13" s="43"/>
      <c r="AU13" s="49" t="str">
        <f>IF(AT13&gt;90,"4.00",IF(AT13&gt;80,"3.50",IF(AT13&gt;69,"3.00",IF(AT13&gt;64,"2.50",IF(AT13&gt;59,"2.00",IF(AT13&gt;54,"1.50",IF(AT13&gt;49,"1.00","0.00")))))))</f>
        <v>0.00</v>
      </c>
      <c r="AV13" s="40" t="str">
        <f>IF(AT13&gt;90,"A",IF(AT13&gt;80,"B+",IF(AT13&gt;69,"B",IF(AT13&gt;64,"C+",IF(AT13&gt;59,"C",IF(AT13&gt;54,"D+",IF(AT13&gt;49,"D",IF(AT13&gt;=0,"F"))))))))</f>
        <v>F</v>
      </c>
      <c r="AW13" s="48"/>
      <c r="AX13" s="49" t="str">
        <f>IF(AW13&gt;90,"4.00",IF(AW13&gt;80,"3.50",IF(AW13&gt;69,"3.00",IF(AW13&gt;64,"2.50",IF(AW13&gt;59,"2.00",IF(AW13&gt;54,"1.50",IF(AW13&gt;49,"1.00","0.00")))))))</f>
        <v>0.00</v>
      </c>
      <c r="AY13" s="40" t="str">
        <f>IF(AW13&gt;90,"A",IF(AW13&gt;80,"B+",IF(AW13&gt;69,"B",IF(AW13&gt;64,"C+",IF(AW13&gt;59,"C",IF(AW13&gt;54,"D+",IF(AW13&gt;49,"D",IF(AW13&gt;=0,"F"))))))))</f>
        <v>F</v>
      </c>
      <c r="AZ13" s="135">
        <f>(AO13*2+AR13*2+AU13*2+AX13*9)/(2+2+2+9)</f>
        <v>0</v>
      </c>
      <c r="BA13" s="50">
        <f>(AC13+AZ13)/2</f>
        <v>0</v>
      </c>
      <c r="BB13" s="51">
        <f>RANK(BA13,$BA$7:BA42)</f>
        <v>1</v>
      </c>
      <c r="BC13" s="40"/>
      <c r="BD13" s="52"/>
      <c r="BE13" s="52"/>
      <c r="BF13" s="52"/>
      <c r="BG13" s="53"/>
      <c r="BH13" s="53"/>
      <c r="BI13" s="53"/>
      <c r="BJ13" s="53"/>
      <c r="BK13" s="53"/>
      <c r="BL13" s="53"/>
      <c r="BM13" s="53"/>
      <c r="BN13" s="53"/>
      <c r="BO13" s="53"/>
      <c r="BP13" s="53"/>
      <c r="BQ13" s="53"/>
      <c r="BR13" s="53"/>
      <c r="BS13" s="53"/>
      <c r="BT13" s="53"/>
      <c r="BU13" s="53"/>
      <c r="BV13" s="53"/>
      <c r="BW13" s="53"/>
      <c r="BX13" s="53"/>
      <c r="BY13" s="53"/>
      <c r="BZ13" s="53"/>
      <c r="CA13" s="53"/>
      <c r="CB13" s="53"/>
      <c r="CC13" s="53"/>
      <c r="CD13" s="53"/>
      <c r="CE13" s="53"/>
      <c r="CF13" s="53"/>
      <c r="CG13" s="53"/>
      <c r="CH13" s="53"/>
      <c r="CI13" s="53"/>
      <c r="CJ13" s="53"/>
      <c r="CK13" s="53"/>
      <c r="CL13" s="53"/>
      <c r="CM13" s="53"/>
      <c r="CN13" s="53"/>
      <c r="CO13" s="53"/>
      <c r="CP13" s="53"/>
      <c r="CQ13" s="53"/>
      <c r="CR13" s="53"/>
      <c r="CS13" s="53"/>
      <c r="CT13" s="53"/>
      <c r="CU13" s="53"/>
      <c r="CV13" s="53"/>
      <c r="CW13" s="53"/>
      <c r="CX13" s="53"/>
      <c r="CY13" s="53"/>
      <c r="CZ13" s="53"/>
      <c r="DA13" s="53"/>
      <c r="DB13" s="53"/>
      <c r="DC13" s="53"/>
      <c r="DD13" s="53"/>
      <c r="DE13" s="53"/>
      <c r="DF13" s="53"/>
      <c r="DG13" s="53"/>
      <c r="DH13" s="53"/>
      <c r="DI13" s="53"/>
      <c r="DJ13" s="53"/>
      <c r="DK13" s="53"/>
      <c r="DL13" s="53"/>
      <c r="DM13" s="53"/>
      <c r="DN13" s="53"/>
      <c r="DO13" s="53"/>
      <c r="DP13" s="53"/>
      <c r="DQ13" s="53"/>
      <c r="DR13" s="53"/>
      <c r="DS13" s="53"/>
      <c r="DT13" s="53"/>
      <c r="DU13" s="53"/>
      <c r="DV13" s="53"/>
      <c r="DW13" s="53"/>
      <c r="DX13" s="53"/>
      <c r="DY13" s="53"/>
      <c r="DZ13" s="53"/>
      <c r="EA13" s="53"/>
      <c r="EB13" s="53"/>
      <c r="EC13" s="53"/>
      <c r="ED13" s="53"/>
      <c r="EE13" s="53"/>
      <c r="EF13" s="53"/>
      <c r="EG13" s="53"/>
      <c r="EH13" s="53"/>
      <c r="EI13" s="53"/>
      <c r="EJ13" s="53"/>
      <c r="EK13" s="53"/>
      <c r="EL13" s="53"/>
      <c r="EM13" s="53"/>
      <c r="EN13" s="53"/>
      <c r="EO13" s="53"/>
      <c r="EP13" s="53"/>
      <c r="EQ13" s="53"/>
      <c r="ER13" s="53"/>
      <c r="ES13" s="53"/>
      <c r="ET13" s="53"/>
      <c r="EU13" s="53"/>
      <c r="EV13" s="53"/>
      <c r="EW13" s="53"/>
      <c r="EX13" s="53"/>
      <c r="EY13" s="53"/>
      <c r="EZ13" s="53"/>
      <c r="FA13" s="53"/>
      <c r="FB13" s="53"/>
      <c r="FC13" s="53"/>
      <c r="FD13" s="53"/>
      <c r="FE13" s="53"/>
      <c r="FF13" s="53"/>
      <c r="FG13" s="53"/>
      <c r="FH13" s="53"/>
      <c r="FI13" s="53"/>
      <c r="FJ13" s="53"/>
      <c r="FK13" s="53"/>
      <c r="FL13" s="53"/>
      <c r="FM13" s="53"/>
    </row>
    <row r="14" ht="20" customHeight="1" spans="1:169" s="39" customFormat="1" x14ac:dyDescent="0.25">
      <c r="A14" s="40">
        <v>8</v>
      </c>
      <c r="B14" s="40" t="s">
        <v>274</v>
      </c>
      <c r="C14" s="40" t="s">
        <v>51</v>
      </c>
      <c r="D14" s="40" t="s">
        <v>275</v>
      </c>
      <c r="E14" s="40" t="s">
        <v>276</v>
      </c>
      <c r="F14" s="40" t="s">
        <v>277</v>
      </c>
      <c r="G14" s="40" t="s">
        <v>90</v>
      </c>
      <c r="H14" s="44"/>
      <c r="I14" s="112"/>
      <c r="J14" s="40">
        <v>1</v>
      </c>
      <c r="K14" s="42">
        <v>86</v>
      </c>
      <c r="L14" s="40">
        <f>IF(K14&gt;=91, 4.00, IF(K14&gt;=81, 3.50, IF(K14&gt;=70, 3.00, IF(K14&gt;=65, 2.50, IF(K14&gt;=60, 2.00, IF(K14&gt;=55, 1.50, IF(K14&gt;=50, 1.00, 0.00)))))))</f>
      </c>
      <c r="M14" s="40">
        <f>IF(K14&gt;=91,"A",IF(K14&gt;=81,"B+",IF(K14&gt;=70,"B",IF(K14&gt;=65,"C+",IF(K14&gt;=60,"C",IF(K14&gt;=55,"D+",IF(K14&gt;=50,"D","F")))))))</f>
      </c>
      <c r="N14" s="42">
        <v>89</v>
      </c>
      <c r="O14" s="40">
        <f>IF(N14&gt;=91, 4.00, IF(N14&gt;=81, 3.50, IF(N14&gt;=70, 3.00, IF(N14&gt;=65, 2.50, IF(N14&gt;=60, 2.00, IF(N14&gt;=55, 1.50, IF(N14&gt;=50, 1.00, 0.00)))))))</f>
      </c>
      <c r="P14" s="40">
        <f>IF(N14&gt;=91,"A",IF(N14&gt;=81,"B+",IF(N14&gt;=70,"B",IF(N14&gt;=65,"C+",IF(N14&gt;=60,"C",IF(N14&gt;=55,"D+",IF(N14&gt;=50,"D","F")))))))</f>
      </c>
      <c r="Q14" s="42">
        <v>92</v>
      </c>
      <c r="R14" s="40">
        <f>IF(Q14&gt;=91, 4.00, IF(Q14&gt;=81, 3.50, IF(Q14&gt;=70, 3.00, IF(Q14&gt;=65, 2.50, IF(Q14&gt;=60, 2.00, IF(Q14&gt;=55, 1.50, IF(Q14&gt;=50, 1.00, 0.00)))))))</f>
      </c>
      <c r="S14" s="40">
        <f>IF(Q14&gt;=91,"A",IF(Q14&gt;=81,"B+",IF(Q14&gt;=70,"B",IF(Q14&gt;=65,"C+",IF(Q14&gt;=60,"C",IF(Q14&gt;=55,"D+",IF(Q14&gt;=50,"D","F")))))))</f>
      </c>
      <c r="T14" s="42">
        <v>95</v>
      </c>
      <c r="U14" s="40">
        <f>IF(T14&gt;=91, 4.00, IF(T14&gt;=81, 3.50, IF(T14&gt;=70, 3.00, IF(T14&gt;=65, 2.50, IF(T14&gt;=60, 2.00, IF(T14&gt;=55, 1.50, IF(T14&gt;=50, 1.00, 0.00)))))))</f>
      </c>
      <c r="V14" s="40">
        <f>IF(T14&gt;=91,"A",IF(T14&gt;=81,"B+",IF(T14&gt;=70,"B",IF(T14&gt;=65,"C+",IF(T14&gt;=60,"C",IF(T14&gt;=55,"D+",IF(T14&gt;=50,"D","F")))))))</f>
      </c>
      <c r="W14" s="42">
        <v>77</v>
      </c>
      <c r="X14" s="40">
        <f>IF(W14&gt;=91, 4.00, IF(W14&gt;=81, 3.50, IF(W14&gt;=70, 3.00, IF(W14&gt;=65, 2.50, IF(W14&gt;=60, 2.00, IF(W14&gt;=55, 1.50, IF(W14&gt;=50, 1.00, 0.00)))))))</f>
      </c>
      <c r="Y14" s="40">
        <f>IF(W14&gt;=91,"A",IF(W14&gt;=81,"B+",IF(W14&gt;=70,"B",IF(W14&gt;=65,"C+",IF(W14&gt;=60,"C",IF(W14&gt;=55,"D+",IF(W14&gt;=50,"D","F")))))))</f>
      </c>
      <c r="Z14" s="46">
        <v>80</v>
      </c>
      <c r="AA14" s="40">
        <f>IF(Z14&gt;=91, 4.00, IF(Z14&gt;=81, 3.50, IF(Z14&gt;=70, 3.00, IF(Z14&gt;=65, 2.50, IF(Z14&gt;=60, 2.00, IF(Z14&gt;=55, 1.50, IF(Z14&gt;=50, 1.00, 0.00)))))))</f>
      </c>
      <c r="AB14" s="40">
        <f>IF(Z14&gt;=91,"A",IF(Z14&gt;=81,"B+",IF(Z14&gt;=70,"B",IF(Z14&gt;=65,"C+",IF(Z14&gt;=60,"C",IF(Z14&gt;=55,"D+",IF(Z14&gt;=50,"D","F")))))))</f>
      </c>
      <c r="AC14" s="40">
        <f>ROUND((L14*2+O14*2+R14*2+U14*2+X14*2+AA14*1)/11, 2)</f>
      </c>
      <c r="AD14" s="47">
        <v>84</v>
      </c>
      <c r="AE14" s="40">
        <f>IF(AD14&gt;=91, 4.00, IF(AD14&gt;=81, 3.50, IF(AD14&gt;=70, 3.00, IF(AD14&gt;=65, 2.50, IF(AD14&gt;=60, 2.00, IF(AD14&gt;=55, 1.50, IF(AD14&gt;=50, 1.00, 0.00)))))))</f>
      </c>
      <c r="AF14" s="40">
        <f>IF(AD14&gt;=91,"A",IF(AD14&gt;=81,"B+",IF(AD14&gt;=70,"B",IF(AD14&gt;=65,"C+",IF(AD14&gt;=60,"C",IF(AD14&gt;=55,"D+",IF(AD14&gt;=50,"D","F")))))))</f>
      </c>
      <c r="AG14" s="40" t="s">
        <v>51</v>
      </c>
      <c r="AH14" s="40">
        <f>IF(AG14&gt;=91, 4.00, IF(AG14&gt;=81, 3.50, IF(AG14&gt;=70, 3.00, IF(AG14&gt;=65, 2.50, IF(AG14&gt;=60, 2.00, IF(AG14&gt;=55, 1.50, IF(AG14&gt;=50, 1.00, 0.00)))))))</f>
      </c>
      <c r="AI14" s="40">
        <f>IF(AG14&gt;=91,"A",IF(AG14&gt;=81,"B+",IF(AG14&gt;=70,"B",IF(AG14&gt;=65,"C+",IF(AG14&gt;=60,"C",IF(AG14&gt;=55,"D+",IF(AG14&gt;=50,"D","F")))))))</f>
      </c>
      <c r="AJ14" s="40" t="s">
        <v>277</v>
      </c>
      <c r="AK14" s="40">
        <f>IF(AJ14&gt;=91, 4.00, IF(AJ14&gt;=81, 3.50, IF(AJ14&gt;=70, 3.00, IF(AJ14&gt;=65, 2.50, IF(AJ14&gt;=60, 2.00, IF(AJ14&gt;=55, 1.50, IF(AJ14&gt;=50, 1.00, 0.00)))))))</f>
      </c>
      <c r="AL14" s="44">
        <f>IF(AJ14&gt;=91,"A",IF(AJ14&gt;=81,"B+",IF(AJ14&gt;=70,"B",IF(AJ14&gt;=65,"C+",IF(AJ14&gt;=60,"C",IF(AJ14&gt;=55,"D+",IF(AJ14&gt;=50,"D","F")))))))</f>
      </c>
      <c r="AM14" s="112">
        <v>93</v>
      </c>
      <c r="AN14" s="40">
        <f>IF(AM14&gt;=91, 4.00, IF(AM14&gt;=81, 3.50, IF(AM14&gt;=70, 3.00, IF(AM14&gt;=65, 2.50, IF(AM14&gt;=60, 2.00, IF(AM14&gt;=55, 1.50, IF(AM14&gt;=50, 1.00, 0.00)))))))</f>
      </c>
      <c r="AO14" s="49">
        <f>IF(AM14&gt;=91,"A",IF(AM14&gt;=81,"B+",IF(AM14&gt;=70,"B",IF(AM14&gt;=65,"C+",IF(AM14&gt;=60,"C",IF(AM14&gt;=55,"D+",IF(AM14&gt;=50,"D","F")))))))</f>
      </c>
      <c r="AP14" s="40">
        <f>ROUND((AE14*2+AH14*2+AK14*2+AN14*6)/12, 2)</f>
      </c>
      <c r="AQ14" s="48"/>
      <c r="AR14" s="49" t="str">
        <f>IF(AQ14&gt;90,"4.00",IF(AQ14&gt;80,"3.50",IF(AQ14&gt;69,"3.00",IF(AQ14&gt;64,"2.50",IF(AQ14&gt;59,"2.00",IF(AQ14&gt;54,"1.50",IF(AQ14&gt;49,"1.00","0.00")))))))</f>
        <v>0.00</v>
      </c>
      <c r="AS14" s="40" t="str">
        <f>IF(AQ14&gt;90,"A",IF(AQ14&gt;80,"B+",IF(AQ14&gt;69,"B",IF(AQ14&gt;64,"C+",IF(AQ14&gt;59,"C",IF(AQ14&gt;54,"D+",IF(AQ14&gt;49,"D",IF(AQ14&gt;=0,"F"))))))))</f>
        <v>F</v>
      </c>
      <c r="AT14" s="43"/>
      <c r="AU14" s="49" t="str">
        <f>IF(AT14&gt;90,"4.00",IF(AT14&gt;80,"3.50",IF(AT14&gt;69,"3.00",IF(AT14&gt;64,"2.50",IF(AT14&gt;59,"2.00",IF(AT14&gt;54,"1.50",IF(AT14&gt;49,"1.00","0.00")))))))</f>
        <v>0.00</v>
      </c>
      <c r="AV14" s="40" t="str">
        <f>IF(AT14&gt;90,"A",IF(AT14&gt;80,"B+",IF(AT14&gt;69,"B",IF(AT14&gt;64,"C+",IF(AT14&gt;59,"C",IF(AT14&gt;54,"D+",IF(AT14&gt;49,"D",IF(AT14&gt;=0,"F"))))))))</f>
        <v>F</v>
      </c>
      <c r="AW14" s="48"/>
      <c r="AX14" s="49" t="str">
        <f>IF(AW14&gt;90,"4.00",IF(AW14&gt;80,"3.50",IF(AW14&gt;69,"3.00",IF(AW14&gt;64,"2.50",IF(AW14&gt;59,"2.00",IF(AW14&gt;54,"1.50",IF(AW14&gt;49,"1.00","0.00")))))))</f>
        <v>0.00</v>
      </c>
      <c r="AY14" s="40" t="str">
        <f>IF(AW14&gt;90,"A",IF(AW14&gt;80,"B+",IF(AW14&gt;69,"B",IF(AW14&gt;64,"C+",IF(AW14&gt;59,"C",IF(AW14&gt;54,"D+",IF(AW14&gt;49,"D",IF(AW14&gt;=0,"F"))))))))</f>
        <v>F</v>
      </c>
      <c r="AZ14" s="135">
        <f>(AO14*2+AR14*2+AU14*2+AX14*9)/(2+2+2+9)</f>
        <v>0</v>
      </c>
      <c r="BA14" s="50">
        <f>(AC14+AZ14)/2</f>
        <v>0</v>
      </c>
      <c r="BB14" s="51">
        <f>RANK(BA14,$BA$7:BA43)</f>
        <v>1</v>
      </c>
      <c r="BC14" s="40"/>
      <c r="BD14" s="52"/>
      <c r="BE14" s="52"/>
      <c r="BF14" s="52"/>
      <c r="BG14" s="53"/>
      <c r="BH14" s="53"/>
      <c r="BI14" s="53"/>
      <c r="BJ14" s="53"/>
      <c r="BK14" s="53"/>
      <c r="BL14" s="53"/>
      <c r="BM14" s="53"/>
      <c r="BN14" s="53"/>
      <c r="BO14" s="53"/>
      <c r="BP14" s="53"/>
      <c r="BQ14" s="53"/>
      <c r="BR14" s="53"/>
      <c r="BS14" s="53"/>
      <c r="BT14" s="53"/>
      <c r="BU14" s="53"/>
      <c r="BV14" s="53"/>
      <c r="BW14" s="53"/>
      <c r="BX14" s="53"/>
      <c r="BY14" s="53"/>
      <c r="BZ14" s="53"/>
      <c r="CA14" s="53"/>
      <c r="CB14" s="53"/>
      <c r="CC14" s="53"/>
      <c r="CD14" s="53"/>
      <c r="CE14" s="53"/>
      <c r="CF14" s="53"/>
      <c r="CG14" s="53"/>
      <c r="CH14" s="53"/>
      <c r="CI14" s="53"/>
      <c r="CJ14" s="53"/>
      <c r="CK14" s="53"/>
      <c r="CL14" s="53"/>
      <c r="CM14" s="53"/>
      <c r="CN14" s="53"/>
      <c r="CO14" s="53"/>
      <c r="CP14" s="53"/>
      <c r="CQ14" s="53"/>
      <c r="CR14" s="53"/>
      <c r="CS14" s="53"/>
      <c r="CT14" s="53"/>
      <c r="CU14" s="53"/>
      <c r="CV14" s="53"/>
      <c r="CW14" s="53"/>
      <c r="CX14" s="53"/>
      <c r="CY14" s="53"/>
      <c r="CZ14" s="53"/>
      <c r="DA14" s="53"/>
      <c r="DB14" s="53"/>
      <c r="DC14" s="53"/>
      <c r="DD14" s="53"/>
      <c r="DE14" s="53"/>
      <c r="DF14" s="53"/>
      <c r="DG14" s="53"/>
      <c r="DH14" s="53"/>
      <c r="DI14" s="53"/>
      <c r="DJ14" s="53"/>
      <c r="DK14" s="53"/>
      <c r="DL14" s="53"/>
      <c r="DM14" s="53"/>
      <c r="DN14" s="53"/>
      <c r="DO14" s="53"/>
      <c r="DP14" s="53"/>
      <c r="DQ14" s="53"/>
      <c r="DR14" s="53"/>
      <c r="DS14" s="53"/>
      <c r="DT14" s="53"/>
      <c r="DU14" s="53"/>
      <c r="DV14" s="53"/>
      <c r="DW14" s="53"/>
      <c r="DX14" s="53"/>
      <c r="DY14" s="53"/>
      <c r="DZ14" s="53"/>
      <c r="EA14" s="53"/>
      <c r="EB14" s="53"/>
      <c r="EC14" s="53"/>
      <c r="ED14" s="53"/>
      <c r="EE14" s="53"/>
      <c r="EF14" s="53"/>
      <c r="EG14" s="53"/>
      <c r="EH14" s="53"/>
      <c r="EI14" s="53"/>
      <c r="EJ14" s="53"/>
      <c r="EK14" s="53"/>
      <c r="EL14" s="53"/>
      <c r="EM14" s="53"/>
      <c r="EN14" s="53"/>
      <c r="EO14" s="53"/>
      <c r="EP14" s="53"/>
      <c r="EQ14" s="53"/>
      <c r="ER14" s="53"/>
      <c r="ES14" s="53"/>
      <c r="ET14" s="53"/>
      <c r="EU14" s="53"/>
      <c r="EV14" s="53"/>
      <c r="EW14" s="53"/>
      <c r="EX14" s="53"/>
      <c r="EY14" s="53"/>
      <c r="EZ14" s="53"/>
      <c r="FA14" s="53"/>
      <c r="FB14" s="53"/>
      <c r="FC14" s="53"/>
      <c r="FD14" s="53"/>
      <c r="FE14" s="53"/>
      <c r="FF14" s="53"/>
      <c r="FG14" s="53"/>
      <c r="FH14" s="53"/>
      <c r="FI14" s="53"/>
      <c r="FJ14" s="53"/>
      <c r="FK14" s="53"/>
      <c r="FL14" s="53"/>
      <c r="FM14" s="53"/>
    </row>
    <row r="15" ht="20" customHeight="1" spans="1:169" s="39" customFormat="1" x14ac:dyDescent="0.25">
      <c r="A15" s="40">
        <v>9</v>
      </c>
      <c r="B15" s="40" t="s">
        <v>278</v>
      </c>
      <c r="C15" s="40" t="s">
        <v>43</v>
      </c>
      <c r="D15" s="40" t="s">
        <v>93</v>
      </c>
      <c r="E15" s="40" t="s">
        <v>94</v>
      </c>
      <c r="F15" s="40" t="s">
        <v>279</v>
      </c>
      <c r="G15" s="40" t="s">
        <v>96</v>
      </c>
      <c r="H15" s="44"/>
      <c r="I15" s="112"/>
      <c r="J15" s="40">
        <v>1</v>
      </c>
      <c r="K15" s="42">
        <v>89</v>
      </c>
      <c r="L15" s="40">
        <f>IF(K15&gt;=91, 4.00, IF(K15&gt;=81, 3.50, IF(K15&gt;=70, 3.00, IF(K15&gt;=65, 2.50, IF(K15&gt;=60, 2.00, IF(K15&gt;=55, 1.50, IF(K15&gt;=50, 1.00, 0.00)))))))</f>
      </c>
      <c r="M15" s="40">
        <f>IF(K15&gt;=91,"A",IF(K15&gt;=81,"B+",IF(K15&gt;=70,"B",IF(K15&gt;=65,"C+",IF(K15&gt;=60,"C",IF(K15&gt;=55,"D+",IF(K15&gt;=50,"D","F")))))))</f>
      </c>
      <c r="N15" s="42">
        <v>92</v>
      </c>
      <c r="O15" s="40">
        <f>IF(N15&gt;=91, 4.00, IF(N15&gt;=81, 3.50, IF(N15&gt;=70, 3.00, IF(N15&gt;=65, 2.50, IF(N15&gt;=60, 2.00, IF(N15&gt;=55, 1.50, IF(N15&gt;=50, 1.00, 0.00)))))))</f>
      </c>
      <c r="P15" s="40">
        <f>IF(N15&gt;=91,"A",IF(N15&gt;=81,"B+",IF(N15&gt;=70,"B",IF(N15&gt;=65,"C+",IF(N15&gt;=60,"C",IF(N15&gt;=55,"D+",IF(N15&gt;=50,"D","F")))))))</f>
      </c>
      <c r="Q15" s="42">
        <v>95</v>
      </c>
      <c r="R15" s="40">
        <f>IF(Q15&gt;=91, 4.00, IF(Q15&gt;=81, 3.50, IF(Q15&gt;=70, 3.00, IF(Q15&gt;=65, 2.50, IF(Q15&gt;=60, 2.00, IF(Q15&gt;=55, 1.50, IF(Q15&gt;=50, 1.00, 0.00)))))))</f>
      </c>
      <c r="S15" s="40">
        <f>IF(Q15&gt;=91,"A",IF(Q15&gt;=81,"B+",IF(Q15&gt;=70,"B",IF(Q15&gt;=65,"C+",IF(Q15&gt;=60,"C",IF(Q15&gt;=55,"D+",IF(Q15&gt;=50,"D","F")))))))</f>
      </c>
      <c r="T15" s="42">
        <v>77</v>
      </c>
      <c r="U15" s="40">
        <f>IF(T15&gt;=91, 4.00, IF(T15&gt;=81, 3.50, IF(T15&gt;=70, 3.00, IF(T15&gt;=65, 2.50, IF(T15&gt;=60, 2.00, IF(T15&gt;=55, 1.50, IF(T15&gt;=50, 1.00, 0.00)))))))</f>
      </c>
      <c r="V15" s="40">
        <f>IF(T15&gt;=91,"A",IF(T15&gt;=81,"B+",IF(T15&gt;=70,"B",IF(T15&gt;=65,"C+",IF(T15&gt;=60,"C",IF(T15&gt;=55,"D+",IF(T15&gt;=50,"D","F")))))))</f>
      </c>
      <c r="W15" s="42">
        <v>80</v>
      </c>
      <c r="X15" s="40">
        <f>IF(W15&gt;=91, 4.00, IF(W15&gt;=81, 3.50, IF(W15&gt;=70, 3.00, IF(W15&gt;=65, 2.50, IF(W15&gt;=60, 2.00, IF(W15&gt;=55, 1.50, IF(W15&gt;=50, 1.00, 0.00)))))))</f>
      </c>
      <c r="Y15" s="40">
        <f>IF(W15&gt;=91,"A",IF(W15&gt;=81,"B+",IF(W15&gt;=70,"B",IF(W15&gt;=65,"C+",IF(W15&gt;=60,"C",IF(W15&gt;=55,"D+",IF(W15&gt;=50,"D","F")))))))</f>
      </c>
      <c r="Z15" s="46">
        <v>83</v>
      </c>
      <c r="AA15" s="40">
        <f>IF(Z15&gt;=91, 4.00, IF(Z15&gt;=81, 3.50, IF(Z15&gt;=70, 3.00, IF(Z15&gt;=65, 2.50, IF(Z15&gt;=60, 2.00, IF(Z15&gt;=55, 1.50, IF(Z15&gt;=50, 1.00, 0.00)))))))</f>
      </c>
      <c r="AB15" s="40">
        <f>IF(Z15&gt;=91,"A",IF(Z15&gt;=81,"B+",IF(Z15&gt;=70,"B",IF(Z15&gt;=65,"C+",IF(Z15&gt;=60,"C",IF(Z15&gt;=55,"D+",IF(Z15&gt;=50,"D","F")))))))</f>
      </c>
      <c r="AC15" s="40">
        <f>ROUND((L15*2+O15*2+R15*2+U15*2+X15*2+AA15*1)/11, 2)</f>
      </c>
      <c r="AD15" s="47">
        <v>87</v>
      </c>
      <c r="AE15" s="40">
        <f>IF(AD15&gt;=91, 4.00, IF(AD15&gt;=81, 3.50, IF(AD15&gt;=70, 3.00, IF(AD15&gt;=65, 2.50, IF(AD15&gt;=60, 2.00, IF(AD15&gt;=55, 1.50, IF(AD15&gt;=50, 1.00, 0.00)))))))</f>
      </c>
      <c r="AF15" s="40">
        <f>IF(AD15&gt;=91,"A",IF(AD15&gt;=81,"B+",IF(AD15&gt;=70,"B",IF(AD15&gt;=65,"C+",IF(AD15&gt;=60,"C",IF(AD15&gt;=55,"D+",IF(AD15&gt;=50,"D","F")))))))</f>
      </c>
      <c r="AG15" s="40" t="s">
        <v>43</v>
      </c>
      <c r="AH15" s="40">
        <f>IF(AG15&gt;=91, 4.00, IF(AG15&gt;=81, 3.50, IF(AG15&gt;=70, 3.00, IF(AG15&gt;=65, 2.50, IF(AG15&gt;=60, 2.00, IF(AG15&gt;=55, 1.50, IF(AG15&gt;=50, 1.00, 0.00)))))))</f>
      </c>
      <c r="AI15" s="40">
        <f>IF(AG15&gt;=91,"A",IF(AG15&gt;=81,"B+",IF(AG15&gt;=70,"B",IF(AG15&gt;=65,"C+",IF(AG15&gt;=60,"C",IF(AG15&gt;=55,"D+",IF(AG15&gt;=50,"D","F")))))))</f>
      </c>
      <c r="AJ15" s="40" t="s">
        <v>279</v>
      </c>
      <c r="AK15" s="40">
        <f>IF(AJ15&gt;=91, 4.00, IF(AJ15&gt;=81, 3.50, IF(AJ15&gt;=70, 3.00, IF(AJ15&gt;=65, 2.50, IF(AJ15&gt;=60, 2.00, IF(AJ15&gt;=55, 1.50, IF(AJ15&gt;=50, 1.00, 0.00)))))))</f>
      </c>
      <c r="AL15" s="44">
        <f>IF(AJ15&gt;=91,"A",IF(AJ15&gt;=81,"B+",IF(AJ15&gt;=70,"B",IF(AJ15&gt;=65,"C+",IF(AJ15&gt;=60,"C",IF(AJ15&gt;=55,"D+",IF(AJ15&gt;=50,"D","F")))))))</f>
      </c>
      <c r="AM15" s="112">
        <v>75</v>
      </c>
      <c r="AN15" s="40">
        <f>IF(AM15&gt;=91, 4.00, IF(AM15&gt;=81, 3.50, IF(AM15&gt;=70, 3.00, IF(AM15&gt;=65, 2.50, IF(AM15&gt;=60, 2.00, IF(AM15&gt;=55, 1.50, IF(AM15&gt;=50, 1.00, 0.00)))))))</f>
      </c>
      <c r="AO15" s="49">
        <f>IF(AM15&gt;=91,"A",IF(AM15&gt;=81,"B+",IF(AM15&gt;=70,"B",IF(AM15&gt;=65,"C+",IF(AM15&gt;=60,"C",IF(AM15&gt;=55,"D+",IF(AM15&gt;=50,"D","F")))))))</f>
      </c>
      <c r="AP15" s="40">
        <f>ROUND((AE15*2+AH15*2+AK15*2+AN15*6)/12, 2)</f>
      </c>
      <c r="AQ15" s="48"/>
      <c r="AR15" s="49" t="str">
        <f>IF(AQ15&gt;90,"4.00",IF(AQ15&gt;80,"3.50",IF(AQ15&gt;69,"3.00",IF(AQ15&gt;64,"2.50",IF(AQ15&gt;59,"2.00",IF(AQ15&gt;54,"1.50",IF(AQ15&gt;49,"1.00","0.00")))))))</f>
        <v>0.00</v>
      </c>
      <c r="AS15" s="40" t="str">
        <f>IF(AQ15&gt;90,"A",IF(AQ15&gt;80,"B+",IF(AQ15&gt;69,"B",IF(AQ15&gt;64,"C+",IF(AQ15&gt;59,"C",IF(AQ15&gt;54,"D+",IF(AQ15&gt;49,"D",IF(AQ15&gt;=0,"F"))))))))</f>
        <v>F</v>
      </c>
      <c r="AT15" s="43"/>
      <c r="AU15" s="49" t="str">
        <f>IF(AT15&gt;90,"4.00",IF(AT15&gt;80,"3.50",IF(AT15&gt;69,"3.00",IF(AT15&gt;64,"2.50",IF(AT15&gt;59,"2.00",IF(AT15&gt;54,"1.50",IF(AT15&gt;49,"1.00","0.00")))))))</f>
        <v>0.00</v>
      </c>
      <c r="AV15" s="40" t="str">
        <f>IF(AT15&gt;90,"A",IF(AT15&gt;80,"B+",IF(AT15&gt;69,"B",IF(AT15&gt;64,"C+",IF(AT15&gt;59,"C",IF(AT15&gt;54,"D+",IF(AT15&gt;49,"D",IF(AT15&gt;=0,"F"))))))))</f>
        <v>F</v>
      </c>
      <c r="AW15" s="48"/>
      <c r="AX15" s="49" t="str">
        <f>IF(AW15&gt;90,"4.00",IF(AW15&gt;80,"3.50",IF(AW15&gt;69,"3.00",IF(AW15&gt;64,"2.50",IF(AW15&gt;59,"2.00",IF(AW15&gt;54,"1.50",IF(AW15&gt;49,"1.00","0.00")))))))</f>
        <v>0.00</v>
      </c>
      <c r="AY15" s="40" t="str">
        <f>IF(AW15&gt;90,"A",IF(AW15&gt;80,"B+",IF(AW15&gt;69,"B",IF(AW15&gt;64,"C+",IF(AW15&gt;59,"C",IF(AW15&gt;54,"D+",IF(AW15&gt;49,"D",IF(AW15&gt;=0,"F"))))))))</f>
        <v>F</v>
      </c>
      <c r="AZ15" s="135">
        <f>(AO15*2+AR15*2+AU15*2+AX15*9)/(2+2+2+9)</f>
        <v>0</v>
      </c>
      <c r="BA15" s="50">
        <f>(AC15+AZ15)/2</f>
        <v>0</v>
      </c>
      <c r="BB15" s="51">
        <f>RANK(BA15,$BA$7:BA44)</f>
        <v>1</v>
      </c>
      <c r="BC15" s="58"/>
      <c r="BD15" s="52"/>
      <c r="BE15" s="52"/>
      <c r="BF15" s="52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53"/>
      <c r="CQ15" s="53"/>
      <c r="CR15" s="53"/>
      <c r="CS15" s="53"/>
      <c r="CT15" s="53"/>
      <c r="CU15" s="53"/>
      <c r="CV15" s="53"/>
      <c r="CW15" s="53"/>
      <c r="CX15" s="53"/>
      <c r="CY15" s="53"/>
      <c r="CZ15" s="53"/>
      <c r="DA15" s="53"/>
      <c r="DB15" s="53"/>
      <c r="DC15" s="53"/>
      <c r="DD15" s="53"/>
      <c r="DE15" s="53"/>
      <c r="DF15" s="53"/>
      <c r="DG15" s="53"/>
      <c r="DH15" s="53"/>
      <c r="DI15" s="53"/>
      <c r="DJ15" s="53"/>
      <c r="DK15" s="53"/>
      <c r="DL15" s="53"/>
      <c r="DM15" s="53"/>
      <c r="DN15" s="53"/>
      <c r="DO15" s="53"/>
      <c r="DP15" s="53"/>
      <c r="DQ15" s="53"/>
      <c r="DR15" s="53"/>
      <c r="DS15" s="53"/>
      <c r="DT15" s="53"/>
      <c r="DU15" s="53"/>
      <c r="DV15" s="53"/>
      <c r="DW15" s="53"/>
      <c r="DX15" s="53"/>
      <c r="DY15" s="53"/>
      <c r="DZ15" s="53"/>
      <c r="EA15" s="53"/>
      <c r="EB15" s="53"/>
      <c r="EC15" s="53"/>
      <c r="ED15" s="53"/>
      <c r="EE15" s="53"/>
      <c r="EF15" s="53"/>
      <c r="EG15" s="53"/>
      <c r="EH15" s="53"/>
      <c r="EI15" s="53"/>
      <c r="EJ15" s="53"/>
      <c r="EK15" s="53"/>
      <c r="EL15" s="53"/>
      <c r="EM15" s="53"/>
      <c r="EN15" s="53"/>
      <c r="EO15" s="53"/>
      <c r="EP15" s="53"/>
      <c r="EQ15" s="53"/>
      <c r="ER15" s="53"/>
      <c r="ES15" s="53"/>
      <c r="ET15" s="53"/>
      <c r="EU15" s="53"/>
      <c r="EV15" s="53"/>
      <c r="EW15" s="53"/>
      <c r="EX15" s="53"/>
      <c r="EY15" s="53"/>
      <c r="EZ15" s="53"/>
      <c r="FA15" s="53"/>
      <c r="FB15" s="53"/>
      <c r="FC15" s="53"/>
      <c r="FD15" s="53"/>
      <c r="FE15" s="53"/>
      <c r="FF15" s="53"/>
      <c r="FG15" s="53"/>
      <c r="FH15" s="53"/>
      <c r="FI15" s="53"/>
      <c r="FJ15" s="53"/>
      <c r="FK15" s="53"/>
      <c r="FL15" s="53"/>
      <c r="FM15" s="53"/>
    </row>
    <row r="16" ht="20" customHeight="1" spans="1:169" s="39" customFormat="1" x14ac:dyDescent="0.25">
      <c r="A16" s="40">
        <v>10</v>
      </c>
      <c r="B16" s="40" t="s">
        <v>280</v>
      </c>
      <c r="C16" s="40" t="s">
        <v>43</v>
      </c>
      <c r="D16" s="40" t="s">
        <v>99</v>
      </c>
      <c r="E16" s="40" t="s">
        <v>100</v>
      </c>
      <c r="F16" s="40" t="s">
        <v>281</v>
      </c>
      <c r="G16" s="40" t="s">
        <v>102</v>
      </c>
      <c r="H16" s="111"/>
      <c r="I16" s="112"/>
      <c r="J16" s="40">
        <v>1</v>
      </c>
      <c r="K16" s="42">
        <v>92</v>
      </c>
      <c r="L16" s="40">
        <f>IF(K16&gt;=91, 4.00, IF(K16&gt;=81, 3.50, IF(K16&gt;=70, 3.00, IF(K16&gt;=65, 2.50, IF(K16&gt;=60, 2.00, IF(K16&gt;=55, 1.50, IF(K16&gt;=50, 1.00, 0.00)))))))</f>
      </c>
      <c r="M16" s="40">
        <f>IF(K16&gt;=91,"A",IF(K16&gt;=81,"B+",IF(K16&gt;=70,"B",IF(K16&gt;=65,"C+",IF(K16&gt;=60,"C",IF(K16&gt;=55,"D+",IF(K16&gt;=50,"D","F")))))))</f>
      </c>
      <c r="N16" s="42">
        <v>95</v>
      </c>
      <c r="O16" s="40">
        <f>IF(N16&gt;=91, 4.00, IF(N16&gt;=81, 3.50, IF(N16&gt;=70, 3.00, IF(N16&gt;=65, 2.50, IF(N16&gt;=60, 2.00, IF(N16&gt;=55, 1.50, IF(N16&gt;=50, 1.00, 0.00)))))))</f>
      </c>
      <c r="P16" s="40">
        <f>IF(N16&gt;=91,"A",IF(N16&gt;=81,"B+",IF(N16&gt;=70,"B",IF(N16&gt;=65,"C+",IF(N16&gt;=60,"C",IF(N16&gt;=55,"D+",IF(N16&gt;=50,"D","F")))))))</f>
      </c>
      <c r="Q16" s="42">
        <v>77</v>
      </c>
      <c r="R16" s="40">
        <f>IF(Q16&gt;=91, 4.00, IF(Q16&gt;=81, 3.50, IF(Q16&gt;=70, 3.00, IF(Q16&gt;=65, 2.50, IF(Q16&gt;=60, 2.00, IF(Q16&gt;=55, 1.50, IF(Q16&gt;=50, 1.00, 0.00)))))))</f>
      </c>
      <c r="S16" s="40">
        <f>IF(Q16&gt;=91,"A",IF(Q16&gt;=81,"B+",IF(Q16&gt;=70,"B",IF(Q16&gt;=65,"C+",IF(Q16&gt;=60,"C",IF(Q16&gt;=55,"D+",IF(Q16&gt;=50,"D","F")))))))</f>
      </c>
      <c r="T16" s="42">
        <v>80</v>
      </c>
      <c r="U16" s="40">
        <f>IF(T16&gt;=91, 4.00, IF(T16&gt;=81, 3.50, IF(T16&gt;=70, 3.00, IF(T16&gt;=65, 2.50, IF(T16&gt;=60, 2.00, IF(T16&gt;=55, 1.50, IF(T16&gt;=50, 1.00, 0.00)))))))</f>
      </c>
      <c r="V16" s="40">
        <f>IF(T16&gt;=91,"A",IF(T16&gt;=81,"B+",IF(T16&gt;=70,"B",IF(T16&gt;=65,"C+",IF(T16&gt;=60,"C",IF(T16&gt;=55,"D+",IF(T16&gt;=50,"D","F")))))))</f>
      </c>
      <c r="W16" s="42">
        <v>83</v>
      </c>
      <c r="X16" s="40">
        <f>IF(W16&gt;=91, 4.00, IF(W16&gt;=81, 3.50, IF(W16&gt;=70, 3.00, IF(W16&gt;=65, 2.50, IF(W16&gt;=60, 2.00, IF(W16&gt;=55, 1.50, IF(W16&gt;=50, 1.00, 0.00)))))))</f>
      </c>
      <c r="Y16" s="40">
        <f>IF(W16&gt;=91,"A",IF(W16&gt;=81,"B+",IF(W16&gt;=70,"B",IF(W16&gt;=65,"C+",IF(W16&gt;=60,"C",IF(W16&gt;=55,"D+",IF(W16&gt;=50,"D","F")))))))</f>
      </c>
      <c r="Z16" s="46">
        <v>86</v>
      </c>
      <c r="AA16" s="40">
        <f>IF(Z16&gt;=91, 4.00, IF(Z16&gt;=81, 3.50, IF(Z16&gt;=70, 3.00, IF(Z16&gt;=65, 2.50, IF(Z16&gt;=60, 2.00, IF(Z16&gt;=55, 1.50, IF(Z16&gt;=50, 1.00, 0.00)))))))</f>
      </c>
      <c r="AB16" s="40">
        <f>IF(Z16&gt;=91,"A",IF(Z16&gt;=81,"B+",IF(Z16&gt;=70,"B",IF(Z16&gt;=65,"C+",IF(Z16&gt;=60,"C",IF(Z16&gt;=55,"D+",IF(Z16&gt;=50,"D","F")))))))</f>
      </c>
      <c r="AC16" s="40">
        <f>ROUND((L16*2+O16*2+R16*2+U16*2+X16*2+AA16*1)/11, 2)</f>
      </c>
      <c r="AD16" s="47">
        <v>90</v>
      </c>
      <c r="AE16" s="40">
        <f>IF(AD16&gt;=91, 4.00, IF(AD16&gt;=81, 3.50, IF(AD16&gt;=70, 3.00, IF(AD16&gt;=65, 2.50, IF(AD16&gt;=60, 2.00, IF(AD16&gt;=55, 1.50, IF(AD16&gt;=50, 1.00, 0.00)))))))</f>
      </c>
      <c r="AF16" s="40">
        <f>IF(AD16&gt;=91,"A",IF(AD16&gt;=81,"B+",IF(AD16&gt;=70,"B",IF(AD16&gt;=65,"C+",IF(AD16&gt;=60,"C",IF(AD16&gt;=55,"D+",IF(AD16&gt;=50,"D","F")))))))</f>
      </c>
      <c r="AG16" s="40" t="s">
        <v>43</v>
      </c>
      <c r="AH16" s="40">
        <f>IF(AG16&gt;=91, 4.00, IF(AG16&gt;=81, 3.50, IF(AG16&gt;=70, 3.00, IF(AG16&gt;=65, 2.50, IF(AG16&gt;=60, 2.00, IF(AG16&gt;=55, 1.50, IF(AG16&gt;=50, 1.00, 0.00)))))))</f>
      </c>
      <c r="AI16" s="40">
        <f>IF(AG16&gt;=91,"A",IF(AG16&gt;=81,"B+",IF(AG16&gt;=70,"B",IF(AG16&gt;=65,"C+",IF(AG16&gt;=60,"C",IF(AG16&gt;=55,"D+",IF(AG16&gt;=50,"D","F")))))))</f>
      </c>
      <c r="AJ16" s="40" t="s">
        <v>281</v>
      </c>
      <c r="AK16" s="40">
        <f>IF(AJ16&gt;=91, 4.00, IF(AJ16&gt;=81, 3.50, IF(AJ16&gt;=70, 3.00, IF(AJ16&gt;=65, 2.50, IF(AJ16&gt;=60, 2.00, IF(AJ16&gt;=55, 1.50, IF(AJ16&gt;=50, 1.00, 0.00)))))))</f>
      </c>
      <c r="AL16" s="111">
        <f>IF(AJ16&gt;=91,"A",IF(AJ16&gt;=81,"B+",IF(AJ16&gt;=70,"B",IF(AJ16&gt;=65,"C+",IF(AJ16&gt;=60,"C",IF(AJ16&gt;=55,"D+",IF(AJ16&gt;=50,"D","F")))))))</f>
      </c>
      <c r="AM16" s="112">
        <v>78</v>
      </c>
      <c r="AN16" s="48">
        <f>IF(AM16&gt;=91, 4.00, IF(AM16&gt;=81, 3.50, IF(AM16&gt;=70, 3.00, IF(AM16&gt;=65, 2.50, IF(AM16&gt;=60, 2.00, IF(AM16&gt;=55, 1.50, IF(AM16&gt;=50, 1.00, 0.00)))))))</f>
      </c>
      <c r="AO16" s="49">
        <f>IF(AM16&gt;=91,"A",IF(AM16&gt;=81,"B+",IF(AM16&gt;=70,"B",IF(AM16&gt;=65,"C+",IF(AM16&gt;=60,"C",IF(AM16&gt;=55,"D+",IF(AM16&gt;=50,"D","F")))))))</f>
      </c>
      <c r="AP16" s="40">
        <f>ROUND((AE16*2+AH16*2+AK16*2+AN16*6)/12, 2)</f>
      </c>
      <c r="AQ16" s="48"/>
      <c r="AR16" s="49" t="str">
        <f>IF(AQ16&gt;90,"4.00",IF(AQ16&gt;80,"3.50",IF(AQ16&gt;69,"3.00",IF(AQ16&gt;64,"2.50",IF(AQ16&gt;59,"2.00",IF(AQ16&gt;54,"1.50",IF(AQ16&gt;49,"1.00","0.00")))))))</f>
        <v>0.00</v>
      </c>
      <c r="AS16" s="40" t="str">
        <f>IF(AQ16&gt;90,"A",IF(AQ16&gt;80,"B+",IF(AQ16&gt;69,"B",IF(AQ16&gt;64,"C+",IF(AQ16&gt;59,"C",IF(AQ16&gt;54,"D+",IF(AQ16&gt;49,"D",IF(AQ16&gt;=0,"F"))))))))</f>
        <v>F</v>
      </c>
      <c r="AT16" s="43"/>
      <c r="AU16" s="49" t="str">
        <f>IF(AT16&gt;90,"4.00",IF(AT16&gt;80,"3.50",IF(AT16&gt;69,"3.00",IF(AT16&gt;64,"2.50",IF(AT16&gt;59,"2.00",IF(AT16&gt;54,"1.50",IF(AT16&gt;49,"1.00","0.00")))))))</f>
        <v>0.00</v>
      </c>
      <c r="AV16" s="40" t="str">
        <f>IF(AT16&gt;90,"A",IF(AT16&gt;80,"B+",IF(AT16&gt;69,"B",IF(AT16&gt;64,"C+",IF(AT16&gt;59,"C",IF(AT16&gt;54,"D+",IF(AT16&gt;49,"D",IF(AT16&gt;=0,"F"))))))))</f>
        <v>F</v>
      </c>
      <c r="AW16" s="48"/>
      <c r="AX16" s="49" t="str">
        <f>IF(AW16&gt;90,"4.00",IF(AW16&gt;80,"3.50",IF(AW16&gt;69,"3.00",IF(AW16&gt;64,"2.50",IF(AW16&gt;59,"2.00",IF(AW16&gt;54,"1.50",IF(AW16&gt;49,"1.00","0.00")))))))</f>
        <v>0.00</v>
      </c>
      <c r="AY16" s="40" t="str">
        <f>IF(AW16&gt;90,"A",IF(AW16&gt;80,"B+",IF(AW16&gt;69,"B",IF(AW16&gt;64,"C+",IF(AW16&gt;59,"C",IF(AW16&gt;54,"D+",IF(AW16&gt;49,"D",IF(AW16&gt;=0,"F"))))))))</f>
        <v>F</v>
      </c>
      <c r="AZ16" s="135">
        <f>(AO16*2+AR16*2+AU16*2+AX16*9)/(2+2+2+9)</f>
        <v>0</v>
      </c>
      <c r="BA16" s="50">
        <f>(AC16+AZ16)/2</f>
        <v>0</v>
      </c>
      <c r="BB16" s="51">
        <f>RANK(BA16,$BA$7:BA45)</f>
        <v>1</v>
      </c>
      <c r="BC16" s="40"/>
      <c r="BD16" s="52"/>
      <c r="BE16" s="52"/>
      <c r="BF16" s="52"/>
      <c r="BG16" s="53"/>
      <c r="BH16" s="53"/>
      <c r="BI16" s="53"/>
      <c r="BJ16" s="53"/>
      <c r="BK16" s="53"/>
      <c r="BL16" s="53"/>
      <c r="BM16" s="53"/>
      <c r="BN16" s="53"/>
      <c r="BO16" s="53"/>
      <c r="BP16" s="53"/>
      <c r="BQ16" s="53"/>
      <c r="BR16" s="53"/>
      <c r="BS16" s="53"/>
      <c r="BT16" s="53"/>
      <c r="BU16" s="53"/>
      <c r="BV16" s="53"/>
      <c r="BW16" s="53"/>
      <c r="BX16" s="53"/>
      <c r="BY16" s="53"/>
      <c r="BZ16" s="53"/>
      <c r="CA16" s="53"/>
      <c r="CB16" s="53"/>
      <c r="CC16" s="53"/>
      <c r="CD16" s="53"/>
      <c r="CE16" s="53"/>
      <c r="CF16" s="53"/>
      <c r="CG16" s="53"/>
      <c r="CH16" s="53"/>
      <c r="CI16" s="53"/>
      <c r="CJ16" s="53"/>
      <c r="CK16" s="53"/>
      <c r="CL16" s="53"/>
      <c r="CM16" s="53"/>
      <c r="CN16" s="53"/>
      <c r="CO16" s="53"/>
      <c r="CP16" s="53"/>
      <c r="CQ16" s="53"/>
      <c r="CR16" s="53"/>
      <c r="CS16" s="53"/>
      <c r="CT16" s="53"/>
      <c r="CU16" s="53"/>
      <c r="CV16" s="53"/>
      <c r="CW16" s="53"/>
      <c r="CX16" s="53"/>
      <c r="CY16" s="53"/>
      <c r="CZ16" s="53"/>
      <c r="DA16" s="53"/>
      <c r="DB16" s="53"/>
      <c r="DC16" s="53"/>
      <c r="DD16" s="53"/>
      <c r="DE16" s="53"/>
      <c r="DF16" s="53"/>
      <c r="DG16" s="53"/>
      <c r="DH16" s="53"/>
      <c r="DI16" s="53"/>
      <c r="DJ16" s="53"/>
      <c r="DK16" s="53"/>
      <c r="DL16" s="53"/>
      <c r="DM16" s="53"/>
      <c r="DN16" s="53"/>
      <c r="DO16" s="53"/>
      <c r="DP16" s="53"/>
      <c r="DQ16" s="53"/>
      <c r="DR16" s="53"/>
      <c r="DS16" s="53"/>
      <c r="DT16" s="53"/>
      <c r="DU16" s="53"/>
      <c r="DV16" s="53"/>
      <c r="DW16" s="53"/>
      <c r="DX16" s="53"/>
      <c r="DY16" s="53"/>
      <c r="DZ16" s="53"/>
      <c r="EA16" s="53"/>
      <c r="EB16" s="53"/>
      <c r="EC16" s="53"/>
      <c r="ED16" s="53"/>
      <c r="EE16" s="53"/>
      <c r="EF16" s="53"/>
      <c r="EG16" s="53"/>
      <c r="EH16" s="53"/>
      <c r="EI16" s="53"/>
      <c r="EJ16" s="53"/>
      <c r="EK16" s="53"/>
      <c r="EL16" s="53"/>
      <c r="EM16" s="53"/>
      <c r="EN16" s="53"/>
      <c r="EO16" s="53"/>
      <c r="EP16" s="53"/>
      <c r="EQ16" s="53"/>
      <c r="ER16" s="53"/>
      <c r="ES16" s="53"/>
      <c r="ET16" s="53"/>
      <c r="EU16" s="53"/>
      <c r="EV16" s="53"/>
      <c r="EW16" s="53"/>
      <c r="EX16" s="53"/>
      <c r="EY16" s="53"/>
      <c r="EZ16" s="53"/>
      <c r="FA16" s="53"/>
      <c r="FB16" s="53"/>
      <c r="FC16" s="53"/>
      <c r="FD16" s="53"/>
      <c r="FE16" s="53"/>
      <c r="FF16" s="53"/>
      <c r="FG16" s="53"/>
      <c r="FH16" s="53"/>
      <c r="FI16" s="53"/>
      <c r="FJ16" s="53"/>
      <c r="FK16" s="53"/>
      <c r="FL16" s="53"/>
      <c r="FM16" s="53"/>
    </row>
    <row r="17" ht="20" customHeight="1" spans="1:169" s="39" customFormat="1" x14ac:dyDescent="0.25">
      <c r="A17" s="40">
        <v>11</v>
      </c>
      <c r="B17" s="40" t="s">
        <v>282</v>
      </c>
      <c r="C17" s="40" t="s">
        <v>51</v>
      </c>
      <c r="D17" s="40" t="s">
        <v>105</v>
      </c>
      <c r="E17" s="40" t="s">
        <v>106</v>
      </c>
      <c r="F17" s="40" t="s">
        <v>283</v>
      </c>
      <c r="G17" s="40" t="s">
        <v>284</v>
      </c>
      <c r="H17" s="111"/>
      <c r="I17" s="112"/>
      <c r="J17" s="40">
        <v>1</v>
      </c>
      <c r="K17" s="42">
        <v>95</v>
      </c>
      <c r="L17" s="40">
        <f>IF(K17&gt;=91, 4.00, IF(K17&gt;=81, 3.50, IF(K17&gt;=70, 3.00, IF(K17&gt;=65, 2.50, IF(K17&gt;=60, 2.00, IF(K17&gt;=55, 1.50, IF(K17&gt;=50, 1.00, 0.00)))))))</f>
      </c>
      <c r="M17" s="40">
        <f>IF(K17&gt;=91,"A",IF(K17&gt;=81,"B+",IF(K17&gt;=70,"B",IF(K17&gt;=65,"C+",IF(K17&gt;=60,"C",IF(K17&gt;=55,"D+",IF(K17&gt;=50,"D","F")))))))</f>
      </c>
      <c r="N17" s="42">
        <v>77</v>
      </c>
      <c r="O17" s="40">
        <f>IF(N17&gt;=91, 4.00, IF(N17&gt;=81, 3.50, IF(N17&gt;=70, 3.00, IF(N17&gt;=65, 2.50, IF(N17&gt;=60, 2.00, IF(N17&gt;=55, 1.50, IF(N17&gt;=50, 1.00, 0.00)))))))</f>
      </c>
      <c r="P17" s="40">
        <f>IF(N17&gt;=91,"A",IF(N17&gt;=81,"B+",IF(N17&gt;=70,"B",IF(N17&gt;=65,"C+",IF(N17&gt;=60,"C",IF(N17&gt;=55,"D+",IF(N17&gt;=50,"D","F")))))))</f>
      </c>
      <c r="Q17" s="42">
        <v>80</v>
      </c>
      <c r="R17" s="40">
        <f>IF(Q17&gt;=91, 4.00, IF(Q17&gt;=81, 3.50, IF(Q17&gt;=70, 3.00, IF(Q17&gt;=65, 2.50, IF(Q17&gt;=60, 2.00, IF(Q17&gt;=55, 1.50, IF(Q17&gt;=50, 1.00, 0.00)))))))</f>
      </c>
      <c r="S17" s="40">
        <f>IF(Q17&gt;=91,"A",IF(Q17&gt;=81,"B+",IF(Q17&gt;=70,"B",IF(Q17&gt;=65,"C+",IF(Q17&gt;=60,"C",IF(Q17&gt;=55,"D+",IF(Q17&gt;=50,"D","F")))))))</f>
      </c>
      <c r="T17" s="42">
        <v>83</v>
      </c>
      <c r="U17" s="40">
        <f>IF(T17&gt;=91, 4.00, IF(T17&gt;=81, 3.50, IF(T17&gt;=70, 3.00, IF(T17&gt;=65, 2.50, IF(T17&gt;=60, 2.00, IF(T17&gt;=55, 1.50, IF(T17&gt;=50, 1.00, 0.00)))))))</f>
      </c>
      <c r="V17" s="40">
        <f>IF(T17&gt;=91,"A",IF(T17&gt;=81,"B+",IF(T17&gt;=70,"B",IF(T17&gt;=65,"C+",IF(T17&gt;=60,"C",IF(T17&gt;=55,"D+",IF(T17&gt;=50,"D","F")))))))</f>
      </c>
      <c r="W17" s="42">
        <v>86</v>
      </c>
      <c r="X17" s="40">
        <f>IF(W17&gt;=91, 4.00, IF(W17&gt;=81, 3.50, IF(W17&gt;=70, 3.00, IF(W17&gt;=65, 2.50, IF(W17&gt;=60, 2.00, IF(W17&gt;=55, 1.50, IF(W17&gt;=50, 1.00, 0.00)))))))</f>
      </c>
      <c r="Y17" s="40">
        <f>IF(W17&gt;=91,"A",IF(W17&gt;=81,"B+",IF(W17&gt;=70,"B",IF(W17&gt;=65,"C+",IF(W17&gt;=60,"C",IF(W17&gt;=55,"D+",IF(W17&gt;=50,"D","F")))))))</f>
      </c>
      <c r="Z17" s="46">
        <v>89</v>
      </c>
      <c r="AA17" s="40">
        <f>IF(Z17&gt;=91, 4.00, IF(Z17&gt;=81, 3.50, IF(Z17&gt;=70, 3.00, IF(Z17&gt;=65, 2.50, IF(Z17&gt;=60, 2.00, IF(Z17&gt;=55, 1.50, IF(Z17&gt;=50, 1.00, 0.00)))))))</f>
      </c>
      <c r="AB17" s="40">
        <f>IF(Z17&gt;=91,"A",IF(Z17&gt;=81,"B+",IF(Z17&gt;=70,"B",IF(Z17&gt;=65,"C+",IF(Z17&gt;=60,"C",IF(Z17&gt;=55,"D+",IF(Z17&gt;=50,"D","F")))))))</f>
      </c>
      <c r="AC17" s="40">
        <f>ROUND((L17*2+O17*2+R17*2+U17*2+X17*2+AA17*1)/11, 2)</f>
      </c>
      <c r="AD17" s="47">
        <v>93</v>
      </c>
      <c r="AE17" s="40">
        <f>IF(AD17&gt;=91, 4.00, IF(AD17&gt;=81, 3.50, IF(AD17&gt;=70, 3.00, IF(AD17&gt;=65, 2.50, IF(AD17&gt;=60, 2.00, IF(AD17&gt;=55, 1.50, IF(AD17&gt;=50, 1.00, 0.00)))))))</f>
      </c>
      <c r="AF17" s="40">
        <f>IF(AD17&gt;=91,"A",IF(AD17&gt;=81,"B+",IF(AD17&gt;=70,"B",IF(AD17&gt;=65,"C+",IF(AD17&gt;=60,"C",IF(AD17&gt;=55,"D+",IF(AD17&gt;=50,"D","F")))))))</f>
      </c>
      <c r="AG17" s="40" t="s">
        <v>51</v>
      </c>
      <c r="AH17" s="40">
        <f>IF(AG17&gt;=91, 4.00, IF(AG17&gt;=81, 3.50, IF(AG17&gt;=70, 3.00, IF(AG17&gt;=65, 2.50, IF(AG17&gt;=60, 2.00, IF(AG17&gt;=55, 1.50, IF(AG17&gt;=50, 1.00, 0.00)))))))</f>
      </c>
      <c r="AI17" s="40">
        <f>IF(AG17&gt;=91,"A",IF(AG17&gt;=81,"B+",IF(AG17&gt;=70,"B",IF(AG17&gt;=65,"C+",IF(AG17&gt;=60,"C",IF(AG17&gt;=55,"D+",IF(AG17&gt;=50,"D","F")))))))</f>
      </c>
      <c r="AJ17" s="40" t="s">
        <v>283</v>
      </c>
      <c r="AK17" s="40">
        <f>IF(AJ17&gt;=91, 4.00, IF(AJ17&gt;=81, 3.50, IF(AJ17&gt;=70, 3.00, IF(AJ17&gt;=65, 2.50, IF(AJ17&gt;=60, 2.00, IF(AJ17&gt;=55, 1.50, IF(AJ17&gt;=50, 1.00, 0.00)))))))</f>
      </c>
      <c r="AL17" s="111">
        <f>IF(AJ17&gt;=91,"A",IF(AJ17&gt;=81,"B+",IF(AJ17&gt;=70,"B",IF(AJ17&gt;=65,"C+",IF(AJ17&gt;=60,"C",IF(AJ17&gt;=55,"D+",IF(AJ17&gt;=50,"D","F")))))))</f>
      </c>
      <c r="AM17" s="112">
        <v>81</v>
      </c>
      <c r="AN17" s="48">
        <f>IF(AM17&gt;=91, 4.00, IF(AM17&gt;=81, 3.50, IF(AM17&gt;=70, 3.00, IF(AM17&gt;=65, 2.50, IF(AM17&gt;=60, 2.00, IF(AM17&gt;=55, 1.50, IF(AM17&gt;=50, 1.00, 0.00)))))))</f>
      </c>
      <c r="AO17" s="49">
        <f>IF(AM17&gt;=91,"A",IF(AM17&gt;=81,"B+",IF(AM17&gt;=70,"B",IF(AM17&gt;=65,"C+",IF(AM17&gt;=60,"C",IF(AM17&gt;=55,"D+",IF(AM17&gt;=50,"D","F")))))))</f>
      </c>
      <c r="AP17" s="40">
        <f>ROUND((AE17*2+AH17*2+AK17*2+AN17*6)/12, 2)</f>
      </c>
      <c r="AQ17" s="48"/>
      <c r="AR17" s="49" t="str">
        <f>IF(AQ17&gt;90,"4.00",IF(AQ17&gt;80,"3.50",IF(AQ17&gt;69,"3.00",IF(AQ17&gt;64,"2.50",IF(AQ17&gt;59,"2.00",IF(AQ17&gt;54,"1.50",IF(AQ17&gt;49,"1.00","0.00")))))))</f>
        <v>0.00</v>
      </c>
      <c r="AS17" s="40" t="str">
        <f>IF(AQ17&gt;90,"A",IF(AQ17&gt;80,"B+",IF(AQ17&gt;69,"B",IF(AQ17&gt;64,"C+",IF(AQ17&gt;59,"C",IF(AQ17&gt;54,"D+",IF(AQ17&gt;49,"D",IF(AQ17&gt;=0,"F"))))))))</f>
        <v>F</v>
      </c>
      <c r="AT17" s="43"/>
      <c r="AU17" s="49" t="str">
        <f>IF(AT17&gt;90,"4.00",IF(AT17&gt;80,"3.50",IF(AT17&gt;69,"3.00",IF(AT17&gt;64,"2.50",IF(AT17&gt;59,"2.00",IF(AT17&gt;54,"1.50",IF(AT17&gt;49,"1.00","0.00")))))))</f>
        <v>0.00</v>
      </c>
      <c r="AV17" s="40" t="str">
        <f>IF(AT17&gt;90,"A",IF(AT17&gt;80,"B+",IF(AT17&gt;69,"B",IF(AT17&gt;64,"C+",IF(AT17&gt;59,"C",IF(AT17&gt;54,"D+",IF(AT17&gt;49,"D",IF(AT17&gt;=0,"F"))))))))</f>
        <v>F</v>
      </c>
      <c r="AW17" s="48"/>
      <c r="AX17" s="49" t="str">
        <f>IF(AW17&gt;90,"4.00",IF(AW17&gt;80,"3.50",IF(AW17&gt;69,"3.00",IF(AW17&gt;64,"2.50",IF(AW17&gt;59,"2.00",IF(AW17&gt;54,"1.50",IF(AW17&gt;49,"1.00","0.00")))))))</f>
        <v>0.00</v>
      </c>
      <c r="AY17" s="40" t="str">
        <f>IF(AW17&gt;90,"A",IF(AW17&gt;80,"B+",IF(AW17&gt;69,"B",IF(AW17&gt;64,"C+",IF(AW17&gt;59,"C",IF(AW17&gt;54,"D+",IF(AW17&gt;49,"D",IF(AW17&gt;=0,"F"))))))))</f>
        <v>F</v>
      </c>
      <c r="AZ17" s="135">
        <f>(AO17*2+AR17*2+AU17*2+AX17*9)/(2+2+2+9)</f>
        <v>0</v>
      </c>
      <c r="BA17" s="50">
        <f>(AC17+AZ17)/2</f>
        <v>0</v>
      </c>
      <c r="BB17" s="51">
        <f>RANK(BA17,$BA$7:BA46)</f>
        <v>1</v>
      </c>
      <c r="BC17" s="58"/>
      <c r="BD17" s="52"/>
      <c r="BE17" s="52"/>
      <c r="BF17" s="52"/>
      <c r="BG17" s="53"/>
      <c r="BH17" s="53"/>
      <c r="BI17" s="53"/>
      <c r="BJ17" s="53"/>
      <c r="BK17" s="53"/>
      <c r="BL17" s="53"/>
      <c r="BM17" s="53"/>
      <c r="BN17" s="53"/>
      <c r="BO17" s="53"/>
      <c r="BP17" s="53"/>
      <c r="BQ17" s="53"/>
      <c r="BR17" s="53"/>
      <c r="BS17" s="53"/>
      <c r="BT17" s="53"/>
      <c r="BU17" s="53"/>
      <c r="BV17" s="53"/>
      <c r="BW17" s="53"/>
      <c r="BX17" s="53"/>
      <c r="BY17" s="53"/>
      <c r="BZ17" s="53"/>
      <c r="CA17" s="53"/>
      <c r="CB17" s="53"/>
      <c r="CC17" s="53"/>
      <c r="CD17" s="53"/>
      <c r="CE17" s="53"/>
      <c r="CF17" s="53"/>
      <c r="CG17" s="53"/>
      <c r="CH17" s="53"/>
      <c r="CI17" s="53"/>
      <c r="CJ17" s="53"/>
      <c r="CK17" s="53"/>
      <c r="CL17" s="53"/>
      <c r="CM17" s="53"/>
      <c r="CN17" s="53"/>
      <c r="CO17" s="53"/>
      <c r="CP17" s="53"/>
      <c r="CQ17" s="53"/>
      <c r="CR17" s="53"/>
      <c r="CS17" s="53"/>
      <c r="CT17" s="53"/>
      <c r="CU17" s="53"/>
      <c r="CV17" s="53"/>
      <c r="CW17" s="53"/>
      <c r="CX17" s="53"/>
      <c r="CY17" s="53"/>
      <c r="CZ17" s="53"/>
      <c r="DA17" s="53"/>
      <c r="DB17" s="53"/>
      <c r="DC17" s="53"/>
      <c r="DD17" s="53"/>
      <c r="DE17" s="53"/>
      <c r="DF17" s="53"/>
      <c r="DG17" s="53"/>
      <c r="DH17" s="53"/>
      <c r="DI17" s="53"/>
      <c r="DJ17" s="53"/>
      <c r="DK17" s="53"/>
      <c r="DL17" s="53"/>
      <c r="DM17" s="53"/>
      <c r="DN17" s="53"/>
      <c r="DO17" s="53"/>
      <c r="DP17" s="53"/>
      <c r="DQ17" s="53"/>
      <c r="DR17" s="53"/>
      <c r="DS17" s="53"/>
      <c r="DT17" s="53"/>
      <c r="DU17" s="53"/>
      <c r="DV17" s="53"/>
      <c r="DW17" s="53"/>
      <c r="DX17" s="53"/>
      <c r="DY17" s="53"/>
      <c r="DZ17" s="53"/>
      <c r="EA17" s="53"/>
      <c r="EB17" s="53"/>
      <c r="EC17" s="53"/>
      <c r="ED17" s="53"/>
      <c r="EE17" s="53"/>
      <c r="EF17" s="53"/>
      <c r="EG17" s="53"/>
      <c r="EH17" s="53"/>
      <c r="EI17" s="53"/>
      <c r="EJ17" s="53"/>
      <c r="EK17" s="53"/>
      <c r="EL17" s="53"/>
      <c r="EM17" s="53"/>
      <c r="EN17" s="53"/>
      <c r="EO17" s="53"/>
      <c r="EP17" s="53"/>
      <c r="EQ17" s="53"/>
      <c r="ER17" s="53"/>
      <c r="ES17" s="53"/>
      <c r="ET17" s="53"/>
      <c r="EU17" s="53"/>
      <c r="EV17" s="53"/>
      <c r="EW17" s="53"/>
      <c r="EX17" s="53"/>
      <c r="EY17" s="53"/>
      <c r="EZ17" s="53"/>
      <c r="FA17" s="53"/>
      <c r="FB17" s="53"/>
      <c r="FC17" s="53"/>
      <c r="FD17" s="53"/>
      <c r="FE17" s="53"/>
      <c r="FF17" s="53"/>
      <c r="FG17" s="53"/>
      <c r="FH17" s="53"/>
      <c r="FI17" s="53"/>
      <c r="FJ17" s="53"/>
      <c r="FK17" s="53"/>
      <c r="FL17" s="53"/>
      <c r="FM17" s="53"/>
    </row>
    <row r="18" ht="20" customHeight="1" spans="1:169" s="39" customFormat="1" x14ac:dyDescent="0.25">
      <c r="A18" s="40">
        <v>12</v>
      </c>
      <c r="B18" s="40" t="s">
        <v>285</v>
      </c>
      <c r="C18" s="40" t="s">
        <v>43</v>
      </c>
      <c r="D18" s="40" t="s">
        <v>111</v>
      </c>
      <c r="E18" s="40" t="s">
        <v>112</v>
      </c>
      <c r="F18" s="40" t="s">
        <v>286</v>
      </c>
      <c r="G18" s="40" t="s">
        <v>114</v>
      </c>
      <c r="H18" s="111"/>
      <c r="I18" s="112"/>
      <c r="J18" s="40">
        <v>1</v>
      </c>
      <c r="K18" s="42">
        <v>77</v>
      </c>
      <c r="L18" s="40">
        <f>IF(K18&gt;=91, 4.00, IF(K18&gt;=81, 3.50, IF(K18&gt;=70, 3.00, IF(K18&gt;=65, 2.50, IF(K18&gt;=60, 2.00, IF(K18&gt;=55, 1.50, IF(K18&gt;=50, 1.00, 0.00)))))))</f>
      </c>
      <c r="M18" s="40">
        <f>IF(K18&gt;=91,"A",IF(K18&gt;=81,"B+",IF(K18&gt;=70,"B",IF(K18&gt;=65,"C+",IF(K18&gt;=60,"C",IF(K18&gt;=55,"D+",IF(K18&gt;=50,"D","F")))))))</f>
      </c>
      <c r="N18" s="42">
        <v>80</v>
      </c>
      <c r="O18" s="40">
        <f>IF(N18&gt;=91, 4.00, IF(N18&gt;=81, 3.50, IF(N18&gt;=70, 3.00, IF(N18&gt;=65, 2.50, IF(N18&gt;=60, 2.00, IF(N18&gt;=55, 1.50, IF(N18&gt;=50, 1.00, 0.00)))))))</f>
      </c>
      <c r="P18" s="40">
        <f>IF(N18&gt;=91,"A",IF(N18&gt;=81,"B+",IF(N18&gt;=70,"B",IF(N18&gt;=65,"C+",IF(N18&gt;=60,"C",IF(N18&gt;=55,"D+",IF(N18&gt;=50,"D","F")))))))</f>
      </c>
      <c r="Q18" s="42">
        <v>83</v>
      </c>
      <c r="R18" s="40">
        <f>IF(Q18&gt;=91, 4.00, IF(Q18&gt;=81, 3.50, IF(Q18&gt;=70, 3.00, IF(Q18&gt;=65, 2.50, IF(Q18&gt;=60, 2.00, IF(Q18&gt;=55, 1.50, IF(Q18&gt;=50, 1.00, 0.00)))))))</f>
      </c>
      <c r="S18" s="40">
        <f>IF(Q18&gt;=91,"A",IF(Q18&gt;=81,"B+",IF(Q18&gt;=70,"B",IF(Q18&gt;=65,"C+",IF(Q18&gt;=60,"C",IF(Q18&gt;=55,"D+",IF(Q18&gt;=50,"D","F")))))))</f>
      </c>
      <c r="T18" s="42">
        <v>86</v>
      </c>
      <c r="U18" s="40">
        <f>IF(T18&gt;=91, 4.00, IF(T18&gt;=81, 3.50, IF(T18&gt;=70, 3.00, IF(T18&gt;=65, 2.50, IF(T18&gt;=60, 2.00, IF(T18&gt;=55, 1.50, IF(T18&gt;=50, 1.00, 0.00)))))))</f>
      </c>
      <c r="V18" s="40">
        <f>IF(T18&gt;=91,"A",IF(T18&gt;=81,"B+",IF(T18&gt;=70,"B",IF(T18&gt;=65,"C+",IF(T18&gt;=60,"C",IF(T18&gt;=55,"D+",IF(T18&gt;=50,"D","F")))))))</f>
      </c>
      <c r="W18" s="42">
        <v>89</v>
      </c>
      <c r="X18" s="40">
        <f>IF(W18&gt;=91, 4.00, IF(W18&gt;=81, 3.50, IF(W18&gt;=70, 3.00, IF(W18&gt;=65, 2.50, IF(W18&gt;=60, 2.00, IF(W18&gt;=55, 1.50, IF(W18&gt;=50, 1.00, 0.00)))))))</f>
      </c>
      <c r="Y18" s="40">
        <f>IF(W18&gt;=91,"A",IF(W18&gt;=81,"B+",IF(W18&gt;=70,"B",IF(W18&gt;=65,"C+",IF(W18&gt;=60,"C",IF(W18&gt;=55,"D+",IF(W18&gt;=50,"D","F")))))))</f>
      </c>
      <c r="Z18" s="46">
        <v>92</v>
      </c>
      <c r="AA18" s="40">
        <f>IF(Z18&gt;=91, 4.00, IF(Z18&gt;=81, 3.50, IF(Z18&gt;=70, 3.00, IF(Z18&gt;=65, 2.50, IF(Z18&gt;=60, 2.00, IF(Z18&gt;=55, 1.50, IF(Z18&gt;=50, 1.00, 0.00)))))))</f>
      </c>
      <c r="AB18" s="40">
        <f>IF(Z18&gt;=91,"A",IF(Z18&gt;=81,"B+",IF(Z18&gt;=70,"B",IF(Z18&gt;=65,"C+",IF(Z18&gt;=60,"C",IF(Z18&gt;=55,"D+",IF(Z18&gt;=50,"D","F")))))))</f>
      </c>
      <c r="AC18" s="40">
        <f>ROUND((L18*2+O18*2+R18*2+U18*2+X18*2+AA18*1)/11, 2)</f>
      </c>
      <c r="AD18" s="47">
        <v>75</v>
      </c>
      <c r="AE18" s="40">
        <f>IF(AD18&gt;=91, 4.00, IF(AD18&gt;=81, 3.50, IF(AD18&gt;=70, 3.00, IF(AD18&gt;=65, 2.50, IF(AD18&gt;=60, 2.00, IF(AD18&gt;=55, 1.50, IF(AD18&gt;=50, 1.00, 0.00)))))))</f>
      </c>
      <c r="AF18" s="40">
        <f>IF(AD18&gt;=91,"A",IF(AD18&gt;=81,"B+",IF(AD18&gt;=70,"B",IF(AD18&gt;=65,"C+",IF(AD18&gt;=60,"C",IF(AD18&gt;=55,"D+",IF(AD18&gt;=50,"D","F")))))))</f>
      </c>
      <c r="AG18" s="40" t="s">
        <v>43</v>
      </c>
      <c r="AH18" s="40">
        <f>IF(AG18&gt;=91, 4.00, IF(AG18&gt;=81, 3.50, IF(AG18&gt;=70, 3.00, IF(AG18&gt;=65, 2.50, IF(AG18&gt;=60, 2.00, IF(AG18&gt;=55, 1.50, IF(AG18&gt;=50, 1.00, 0.00)))))))</f>
      </c>
      <c r="AI18" s="40">
        <f>IF(AG18&gt;=91,"A",IF(AG18&gt;=81,"B+",IF(AG18&gt;=70,"B",IF(AG18&gt;=65,"C+",IF(AG18&gt;=60,"C",IF(AG18&gt;=55,"D+",IF(AG18&gt;=50,"D","F")))))))</f>
      </c>
      <c r="AJ18" s="40" t="s">
        <v>286</v>
      </c>
      <c r="AK18" s="40">
        <f>IF(AJ18&gt;=91, 4.00, IF(AJ18&gt;=81, 3.50, IF(AJ18&gt;=70, 3.00, IF(AJ18&gt;=65, 2.50, IF(AJ18&gt;=60, 2.00, IF(AJ18&gt;=55, 1.50, IF(AJ18&gt;=50, 1.00, 0.00)))))))</f>
      </c>
      <c r="AL18" s="111">
        <f>IF(AJ18&gt;=91,"A",IF(AJ18&gt;=81,"B+",IF(AJ18&gt;=70,"B",IF(AJ18&gt;=65,"C+",IF(AJ18&gt;=60,"C",IF(AJ18&gt;=55,"D+",IF(AJ18&gt;=50,"D","F")))))))</f>
      </c>
      <c r="AM18" s="112">
        <v>84</v>
      </c>
      <c r="AN18" s="48">
        <f>IF(AM18&gt;=91, 4.00, IF(AM18&gt;=81, 3.50, IF(AM18&gt;=70, 3.00, IF(AM18&gt;=65, 2.50, IF(AM18&gt;=60, 2.00, IF(AM18&gt;=55, 1.50, IF(AM18&gt;=50, 1.00, 0.00)))))))</f>
      </c>
      <c r="AO18" s="49">
        <f>IF(AM18&gt;=91,"A",IF(AM18&gt;=81,"B+",IF(AM18&gt;=70,"B",IF(AM18&gt;=65,"C+",IF(AM18&gt;=60,"C",IF(AM18&gt;=55,"D+",IF(AM18&gt;=50,"D","F")))))))</f>
      </c>
      <c r="AP18" s="40">
        <f>ROUND((AE18*2+AH18*2+AK18*2+AN18*6)/12, 2)</f>
      </c>
      <c r="AQ18" s="48"/>
      <c r="AR18" s="49" t="str">
        <f>IF(AQ18&gt;90,"4.00",IF(AQ18&gt;80,"3.50",IF(AQ18&gt;69,"3.00",IF(AQ18&gt;64,"2.50",IF(AQ18&gt;59,"2.00",IF(AQ18&gt;54,"1.50",IF(AQ18&gt;49,"1.00","0.00")))))))</f>
        <v>0.00</v>
      </c>
      <c r="AS18" s="40" t="str">
        <f>IF(AQ18&gt;90,"A",IF(AQ18&gt;80,"B+",IF(AQ18&gt;69,"B",IF(AQ18&gt;64,"C+",IF(AQ18&gt;59,"C",IF(AQ18&gt;54,"D+",IF(AQ18&gt;49,"D",IF(AQ18&gt;=0,"F"))))))))</f>
        <v>F</v>
      </c>
      <c r="AT18" s="43"/>
      <c r="AU18" s="49" t="str">
        <f>IF(AT18&gt;90,"4.00",IF(AT18&gt;80,"3.50",IF(AT18&gt;69,"3.00",IF(AT18&gt;64,"2.50",IF(AT18&gt;59,"2.00",IF(AT18&gt;54,"1.50",IF(AT18&gt;49,"1.00","0.00")))))))</f>
        <v>0.00</v>
      </c>
      <c r="AV18" s="40" t="str">
        <f>IF(AT18&gt;90,"A",IF(AT18&gt;80,"B+",IF(AT18&gt;69,"B",IF(AT18&gt;64,"C+",IF(AT18&gt;59,"C",IF(AT18&gt;54,"D+",IF(AT18&gt;49,"D",IF(AT18&gt;=0,"F"))))))))</f>
        <v>F</v>
      </c>
      <c r="AW18" s="48"/>
      <c r="AX18" s="49" t="str">
        <f>IF(AW18&gt;90,"4.00",IF(AW18&gt;80,"3.50",IF(AW18&gt;69,"3.00",IF(AW18&gt;64,"2.50",IF(AW18&gt;59,"2.00",IF(AW18&gt;54,"1.50",IF(AW18&gt;49,"1.00","0.00")))))))</f>
        <v>0.00</v>
      </c>
      <c r="AY18" s="40" t="str">
        <f>IF(AW18&gt;90,"A",IF(AW18&gt;80,"B+",IF(AW18&gt;69,"B",IF(AW18&gt;64,"C+",IF(AW18&gt;59,"C",IF(AW18&gt;54,"D+",IF(AW18&gt;49,"D",IF(AW18&gt;=0,"F"))))))))</f>
        <v>F</v>
      </c>
      <c r="AZ18" s="135">
        <f>(AO18*2+AR18*2+AU18*2+AX18*9)/(2+2+2+9)</f>
        <v>0</v>
      </c>
      <c r="BA18" s="50">
        <f>(AC18+AZ18)/2</f>
        <v>0</v>
      </c>
      <c r="BB18" s="51">
        <f>RANK(BA18,$BA$7:BA47)</f>
        <v>1</v>
      </c>
      <c r="BC18" s="40"/>
      <c r="BD18" s="52"/>
      <c r="BE18" s="52"/>
      <c r="BF18" s="52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3"/>
      <c r="CG18" s="53"/>
      <c r="CH18" s="53"/>
      <c r="CI18" s="53"/>
      <c r="CJ18" s="53"/>
      <c r="CK18" s="53"/>
      <c r="CL18" s="53"/>
      <c r="CM18" s="53"/>
      <c r="CN18" s="53"/>
      <c r="CO18" s="53"/>
      <c r="CP18" s="53"/>
      <c r="CQ18" s="53"/>
      <c r="CR18" s="53"/>
      <c r="CS18" s="53"/>
      <c r="CT18" s="53"/>
      <c r="CU18" s="53"/>
      <c r="CV18" s="53"/>
      <c r="CW18" s="53"/>
      <c r="CX18" s="53"/>
      <c r="CY18" s="53"/>
      <c r="CZ18" s="53"/>
      <c r="DA18" s="53"/>
      <c r="DB18" s="53"/>
      <c r="DC18" s="53"/>
      <c r="DD18" s="53"/>
      <c r="DE18" s="53"/>
      <c r="DF18" s="53"/>
      <c r="DG18" s="53"/>
      <c r="DH18" s="53"/>
      <c r="DI18" s="53"/>
      <c r="DJ18" s="53"/>
      <c r="DK18" s="53"/>
      <c r="DL18" s="53"/>
      <c r="DM18" s="53"/>
      <c r="DN18" s="53"/>
      <c r="DO18" s="53"/>
      <c r="DP18" s="53"/>
      <c r="DQ18" s="53"/>
      <c r="DR18" s="53"/>
      <c r="DS18" s="53"/>
      <c r="DT18" s="53"/>
      <c r="DU18" s="53"/>
      <c r="DV18" s="53"/>
      <c r="DW18" s="53"/>
      <c r="DX18" s="53"/>
      <c r="DY18" s="53"/>
      <c r="DZ18" s="53"/>
      <c r="EA18" s="53"/>
      <c r="EB18" s="53"/>
      <c r="EC18" s="53"/>
      <c r="ED18" s="53"/>
      <c r="EE18" s="53"/>
      <c r="EF18" s="53"/>
      <c r="EG18" s="53"/>
      <c r="EH18" s="53"/>
      <c r="EI18" s="53"/>
      <c r="EJ18" s="53"/>
      <c r="EK18" s="53"/>
      <c r="EL18" s="53"/>
      <c r="EM18" s="53"/>
      <c r="EN18" s="53"/>
      <c r="EO18" s="53"/>
      <c r="EP18" s="53"/>
      <c r="EQ18" s="53"/>
      <c r="ER18" s="53"/>
      <c r="ES18" s="53"/>
      <c r="ET18" s="53"/>
      <c r="EU18" s="53"/>
      <c r="EV18" s="53"/>
      <c r="EW18" s="53"/>
      <c r="EX18" s="53"/>
      <c r="EY18" s="53"/>
      <c r="EZ18" s="53"/>
      <c r="FA18" s="53"/>
      <c r="FB18" s="53"/>
      <c r="FC18" s="53"/>
      <c r="FD18" s="53"/>
      <c r="FE18" s="53"/>
      <c r="FF18" s="53"/>
      <c r="FG18" s="53"/>
      <c r="FH18" s="53"/>
      <c r="FI18" s="53"/>
      <c r="FJ18" s="53"/>
      <c r="FK18" s="53"/>
      <c r="FL18" s="53"/>
      <c r="FM18" s="53"/>
    </row>
    <row r="19" ht="20" customHeight="1" spans="1:169" s="39" customFormat="1" x14ac:dyDescent="0.25">
      <c r="A19" s="40">
        <v>13</v>
      </c>
      <c r="B19" s="40" t="s">
        <v>287</v>
      </c>
      <c r="C19" s="40" t="s">
        <v>43</v>
      </c>
      <c r="D19" s="40" t="s">
        <v>118</v>
      </c>
      <c r="E19" s="40" t="s">
        <v>119</v>
      </c>
      <c r="F19" s="40" t="s">
        <v>288</v>
      </c>
      <c r="G19" s="40" t="s">
        <v>121</v>
      </c>
      <c r="H19" s="111"/>
      <c r="I19" s="112"/>
      <c r="J19" s="40">
        <v>1</v>
      </c>
      <c r="K19" s="42">
        <v>80</v>
      </c>
      <c r="L19" s="40">
        <f>IF(K19&gt;=91, 4.00, IF(K19&gt;=81, 3.50, IF(K19&gt;=70, 3.00, IF(K19&gt;=65, 2.50, IF(K19&gt;=60, 2.00, IF(K19&gt;=55, 1.50, IF(K19&gt;=50, 1.00, 0.00)))))))</f>
      </c>
      <c r="M19" s="40">
        <f>IF(K19&gt;=91,"A",IF(K19&gt;=81,"B+",IF(K19&gt;=70,"B",IF(K19&gt;=65,"C+",IF(K19&gt;=60,"C",IF(K19&gt;=55,"D+",IF(K19&gt;=50,"D","F")))))))</f>
      </c>
      <c r="N19" s="42">
        <v>83</v>
      </c>
      <c r="O19" s="40">
        <f>IF(N19&gt;=91, 4.00, IF(N19&gt;=81, 3.50, IF(N19&gt;=70, 3.00, IF(N19&gt;=65, 2.50, IF(N19&gt;=60, 2.00, IF(N19&gt;=55, 1.50, IF(N19&gt;=50, 1.00, 0.00)))))))</f>
      </c>
      <c r="P19" s="40">
        <f>IF(N19&gt;=91,"A",IF(N19&gt;=81,"B+",IF(N19&gt;=70,"B",IF(N19&gt;=65,"C+",IF(N19&gt;=60,"C",IF(N19&gt;=55,"D+",IF(N19&gt;=50,"D","F")))))))</f>
      </c>
      <c r="Q19" s="42">
        <v>86</v>
      </c>
      <c r="R19" s="40">
        <f>IF(Q19&gt;=91, 4.00, IF(Q19&gt;=81, 3.50, IF(Q19&gt;=70, 3.00, IF(Q19&gt;=65, 2.50, IF(Q19&gt;=60, 2.00, IF(Q19&gt;=55, 1.50, IF(Q19&gt;=50, 1.00, 0.00)))))))</f>
      </c>
      <c r="S19" s="40">
        <f>IF(Q19&gt;=91,"A",IF(Q19&gt;=81,"B+",IF(Q19&gt;=70,"B",IF(Q19&gt;=65,"C+",IF(Q19&gt;=60,"C",IF(Q19&gt;=55,"D+",IF(Q19&gt;=50,"D","F")))))))</f>
      </c>
      <c r="T19" s="42">
        <v>89</v>
      </c>
      <c r="U19" s="40">
        <f>IF(T19&gt;=91, 4.00, IF(T19&gt;=81, 3.50, IF(T19&gt;=70, 3.00, IF(T19&gt;=65, 2.50, IF(T19&gt;=60, 2.00, IF(T19&gt;=55, 1.50, IF(T19&gt;=50, 1.00, 0.00)))))))</f>
      </c>
      <c r="V19" s="40">
        <f>IF(T19&gt;=91,"A",IF(T19&gt;=81,"B+",IF(T19&gt;=70,"B",IF(T19&gt;=65,"C+",IF(T19&gt;=60,"C",IF(T19&gt;=55,"D+",IF(T19&gt;=50,"D","F")))))))</f>
      </c>
      <c r="W19" s="42">
        <v>92</v>
      </c>
      <c r="X19" s="40">
        <f>IF(W19&gt;=91, 4.00, IF(W19&gt;=81, 3.50, IF(W19&gt;=70, 3.00, IF(W19&gt;=65, 2.50, IF(W19&gt;=60, 2.00, IF(W19&gt;=55, 1.50, IF(W19&gt;=50, 1.00, 0.00)))))))</f>
      </c>
      <c r="Y19" s="40">
        <f>IF(W19&gt;=91,"A",IF(W19&gt;=81,"B+",IF(W19&gt;=70,"B",IF(W19&gt;=65,"C+",IF(W19&gt;=60,"C",IF(W19&gt;=55,"D+",IF(W19&gt;=50,"D","F")))))))</f>
      </c>
      <c r="Z19" s="46">
        <v>95</v>
      </c>
      <c r="AA19" s="40">
        <f>IF(Z19&gt;=91, 4.00, IF(Z19&gt;=81, 3.50, IF(Z19&gt;=70, 3.00, IF(Z19&gt;=65, 2.50, IF(Z19&gt;=60, 2.00, IF(Z19&gt;=55, 1.50, IF(Z19&gt;=50, 1.00, 0.00)))))))</f>
      </c>
      <c r="AB19" s="40">
        <f>IF(Z19&gt;=91,"A",IF(Z19&gt;=81,"B+",IF(Z19&gt;=70,"B",IF(Z19&gt;=65,"C+",IF(Z19&gt;=60,"C",IF(Z19&gt;=55,"D+",IF(Z19&gt;=50,"D","F")))))))</f>
      </c>
      <c r="AC19" s="40">
        <f>ROUND((L19*2+O19*2+R19*2+U19*2+X19*2+AA19*1)/11, 2)</f>
      </c>
      <c r="AD19" s="47">
        <v>78</v>
      </c>
      <c r="AE19" s="40">
        <f>IF(AD19&gt;=91, 4.00, IF(AD19&gt;=81, 3.50, IF(AD19&gt;=70, 3.00, IF(AD19&gt;=65, 2.50, IF(AD19&gt;=60, 2.00, IF(AD19&gt;=55, 1.50, IF(AD19&gt;=50, 1.00, 0.00)))))))</f>
      </c>
      <c r="AF19" s="40">
        <f>IF(AD19&gt;=91,"A",IF(AD19&gt;=81,"B+",IF(AD19&gt;=70,"B",IF(AD19&gt;=65,"C+",IF(AD19&gt;=60,"C",IF(AD19&gt;=55,"D+",IF(AD19&gt;=50,"D","F")))))))</f>
      </c>
      <c r="AG19" s="40" t="s">
        <v>43</v>
      </c>
      <c r="AH19" s="40">
        <f>IF(AG19&gt;=91, 4.00, IF(AG19&gt;=81, 3.50, IF(AG19&gt;=70, 3.00, IF(AG19&gt;=65, 2.50, IF(AG19&gt;=60, 2.00, IF(AG19&gt;=55, 1.50, IF(AG19&gt;=50, 1.00, 0.00)))))))</f>
      </c>
      <c r="AI19" s="40">
        <f>IF(AG19&gt;=91,"A",IF(AG19&gt;=81,"B+",IF(AG19&gt;=70,"B",IF(AG19&gt;=65,"C+",IF(AG19&gt;=60,"C",IF(AG19&gt;=55,"D+",IF(AG19&gt;=50,"D","F")))))))</f>
      </c>
      <c r="AJ19" s="40" t="s">
        <v>288</v>
      </c>
      <c r="AK19" s="40">
        <f>IF(AJ19&gt;=91, 4.00, IF(AJ19&gt;=81, 3.50, IF(AJ19&gt;=70, 3.00, IF(AJ19&gt;=65, 2.50, IF(AJ19&gt;=60, 2.00, IF(AJ19&gt;=55, 1.50, IF(AJ19&gt;=50, 1.00, 0.00)))))))</f>
      </c>
      <c r="AL19" s="111">
        <f>IF(AJ19&gt;=91,"A",IF(AJ19&gt;=81,"B+",IF(AJ19&gt;=70,"B",IF(AJ19&gt;=65,"C+",IF(AJ19&gt;=60,"C",IF(AJ19&gt;=55,"D+",IF(AJ19&gt;=50,"D","F")))))))</f>
      </c>
      <c r="AM19" s="112">
        <v>87</v>
      </c>
      <c r="AN19" s="48">
        <f>IF(AM19&gt;=91, 4.00, IF(AM19&gt;=81, 3.50, IF(AM19&gt;=70, 3.00, IF(AM19&gt;=65, 2.50, IF(AM19&gt;=60, 2.00, IF(AM19&gt;=55, 1.50, IF(AM19&gt;=50, 1.00, 0.00)))))))</f>
      </c>
      <c r="AO19" s="49">
        <f>IF(AM19&gt;=91,"A",IF(AM19&gt;=81,"B+",IF(AM19&gt;=70,"B",IF(AM19&gt;=65,"C+",IF(AM19&gt;=60,"C",IF(AM19&gt;=55,"D+",IF(AM19&gt;=50,"D","F")))))))</f>
      </c>
      <c r="AP19" s="40">
        <f>ROUND((AE19*2+AH19*2+AK19*2+AN19*6)/12, 2)</f>
      </c>
      <c r="AQ19" s="48"/>
      <c r="AR19" s="49" t="str">
        <f>IF(AQ19&gt;90,"4.00",IF(AQ19&gt;80,"3.50",IF(AQ19&gt;69,"3.00",IF(AQ19&gt;64,"2.50",IF(AQ19&gt;59,"2.00",IF(AQ19&gt;54,"1.50",IF(AQ19&gt;49,"1.00","0.00")))))))</f>
        <v>0.00</v>
      </c>
      <c r="AS19" s="40" t="str">
        <f>IF(AQ19&gt;90,"A",IF(AQ19&gt;80,"B+",IF(AQ19&gt;69,"B",IF(AQ19&gt;64,"C+",IF(AQ19&gt;59,"C",IF(AQ19&gt;54,"D+",IF(AQ19&gt;49,"D",IF(AQ19&gt;=0,"F"))))))))</f>
        <v>F</v>
      </c>
      <c r="AT19" s="43"/>
      <c r="AU19" s="49" t="str">
        <f>IF(AT19&gt;90,"4.00",IF(AT19&gt;80,"3.50",IF(AT19&gt;69,"3.00",IF(AT19&gt;64,"2.50",IF(AT19&gt;59,"2.00",IF(AT19&gt;54,"1.50",IF(AT19&gt;49,"1.00","0.00")))))))</f>
        <v>0.00</v>
      </c>
      <c r="AV19" s="40" t="str">
        <f>IF(AT19&gt;90,"A",IF(AT19&gt;80,"B+",IF(AT19&gt;69,"B",IF(AT19&gt;64,"C+",IF(AT19&gt;59,"C",IF(AT19&gt;54,"D+",IF(AT19&gt;49,"D",IF(AT19&gt;=0,"F"))))))))</f>
        <v>F</v>
      </c>
      <c r="AW19" s="48"/>
      <c r="AX19" s="49" t="str">
        <f>IF(AW19&gt;90,"4.00",IF(AW19&gt;80,"3.50",IF(AW19&gt;69,"3.00",IF(AW19&gt;64,"2.50",IF(AW19&gt;59,"2.00",IF(AW19&gt;54,"1.50",IF(AW19&gt;49,"1.00","0.00")))))))</f>
        <v>0.00</v>
      </c>
      <c r="AY19" s="40" t="str">
        <f>IF(AW19&gt;90,"A",IF(AW19&gt;80,"B+",IF(AW19&gt;69,"B",IF(AW19&gt;64,"C+",IF(AW19&gt;59,"C",IF(AW19&gt;54,"D+",IF(AW19&gt;49,"D",IF(AW19&gt;=0,"F"))))))))</f>
        <v>F</v>
      </c>
      <c r="AZ19" s="135">
        <f>(AO19*2+AR19*2+AU19*2+AX19*9)/(2+2+2+9)</f>
        <v>0</v>
      </c>
      <c r="BA19" s="50">
        <f>(AC19+AZ19)/2</f>
        <v>0</v>
      </c>
      <c r="BB19" s="51">
        <f>RANK(BA19,$BA$7:BA48)</f>
        <v>1</v>
      </c>
      <c r="BC19" s="40"/>
      <c r="BD19" s="52"/>
      <c r="BE19" s="52"/>
      <c r="BF19" s="52"/>
      <c r="BG19" s="53"/>
      <c r="BH19" s="53"/>
      <c r="BI19" s="53"/>
      <c r="BJ19" s="53"/>
      <c r="BK19" s="53"/>
      <c r="BL19" s="53"/>
      <c r="BM19" s="53"/>
      <c r="BN19" s="53"/>
      <c r="BO19" s="53"/>
      <c r="BP19" s="53"/>
      <c r="BQ19" s="53"/>
      <c r="BR19" s="53"/>
      <c r="BS19" s="53"/>
      <c r="BT19" s="53"/>
      <c r="BU19" s="53"/>
      <c r="BV19" s="53"/>
      <c r="BW19" s="53"/>
      <c r="BX19" s="53"/>
      <c r="BY19" s="53"/>
      <c r="BZ19" s="53"/>
      <c r="CA19" s="53"/>
      <c r="CB19" s="53"/>
      <c r="CC19" s="53"/>
      <c r="CD19" s="53"/>
      <c r="CE19" s="53"/>
      <c r="CF19" s="53"/>
      <c r="CG19" s="53"/>
      <c r="CH19" s="53"/>
      <c r="CI19" s="53"/>
      <c r="CJ19" s="53"/>
      <c r="CK19" s="53"/>
      <c r="CL19" s="53"/>
      <c r="CM19" s="53"/>
      <c r="CN19" s="53"/>
      <c r="CO19" s="53"/>
      <c r="CP19" s="53"/>
      <c r="CQ19" s="53"/>
      <c r="CR19" s="53"/>
      <c r="CS19" s="53"/>
      <c r="CT19" s="53"/>
      <c r="CU19" s="53"/>
      <c r="CV19" s="53"/>
      <c r="CW19" s="53"/>
      <c r="CX19" s="53"/>
      <c r="CY19" s="53"/>
      <c r="CZ19" s="53"/>
      <c r="DA19" s="53"/>
      <c r="DB19" s="53"/>
      <c r="DC19" s="53"/>
      <c r="DD19" s="53"/>
      <c r="DE19" s="53"/>
      <c r="DF19" s="53"/>
      <c r="DG19" s="53"/>
      <c r="DH19" s="53"/>
      <c r="DI19" s="53"/>
      <c r="DJ19" s="53"/>
      <c r="DK19" s="53"/>
      <c r="DL19" s="53"/>
      <c r="DM19" s="53"/>
      <c r="DN19" s="53"/>
      <c r="DO19" s="53"/>
      <c r="DP19" s="53"/>
      <c r="DQ19" s="53"/>
      <c r="DR19" s="53"/>
      <c r="DS19" s="53"/>
      <c r="DT19" s="53"/>
      <c r="DU19" s="53"/>
      <c r="DV19" s="53"/>
      <c r="DW19" s="53"/>
      <c r="DX19" s="53"/>
      <c r="DY19" s="53"/>
      <c r="DZ19" s="53"/>
      <c r="EA19" s="53"/>
      <c r="EB19" s="53"/>
      <c r="EC19" s="53"/>
      <c r="ED19" s="53"/>
      <c r="EE19" s="53"/>
      <c r="EF19" s="53"/>
      <c r="EG19" s="53"/>
      <c r="EH19" s="53"/>
      <c r="EI19" s="53"/>
      <c r="EJ19" s="53"/>
      <c r="EK19" s="53"/>
      <c r="EL19" s="53"/>
      <c r="EM19" s="53"/>
      <c r="EN19" s="53"/>
      <c r="EO19" s="53"/>
      <c r="EP19" s="53"/>
      <c r="EQ19" s="53"/>
      <c r="ER19" s="53"/>
      <c r="ES19" s="53"/>
      <c r="ET19" s="53"/>
      <c r="EU19" s="53"/>
      <c r="EV19" s="53"/>
      <c r="EW19" s="53"/>
      <c r="EX19" s="53"/>
      <c r="EY19" s="53"/>
      <c r="EZ19" s="53"/>
      <c r="FA19" s="53"/>
      <c r="FB19" s="53"/>
      <c r="FC19" s="53"/>
      <c r="FD19" s="53"/>
      <c r="FE19" s="53"/>
      <c r="FF19" s="53"/>
      <c r="FG19" s="53"/>
      <c r="FH19" s="53"/>
      <c r="FI19" s="53"/>
      <c r="FJ19" s="53"/>
      <c r="FK19" s="53"/>
      <c r="FL19" s="53"/>
      <c r="FM19" s="53"/>
    </row>
    <row r="20" ht="20" customHeight="1" spans="1:169" s="39" customFormat="1" x14ac:dyDescent="0.25">
      <c r="A20" s="40">
        <v>14</v>
      </c>
      <c r="B20" s="40" t="s">
        <v>289</v>
      </c>
      <c r="C20" s="40" t="s">
        <v>43</v>
      </c>
      <c r="D20" s="40" t="s">
        <v>124</v>
      </c>
      <c r="E20" s="40" t="s">
        <v>125</v>
      </c>
      <c r="F20" s="40" t="s">
        <v>290</v>
      </c>
      <c r="G20" s="40" t="s">
        <v>127</v>
      </c>
      <c r="H20" s="44"/>
      <c r="I20" s="112"/>
      <c r="J20" s="40">
        <v>1</v>
      </c>
      <c r="K20" s="42">
        <v>83</v>
      </c>
      <c r="L20" s="40">
        <f>IF(K20&gt;=91, 4.00, IF(K20&gt;=81, 3.50, IF(K20&gt;=70, 3.00, IF(K20&gt;=65, 2.50, IF(K20&gt;=60, 2.00, IF(K20&gt;=55, 1.50, IF(K20&gt;=50, 1.00, 0.00)))))))</f>
      </c>
      <c r="M20" s="40">
        <f>IF(K20&gt;=91,"A",IF(K20&gt;=81,"B+",IF(K20&gt;=70,"B",IF(K20&gt;=65,"C+",IF(K20&gt;=60,"C",IF(K20&gt;=55,"D+",IF(K20&gt;=50,"D","F")))))))</f>
      </c>
      <c r="N20" s="42">
        <v>86</v>
      </c>
      <c r="O20" s="40">
        <f>IF(N20&gt;=91, 4.00, IF(N20&gt;=81, 3.50, IF(N20&gt;=70, 3.00, IF(N20&gt;=65, 2.50, IF(N20&gt;=60, 2.00, IF(N20&gt;=55, 1.50, IF(N20&gt;=50, 1.00, 0.00)))))))</f>
      </c>
      <c r="P20" s="40">
        <f>IF(N20&gt;=91,"A",IF(N20&gt;=81,"B+",IF(N20&gt;=70,"B",IF(N20&gt;=65,"C+",IF(N20&gt;=60,"C",IF(N20&gt;=55,"D+",IF(N20&gt;=50,"D","F")))))))</f>
      </c>
      <c r="Q20" s="42">
        <v>89</v>
      </c>
      <c r="R20" s="40">
        <f>IF(Q20&gt;=91, 4.00, IF(Q20&gt;=81, 3.50, IF(Q20&gt;=70, 3.00, IF(Q20&gt;=65, 2.50, IF(Q20&gt;=60, 2.00, IF(Q20&gt;=55, 1.50, IF(Q20&gt;=50, 1.00, 0.00)))))))</f>
      </c>
      <c r="S20" s="40">
        <f>IF(Q20&gt;=91,"A",IF(Q20&gt;=81,"B+",IF(Q20&gt;=70,"B",IF(Q20&gt;=65,"C+",IF(Q20&gt;=60,"C",IF(Q20&gt;=55,"D+",IF(Q20&gt;=50,"D","F")))))))</f>
      </c>
      <c r="T20" s="42">
        <v>92</v>
      </c>
      <c r="U20" s="40">
        <f>IF(T20&gt;=91, 4.00, IF(T20&gt;=81, 3.50, IF(T20&gt;=70, 3.00, IF(T20&gt;=65, 2.50, IF(T20&gt;=60, 2.00, IF(T20&gt;=55, 1.50, IF(T20&gt;=50, 1.00, 0.00)))))))</f>
      </c>
      <c r="V20" s="40">
        <f>IF(T20&gt;=91,"A",IF(T20&gt;=81,"B+",IF(T20&gt;=70,"B",IF(T20&gt;=65,"C+",IF(T20&gt;=60,"C",IF(T20&gt;=55,"D+",IF(T20&gt;=50,"D","F")))))))</f>
      </c>
      <c r="W20" s="42">
        <v>95</v>
      </c>
      <c r="X20" s="40">
        <f>IF(W20&gt;=91, 4.00, IF(W20&gt;=81, 3.50, IF(W20&gt;=70, 3.00, IF(W20&gt;=65, 2.50, IF(W20&gt;=60, 2.00, IF(W20&gt;=55, 1.50, IF(W20&gt;=50, 1.00, 0.00)))))))</f>
      </c>
      <c r="Y20" s="40">
        <f>IF(W20&gt;=91,"A",IF(W20&gt;=81,"B+",IF(W20&gt;=70,"B",IF(W20&gt;=65,"C+",IF(W20&gt;=60,"C",IF(W20&gt;=55,"D+",IF(W20&gt;=50,"D","F")))))))</f>
      </c>
      <c r="Z20" s="46">
        <v>77</v>
      </c>
      <c r="AA20" s="40">
        <f>IF(Z20&gt;=91, 4.00, IF(Z20&gt;=81, 3.50, IF(Z20&gt;=70, 3.00, IF(Z20&gt;=65, 2.50, IF(Z20&gt;=60, 2.00, IF(Z20&gt;=55, 1.50, IF(Z20&gt;=50, 1.00, 0.00)))))))</f>
      </c>
      <c r="AB20" s="40">
        <f>IF(Z20&gt;=91,"A",IF(Z20&gt;=81,"B+",IF(Z20&gt;=70,"B",IF(Z20&gt;=65,"C+",IF(Z20&gt;=60,"C",IF(Z20&gt;=55,"D+",IF(Z20&gt;=50,"D","F")))))))</f>
      </c>
      <c r="AC20" s="40">
        <f>ROUND((L20*2+O20*2+R20*2+U20*2+X20*2+AA20*1)/11, 2)</f>
      </c>
      <c r="AD20" s="47">
        <v>81</v>
      </c>
      <c r="AE20" s="40">
        <f>IF(AD20&gt;=91, 4.00, IF(AD20&gt;=81, 3.50, IF(AD20&gt;=70, 3.00, IF(AD20&gt;=65, 2.50, IF(AD20&gt;=60, 2.00, IF(AD20&gt;=55, 1.50, IF(AD20&gt;=50, 1.00, 0.00)))))))</f>
      </c>
      <c r="AF20" s="40">
        <f>IF(AD20&gt;=91,"A",IF(AD20&gt;=81,"B+",IF(AD20&gt;=70,"B",IF(AD20&gt;=65,"C+",IF(AD20&gt;=60,"C",IF(AD20&gt;=55,"D+",IF(AD20&gt;=50,"D","F")))))))</f>
      </c>
      <c r="AG20" s="40" t="s">
        <v>43</v>
      </c>
      <c r="AH20" s="40">
        <f>IF(AG20&gt;=91, 4.00, IF(AG20&gt;=81, 3.50, IF(AG20&gt;=70, 3.00, IF(AG20&gt;=65, 2.50, IF(AG20&gt;=60, 2.00, IF(AG20&gt;=55, 1.50, IF(AG20&gt;=50, 1.00, 0.00)))))))</f>
      </c>
      <c r="AI20" s="40">
        <f>IF(AG20&gt;=91,"A",IF(AG20&gt;=81,"B+",IF(AG20&gt;=70,"B",IF(AG20&gt;=65,"C+",IF(AG20&gt;=60,"C",IF(AG20&gt;=55,"D+",IF(AG20&gt;=50,"D","F")))))))</f>
      </c>
      <c r="AJ20" s="40" t="s">
        <v>290</v>
      </c>
      <c r="AK20" s="40">
        <f>IF(AJ20&gt;=91, 4.00, IF(AJ20&gt;=81, 3.50, IF(AJ20&gt;=70, 3.00, IF(AJ20&gt;=65, 2.50, IF(AJ20&gt;=60, 2.00, IF(AJ20&gt;=55, 1.50, IF(AJ20&gt;=50, 1.00, 0.00)))))))</f>
      </c>
      <c r="AL20" s="44">
        <f>IF(AJ20&gt;=91,"A",IF(AJ20&gt;=81,"B+",IF(AJ20&gt;=70,"B",IF(AJ20&gt;=65,"C+",IF(AJ20&gt;=60,"C",IF(AJ20&gt;=55,"D+",IF(AJ20&gt;=50,"D","F")))))))</f>
      </c>
      <c r="AM20" s="112">
        <v>90</v>
      </c>
      <c r="AN20" s="48">
        <f>IF(AM20&gt;=91, 4.00, IF(AM20&gt;=81, 3.50, IF(AM20&gt;=70, 3.00, IF(AM20&gt;=65, 2.50, IF(AM20&gt;=60, 2.00, IF(AM20&gt;=55, 1.50, IF(AM20&gt;=50, 1.00, 0.00)))))))</f>
      </c>
      <c r="AO20" s="49">
        <f>IF(AM20&gt;=91,"A",IF(AM20&gt;=81,"B+",IF(AM20&gt;=70,"B",IF(AM20&gt;=65,"C+",IF(AM20&gt;=60,"C",IF(AM20&gt;=55,"D+",IF(AM20&gt;=50,"D","F")))))))</f>
      </c>
      <c r="AP20" s="40">
        <f>ROUND((AE20*2+AH20*2+AK20*2+AN20*6)/12, 2)</f>
      </c>
      <c r="AQ20" s="48"/>
      <c r="AR20" s="49" t="str">
        <f>IF(AQ20&gt;90,"4.00",IF(AQ20&gt;80,"3.50",IF(AQ20&gt;69,"3.00",IF(AQ20&gt;64,"2.50",IF(AQ20&gt;59,"2.00",IF(AQ20&gt;54,"1.50",IF(AQ20&gt;49,"1.00","0.00")))))))</f>
        <v>0.00</v>
      </c>
      <c r="AS20" s="40" t="str">
        <f>IF(AQ20&gt;90,"A",IF(AQ20&gt;80,"B+",IF(AQ20&gt;69,"B",IF(AQ20&gt;64,"C+",IF(AQ20&gt;59,"C",IF(AQ20&gt;54,"D+",IF(AQ20&gt;49,"D",IF(AQ20&gt;=0,"F"))))))))</f>
        <v>F</v>
      </c>
      <c r="AT20" s="43"/>
      <c r="AU20" s="49" t="str">
        <f>IF(AT20&gt;90,"4.00",IF(AT20&gt;80,"3.50",IF(AT20&gt;69,"3.00",IF(AT20&gt;64,"2.50",IF(AT20&gt;59,"2.00",IF(AT20&gt;54,"1.50",IF(AT20&gt;49,"1.00","0.00")))))))</f>
        <v>0.00</v>
      </c>
      <c r="AV20" s="40" t="str">
        <f>IF(AT20&gt;90,"A",IF(AT20&gt;80,"B+",IF(AT20&gt;69,"B",IF(AT20&gt;64,"C+",IF(AT20&gt;59,"C",IF(AT20&gt;54,"D+",IF(AT20&gt;49,"D",IF(AT20&gt;=0,"F"))))))))</f>
        <v>F</v>
      </c>
      <c r="AW20" s="48"/>
      <c r="AX20" s="49" t="str">
        <f>IF(AW20&gt;90,"4.00",IF(AW20&gt;80,"3.50",IF(AW20&gt;69,"3.00",IF(AW20&gt;64,"2.50",IF(AW20&gt;59,"2.00",IF(AW20&gt;54,"1.50",IF(AW20&gt;49,"1.00","0.00")))))))</f>
        <v>0.00</v>
      </c>
      <c r="AY20" s="40" t="str">
        <f>IF(AW20&gt;90,"A",IF(AW20&gt;80,"B+",IF(AW20&gt;69,"B",IF(AW20&gt;64,"C+",IF(AW20&gt;59,"C",IF(AW20&gt;54,"D+",IF(AW20&gt;49,"D",IF(AW20&gt;=0,"F"))))))))</f>
        <v>F</v>
      </c>
      <c r="AZ20" s="135">
        <f>(AO20*2+AR20*2+AU20*2+AX20*9)/(2+2+2+9)</f>
        <v>0</v>
      </c>
      <c r="BA20" s="50">
        <f>(AC20+AZ20)/2</f>
        <v>0</v>
      </c>
      <c r="BB20" s="51">
        <f>RANK(BA20,$BA$7:BA49)</f>
        <v>1</v>
      </c>
      <c r="BC20" s="58"/>
      <c r="BD20" s="52"/>
      <c r="BE20" s="52"/>
      <c r="BF20" s="52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53"/>
      <c r="BZ20" s="53"/>
      <c r="CA20" s="53"/>
      <c r="CB20" s="53"/>
      <c r="CC20" s="53"/>
      <c r="CD20" s="53"/>
      <c r="CE20" s="53"/>
      <c r="CF20" s="53"/>
      <c r="CG20" s="53"/>
      <c r="CH20" s="53"/>
      <c r="CI20" s="53"/>
      <c r="CJ20" s="53"/>
      <c r="CK20" s="53"/>
      <c r="CL20" s="53"/>
      <c r="CM20" s="53"/>
      <c r="CN20" s="53"/>
      <c r="CO20" s="53"/>
      <c r="CP20" s="53"/>
      <c r="CQ20" s="53"/>
      <c r="CR20" s="53"/>
      <c r="CS20" s="53"/>
      <c r="CT20" s="53"/>
      <c r="CU20" s="53"/>
      <c r="CV20" s="53"/>
      <c r="CW20" s="53"/>
      <c r="CX20" s="53"/>
      <c r="CY20" s="53"/>
      <c r="CZ20" s="53"/>
      <c r="DA20" s="53"/>
      <c r="DB20" s="53"/>
      <c r="DC20" s="53"/>
      <c r="DD20" s="53"/>
      <c r="DE20" s="53"/>
      <c r="DF20" s="53"/>
      <c r="DG20" s="53"/>
      <c r="DH20" s="53"/>
      <c r="DI20" s="53"/>
      <c r="DJ20" s="53"/>
      <c r="DK20" s="53"/>
      <c r="DL20" s="53"/>
      <c r="DM20" s="53"/>
      <c r="DN20" s="53"/>
      <c r="DO20" s="53"/>
      <c r="DP20" s="53"/>
      <c r="DQ20" s="53"/>
      <c r="DR20" s="53"/>
      <c r="DS20" s="53"/>
      <c r="DT20" s="53"/>
      <c r="DU20" s="53"/>
      <c r="DV20" s="53"/>
      <c r="DW20" s="53"/>
      <c r="DX20" s="53"/>
      <c r="DY20" s="53"/>
      <c r="DZ20" s="53"/>
      <c r="EA20" s="53"/>
      <c r="EB20" s="53"/>
      <c r="EC20" s="53"/>
      <c r="ED20" s="53"/>
      <c r="EE20" s="53"/>
      <c r="EF20" s="53"/>
      <c r="EG20" s="53"/>
      <c r="EH20" s="53"/>
      <c r="EI20" s="53"/>
      <c r="EJ20" s="53"/>
      <c r="EK20" s="53"/>
      <c r="EL20" s="53"/>
      <c r="EM20" s="53"/>
      <c r="EN20" s="53"/>
      <c r="EO20" s="53"/>
      <c r="EP20" s="53"/>
      <c r="EQ20" s="53"/>
      <c r="ER20" s="53"/>
      <c r="ES20" s="53"/>
      <c r="ET20" s="53"/>
      <c r="EU20" s="53"/>
      <c r="EV20" s="53"/>
      <c r="EW20" s="53"/>
      <c r="EX20" s="53"/>
      <c r="EY20" s="53"/>
      <c r="EZ20" s="53"/>
      <c r="FA20" s="53"/>
      <c r="FB20" s="53"/>
      <c r="FC20" s="53"/>
      <c r="FD20" s="53"/>
      <c r="FE20" s="53"/>
      <c r="FF20" s="53"/>
      <c r="FG20" s="53"/>
      <c r="FH20" s="53"/>
      <c r="FI20" s="53"/>
      <c r="FJ20" s="53"/>
      <c r="FK20" s="53"/>
      <c r="FL20" s="53"/>
      <c r="FM20" s="53"/>
    </row>
    <row r="21" ht="20" customHeight="1" spans="1:169" s="39" customFormat="1" x14ac:dyDescent="0.25">
      <c r="A21" s="40">
        <v>15</v>
      </c>
      <c r="B21" s="40" t="s">
        <v>74</v>
      </c>
      <c r="C21" s="40" t="s">
        <v>43</v>
      </c>
      <c r="D21" s="40" t="s">
        <v>130</v>
      </c>
      <c r="E21" s="40" t="s">
        <v>131</v>
      </c>
      <c r="F21" s="40" t="s">
        <v>291</v>
      </c>
      <c r="G21" s="40" t="s">
        <v>133</v>
      </c>
      <c r="H21" s="111"/>
      <c r="I21" s="112"/>
      <c r="J21" s="40">
        <v>1</v>
      </c>
      <c r="K21" s="42">
        <v>86</v>
      </c>
      <c r="L21" s="40">
        <f>IF(K21&gt;=91, 4.00, IF(K21&gt;=81, 3.50, IF(K21&gt;=70, 3.00, IF(K21&gt;=65, 2.50, IF(K21&gt;=60, 2.00, IF(K21&gt;=55, 1.50, IF(K21&gt;=50, 1.00, 0.00)))))))</f>
      </c>
      <c r="M21" s="40">
        <f>IF(K21&gt;=91,"A",IF(K21&gt;=81,"B+",IF(K21&gt;=70,"B",IF(K21&gt;=65,"C+",IF(K21&gt;=60,"C",IF(K21&gt;=55,"D+",IF(K21&gt;=50,"D","F")))))))</f>
      </c>
      <c r="N21" s="42">
        <v>89</v>
      </c>
      <c r="O21" s="40">
        <f>IF(N21&gt;=91, 4.00, IF(N21&gt;=81, 3.50, IF(N21&gt;=70, 3.00, IF(N21&gt;=65, 2.50, IF(N21&gt;=60, 2.00, IF(N21&gt;=55, 1.50, IF(N21&gt;=50, 1.00, 0.00)))))))</f>
      </c>
      <c r="P21" s="40">
        <f>IF(N21&gt;=91,"A",IF(N21&gt;=81,"B+",IF(N21&gt;=70,"B",IF(N21&gt;=65,"C+",IF(N21&gt;=60,"C",IF(N21&gt;=55,"D+",IF(N21&gt;=50,"D","F")))))))</f>
      </c>
      <c r="Q21" s="42">
        <v>92</v>
      </c>
      <c r="R21" s="40">
        <f>IF(Q21&gt;=91, 4.00, IF(Q21&gt;=81, 3.50, IF(Q21&gt;=70, 3.00, IF(Q21&gt;=65, 2.50, IF(Q21&gt;=60, 2.00, IF(Q21&gt;=55, 1.50, IF(Q21&gt;=50, 1.00, 0.00)))))))</f>
      </c>
      <c r="S21" s="40">
        <f>IF(Q21&gt;=91,"A",IF(Q21&gt;=81,"B+",IF(Q21&gt;=70,"B",IF(Q21&gt;=65,"C+",IF(Q21&gt;=60,"C",IF(Q21&gt;=55,"D+",IF(Q21&gt;=50,"D","F")))))))</f>
      </c>
      <c r="T21" s="42">
        <v>95</v>
      </c>
      <c r="U21" s="40">
        <f>IF(T21&gt;=91, 4.00, IF(T21&gt;=81, 3.50, IF(T21&gt;=70, 3.00, IF(T21&gt;=65, 2.50, IF(T21&gt;=60, 2.00, IF(T21&gt;=55, 1.50, IF(T21&gt;=50, 1.00, 0.00)))))))</f>
      </c>
      <c r="V21" s="40">
        <f>IF(T21&gt;=91,"A",IF(T21&gt;=81,"B+",IF(T21&gt;=70,"B",IF(T21&gt;=65,"C+",IF(T21&gt;=60,"C",IF(T21&gt;=55,"D+",IF(T21&gt;=50,"D","F")))))))</f>
      </c>
      <c r="W21" s="42">
        <v>77</v>
      </c>
      <c r="X21" s="40">
        <f>IF(W21&gt;=91, 4.00, IF(W21&gt;=81, 3.50, IF(W21&gt;=70, 3.00, IF(W21&gt;=65, 2.50, IF(W21&gt;=60, 2.00, IF(W21&gt;=55, 1.50, IF(W21&gt;=50, 1.00, 0.00)))))))</f>
      </c>
      <c r="Y21" s="40">
        <f>IF(W21&gt;=91,"A",IF(W21&gt;=81,"B+",IF(W21&gt;=70,"B",IF(W21&gt;=65,"C+",IF(W21&gt;=60,"C",IF(W21&gt;=55,"D+",IF(W21&gt;=50,"D","F")))))))</f>
      </c>
      <c r="Z21" s="46">
        <v>80</v>
      </c>
      <c r="AA21" s="40">
        <f>IF(Z21&gt;=91, 4.00, IF(Z21&gt;=81, 3.50, IF(Z21&gt;=70, 3.00, IF(Z21&gt;=65, 2.50, IF(Z21&gt;=60, 2.00, IF(Z21&gt;=55, 1.50, IF(Z21&gt;=50, 1.00, 0.00)))))))</f>
      </c>
      <c r="AB21" s="40">
        <f>IF(Z21&gt;=91,"A",IF(Z21&gt;=81,"B+",IF(Z21&gt;=70,"B",IF(Z21&gt;=65,"C+",IF(Z21&gt;=60,"C",IF(Z21&gt;=55,"D+",IF(Z21&gt;=50,"D","F")))))))</f>
      </c>
      <c r="AC21" s="40">
        <f>ROUND((L21*2+O21*2+R21*2+U21*2+X21*2+AA21*1)/11, 2)</f>
      </c>
      <c r="AD21" s="47">
        <v>84</v>
      </c>
      <c r="AE21" s="40">
        <f>IF(AD21&gt;=91, 4.00, IF(AD21&gt;=81, 3.50, IF(AD21&gt;=70, 3.00, IF(AD21&gt;=65, 2.50, IF(AD21&gt;=60, 2.00, IF(AD21&gt;=55, 1.50, IF(AD21&gt;=50, 1.00, 0.00)))))))</f>
      </c>
      <c r="AF21" s="40">
        <f>IF(AD21&gt;=91,"A",IF(AD21&gt;=81,"B+",IF(AD21&gt;=70,"B",IF(AD21&gt;=65,"C+",IF(AD21&gt;=60,"C",IF(AD21&gt;=55,"D+",IF(AD21&gt;=50,"D","F")))))))</f>
      </c>
      <c r="AG21" s="40" t="s">
        <v>43</v>
      </c>
      <c r="AH21" s="40">
        <f>IF(AG21&gt;=91, 4.00, IF(AG21&gt;=81, 3.50, IF(AG21&gt;=70, 3.00, IF(AG21&gt;=65, 2.50, IF(AG21&gt;=60, 2.00, IF(AG21&gt;=55, 1.50, IF(AG21&gt;=50, 1.00, 0.00)))))))</f>
      </c>
      <c r="AI21" s="40">
        <f>IF(AG21&gt;=91,"A",IF(AG21&gt;=81,"B+",IF(AG21&gt;=70,"B",IF(AG21&gt;=65,"C+",IF(AG21&gt;=60,"C",IF(AG21&gt;=55,"D+",IF(AG21&gt;=50,"D","F")))))))</f>
      </c>
      <c r="AJ21" s="40" t="s">
        <v>291</v>
      </c>
      <c r="AK21" s="40">
        <f>IF(AJ21&gt;=91, 4.00, IF(AJ21&gt;=81, 3.50, IF(AJ21&gt;=70, 3.00, IF(AJ21&gt;=65, 2.50, IF(AJ21&gt;=60, 2.00, IF(AJ21&gt;=55, 1.50, IF(AJ21&gt;=50, 1.00, 0.00)))))))</f>
      </c>
      <c r="AL21" s="111">
        <f>IF(AJ21&gt;=91,"A",IF(AJ21&gt;=81,"B+",IF(AJ21&gt;=70,"B",IF(AJ21&gt;=65,"C+",IF(AJ21&gt;=60,"C",IF(AJ21&gt;=55,"D+",IF(AJ21&gt;=50,"D","F")))))))</f>
      </c>
      <c r="AM21" s="112">
        <v>93</v>
      </c>
      <c r="AN21" s="48">
        <f>IF(AM21&gt;=91, 4.00, IF(AM21&gt;=81, 3.50, IF(AM21&gt;=70, 3.00, IF(AM21&gt;=65, 2.50, IF(AM21&gt;=60, 2.00, IF(AM21&gt;=55, 1.50, IF(AM21&gt;=50, 1.00, 0.00)))))))</f>
      </c>
      <c r="AO21" s="49">
        <f>IF(AM21&gt;=91,"A",IF(AM21&gt;=81,"B+",IF(AM21&gt;=70,"B",IF(AM21&gt;=65,"C+",IF(AM21&gt;=60,"C",IF(AM21&gt;=55,"D+",IF(AM21&gt;=50,"D","F")))))))</f>
      </c>
      <c r="AP21" s="40">
        <f>ROUND((AE21*2+AH21*2+AK21*2+AN21*6)/12, 2)</f>
      </c>
      <c r="AQ21" s="48"/>
      <c r="AR21" s="49" t="str">
        <f>IF(AQ21&gt;90,"4.00",IF(AQ21&gt;80,"3.50",IF(AQ21&gt;69,"3.00",IF(AQ21&gt;64,"2.50",IF(AQ21&gt;59,"2.00",IF(AQ21&gt;54,"1.50",IF(AQ21&gt;49,"1.00","0.00")))))))</f>
        <v>0.00</v>
      </c>
      <c r="AS21" s="40" t="str">
        <f>IF(AQ21&gt;90,"A",IF(AQ21&gt;80,"B+",IF(AQ21&gt;69,"B",IF(AQ21&gt;64,"C+",IF(AQ21&gt;59,"C",IF(AQ21&gt;54,"D+",IF(AQ21&gt;49,"D",IF(AQ21&gt;=0,"F"))))))))</f>
        <v>F</v>
      </c>
      <c r="AT21" s="43"/>
      <c r="AU21" s="49" t="str">
        <f>IF(AT21&gt;90,"4.00",IF(AT21&gt;80,"3.50",IF(AT21&gt;69,"3.00",IF(AT21&gt;64,"2.50",IF(AT21&gt;59,"2.00",IF(AT21&gt;54,"1.50",IF(AT21&gt;49,"1.00","0.00")))))))</f>
        <v>0.00</v>
      </c>
      <c r="AV21" s="40" t="str">
        <f>IF(AT21&gt;90,"A",IF(AT21&gt;80,"B+",IF(AT21&gt;69,"B",IF(AT21&gt;64,"C+",IF(AT21&gt;59,"C",IF(AT21&gt;54,"D+",IF(AT21&gt;49,"D",IF(AT21&gt;=0,"F"))))))))</f>
        <v>F</v>
      </c>
      <c r="AW21" s="48"/>
      <c r="AX21" s="49" t="str">
        <f>IF(AW21&gt;90,"4.00",IF(AW21&gt;80,"3.50",IF(AW21&gt;69,"3.00",IF(AW21&gt;64,"2.50",IF(AW21&gt;59,"2.00",IF(AW21&gt;54,"1.50",IF(AW21&gt;49,"1.00","0.00")))))))</f>
        <v>0.00</v>
      </c>
      <c r="AY21" s="40" t="str">
        <f>IF(AW21&gt;90,"A",IF(AW21&gt;80,"B+",IF(AW21&gt;69,"B",IF(AW21&gt;64,"C+",IF(AW21&gt;59,"C",IF(AW21&gt;54,"D+",IF(AW21&gt;49,"D",IF(AW21&gt;=0,"F"))))))))</f>
        <v>F</v>
      </c>
      <c r="AZ21" s="135">
        <f>(AO21*2+AR21*2+AU21*2+AX21*9)/(2+2+2+9)</f>
        <v>0</v>
      </c>
      <c r="BA21" s="50">
        <f>(AC21+AZ21)/2</f>
        <v>0</v>
      </c>
      <c r="BB21" s="51">
        <f>RANK(BA21,$BA$7:BA50)</f>
        <v>1</v>
      </c>
      <c r="BC21" s="58"/>
      <c r="BD21" s="52"/>
      <c r="BE21" s="52"/>
      <c r="BF21" s="52"/>
      <c r="BG21" s="53"/>
      <c r="BH21" s="53"/>
      <c r="BI21" s="53"/>
      <c r="BJ21" s="53"/>
      <c r="BK21" s="53"/>
      <c r="BL21" s="53"/>
      <c r="BM21" s="53"/>
      <c r="BN21" s="53"/>
      <c r="BO21" s="53"/>
      <c r="BP21" s="53"/>
      <c r="BQ21" s="53"/>
      <c r="BR21" s="53"/>
      <c r="BS21" s="53"/>
      <c r="BT21" s="53"/>
      <c r="BU21" s="53"/>
      <c r="BV21" s="53"/>
      <c r="BW21" s="53"/>
      <c r="BX21" s="53"/>
      <c r="BY21" s="53"/>
      <c r="BZ21" s="53"/>
      <c r="CA21" s="53"/>
      <c r="CB21" s="53"/>
      <c r="CC21" s="53"/>
      <c r="CD21" s="53"/>
      <c r="CE21" s="53"/>
      <c r="CF21" s="53"/>
      <c r="CG21" s="53"/>
      <c r="CH21" s="53"/>
      <c r="CI21" s="53"/>
      <c r="CJ21" s="53"/>
      <c r="CK21" s="53"/>
      <c r="CL21" s="53"/>
      <c r="CM21" s="53"/>
      <c r="CN21" s="53"/>
      <c r="CO21" s="53"/>
      <c r="CP21" s="53"/>
      <c r="CQ21" s="53"/>
      <c r="CR21" s="53"/>
      <c r="CS21" s="53"/>
      <c r="CT21" s="53"/>
      <c r="CU21" s="53"/>
      <c r="CV21" s="53"/>
      <c r="CW21" s="53"/>
      <c r="CX21" s="53"/>
      <c r="CY21" s="53"/>
      <c r="CZ21" s="53"/>
      <c r="DA21" s="53"/>
      <c r="DB21" s="53"/>
      <c r="DC21" s="53"/>
      <c r="DD21" s="53"/>
      <c r="DE21" s="53"/>
      <c r="DF21" s="53"/>
      <c r="DG21" s="53"/>
      <c r="DH21" s="53"/>
      <c r="DI21" s="53"/>
      <c r="DJ21" s="53"/>
      <c r="DK21" s="53"/>
      <c r="DL21" s="53"/>
      <c r="DM21" s="53"/>
      <c r="DN21" s="53"/>
      <c r="DO21" s="53"/>
      <c r="DP21" s="53"/>
      <c r="DQ21" s="53"/>
      <c r="DR21" s="53"/>
      <c r="DS21" s="53"/>
      <c r="DT21" s="53"/>
      <c r="DU21" s="53"/>
      <c r="DV21" s="53"/>
      <c r="DW21" s="53"/>
      <c r="DX21" s="53"/>
      <c r="DY21" s="53"/>
      <c r="DZ21" s="53"/>
      <c r="EA21" s="53"/>
      <c r="EB21" s="53"/>
      <c r="EC21" s="53"/>
      <c r="ED21" s="53"/>
      <c r="EE21" s="53"/>
      <c r="EF21" s="53"/>
      <c r="EG21" s="53"/>
      <c r="EH21" s="53"/>
      <c r="EI21" s="53"/>
      <c r="EJ21" s="53"/>
      <c r="EK21" s="53"/>
      <c r="EL21" s="53"/>
      <c r="EM21" s="53"/>
      <c r="EN21" s="53"/>
      <c r="EO21" s="53"/>
      <c r="EP21" s="53"/>
      <c r="EQ21" s="53"/>
      <c r="ER21" s="53"/>
      <c r="ES21" s="53"/>
      <c r="ET21" s="53"/>
      <c r="EU21" s="53"/>
      <c r="EV21" s="53"/>
      <c r="EW21" s="53"/>
      <c r="EX21" s="53"/>
      <c r="EY21" s="53"/>
      <c r="EZ21" s="53"/>
      <c r="FA21" s="53"/>
      <c r="FB21" s="53"/>
      <c r="FC21" s="53"/>
      <c r="FD21" s="53"/>
      <c r="FE21" s="53"/>
      <c r="FF21" s="53"/>
      <c r="FG21" s="53"/>
      <c r="FH21" s="53"/>
      <c r="FI21" s="53"/>
      <c r="FJ21" s="53"/>
      <c r="FK21" s="53"/>
      <c r="FL21" s="53"/>
      <c r="FM21" s="53"/>
    </row>
    <row r="22" ht="20" customHeight="1" spans="1:58" s="53" customFormat="1" x14ac:dyDescent="0.25">
      <c r="A22" s="40">
        <v>16</v>
      </c>
      <c r="B22" s="40" t="s">
        <v>79</v>
      </c>
      <c r="C22" s="40" t="s">
        <v>43</v>
      </c>
      <c r="D22" s="40" t="s">
        <v>136</v>
      </c>
      <c r="E22" s="40" t="s">
        <v>137</v>
      </c>
      <c r="F22" s="40" t="s">
        <v>292</v>
      </c>
      <c r="G22" s="40" t="s">
        <v>139</v>
      </c>
      <c r="H22" s="111"/>
      <c r="I22" s="112"/>
      <c r="J22" s="40">
        <v>1</v>
      </c>
      <c r="K22" s="42">
        <v>89</v>
      </c>
      <c r="L22" s="40">
        <f>IF(K22&gt;=91, 4.00, IF(K22&gt;=81, 3.50, IF(K22&gt;=70, 3.00, IF(K22&gt;=65, 2.50, IF(K22&gt;=60, 2.00, IF(K22&gt;=55, 1.50, IF(K22&gt;=50, 1.00, 0.00)))))))</f>
      </c>
      <c r="M22" s="40">
        <f>IF(K22&gt;=91,"A",IF(K22&gt;=81,"B+",IF(K22&gt;=70,"B",IF(K22&gt;=65,"C+",IF(K22&gt;=60,"C",IF(K22&gt;=55,"D+",IF(K22&gt;=50,"D","F")))))))</f>
      </c>
      <c r="N22" s="42">
        <v>92</v>
      </c>
      <c r="O22" s="40">
        <f>IF(N22&gt;=91, 4.00, IF(N22&gt;=81, 3.50, IF(N22&gt;=70, 3.00, IF(N22&gt;=65, 2.50, IF(N22&gt;=60, 2.00, IF(N22&gt;=55, 1.50, IF(N22&gt;=50, 1.00, 0.00)))))))</f>
      </c>
      <c r="P22" s="40">
        <f>IF(N22&gt;=91,"A",IF(N22&gt;=81,"B+",IF(N22&gt;=70,"B",IF(N22&gt;=65,"C+",IF(N22&gt;=60,"C",IF(N22&gt;=55,"D+",IF(N22&gt;=50,"D","F")))))))</f>
      </c>
      <c r="Q22" s="42">
        <v>95</v>
      </c>
      <c r="R22" s="40">
        <f>IF(Q22&gt;=91, 4.00, IF(Q22&gt;=81, 3.50, IF(Q22&gt;=70, 3.00, IF(Q22&gt;=65, 2.50, IF(Q22&gt;=60, 2.00, IF(Q22&gt;=55, 1.50, IF(Q22&gt;=50, 1.00, 0.00)))))))</f>
      </c>
      <c r="S22" s="40">
        <f>IF(Q22&gt;=91,"A",IF(Q22&gt;=81,"B+",IF(Q22&gt;=70,"B",IF(Q22&gt;=65,"C+",IF(Q22&gt;=60,"C",IF(Q22&gt;=55,"D+",IF(Q22&gt;=50,"D","F")))))))</f>
      </c>
      <c r="T22" s="42">
        <v>77</v>
      </c>
      <c r="U22" s="40">
        <f>IF(T22&gt;=91, 4.00, IF(T22&gt;=81, 3.50, IF(T22&gt;=70, 3.00, IF(T22&gt;=65, 2.50, IF(T22&gt;=60, 2.00, IF(T22&gt;=55, 1.50, IF(T22&gt;=50, 1.00, 0.00)))))))</f>
      </c>
      <c r="V22" s="40">
        <f>IF(T22&gt;=91,"A",IF(T22&gt;=81,"B+",IF(T22&gt;=70,"B",IF(T22&gt;=65,"C+",IF(T22&gt;=60,"C",IF(T22&gt;=55,"D+",IF(T22&gt;=50,"D","F")))))))</f>
      </c>
      <c r="W22" s="42">
        <v>80</v>
      </c>
      <c r="X22" s="40">
        <f>IF(W22&gt;=91, 4.00, IF(W22&gt;=81, 3.50, IF(W22&gt;=70, 3.00, IF(W22&gt;=65, 2.50, IF(W22&gt;=60, 2.00, IF(W22&gt;=55, 1.50, IF(W22&gt;=50, 1.00, 0.00)))))))</f>
      </c>
      <c r="Y22" s="40">
        <f>IF(W22&gt;=91,"A",IF(W22&gt;=81,"B+",IF(W22&gt;=70,"B",IF(W22&gt;=65,"C+",IF(W22&gt;=60,"C",IF(W22&gt;=55,"D+",IF(W22&gt;=50,"D","F")))))))</f>
      </c>
      <c r="Z22" s="46">
        <v>83</v>
      </c>
      <c r="AA22" s="40">
        <f>IF(Z22&gt;=91, 4.00, IF(Z22&gt;=81, 3.50, IF(Z22&gt;=70, 3.00, IF(Z22&gt;=65, 2.50, IF(Z22&gt;=60, 2.00, IF(Z22&gt;=55, 1.50, IF(Z22&gt;=50, 1.00, 0.00)))))))</f>
      </c>
      <c r="AB22" s="40">
        <f>IF(Z22&gt;=91,"A",IF(Z22&gt;=81,"B+",IF(Z22&gt;=70,"B",IF(Z22&gt;=65,"C+",IF(Z22&gt;=60,"C",IF(Z22&gt;=55,"D+",IF(Z22&gt;=50,"D","F")))))))</f>
      </c>
      <c r="AC22" s="40">
        <f>ROUND((L22*2+O22*2+R22*2+U22*2+X22*2+AA22*1)/11, 2)</f>
      </c>
      <c r="AD22" s="47">
        <v>87</v>
      </c>
      <c r="AE22" s="40">
        <f>IF(AD22&gt;=91, 4.00, IF(AD22&gt;=81, 3.50, IF(AD22&gt;=70, 3.00, IF(AD22&gt;=65, 2.50, IF(AD22&gt;=60, 2.00, IF(AD22&gt;=55, 1.50, IF(AD22&gt;=50, 1.00, 0.00)))))))</f>
      </c>
      <c r="AF22" s="40">
        <f>IF(AD22&gt;=91,"A",IF(AD22&gt;=81,"B+",IF(AD22&gt;=70,"B",IF(AD22&gt;=65,"C+",IF(AD22&gt;=60,"C",IF(AD22&gt;=55,"D+",IF(AD22&gt;=50,"D","F")))))))</f>
      </c>
      <c r="AG22" s="40" t="s">
        <v>43</v>
      </c>
      <c r="AH22" s="40">
        <f>IF(AG22&gt;=91, 4.00, IF(AG22&gt;=81, 3.50, IF(AG22&gt;=70, 3.00, IF(AG22&gt;=65, 2.50, IF(AG22&gt;=60, 2.00, IF(AG22&gt;=55, 1.50, IF(AG22&gt;=50, 1.00, 0.00)))))))</f>
      </c>
      <c r="AI22" s="40">
        <f>IF(AG22&gt;=91,"A",IF(AG22&gt;=81,"B+",IF(AG22&gt;=70,"B",IF(AG22&gt;=65,"C+",IF(AG22&gt;=60,"C",IF(AG22&gt;=55,"D+",IF(AG22&gt;=50,"D","F")))))))</f>
      </c>
      <c r="AJ22" s="40" t="s">
        <v>292</v>
      </c>
      <c r="AK22" s="40">
        <f>IF(AJ22&gt;=91, 4.00, IF(AJ22&gt;=81, 3.50, IF(AJ22&gt;=70, 3.00, IF(AJ22&gt;=65, 2.50, IF(AJ22&gt;=60, 2.00, IF(AJ22&gt;=55, 1.50, IF(AJ22&gt;=50, 1.00, 0.00)))))))</f>
      </c>
      <c r="AL22" s="111">
        <f>IF(AJ22&gt;=91,"A",IF(AJ22&gt;=81,"B+",IF(AJ22&gt;=70,"B",IF(AJ22&gt;=65,"C+",IF(AJ22&gt;=60,"C",IF(AJ22&gt;=55,"D+",IF(AJ22&gt;=50,"D","F")))))))</f>
      </c>
      <c r="AM22" s="112">
        <v>75</v>
      </c>
      <c r="AN22" s="48">
        <f>IF(AM22&gt;=91, 4.00, IF(AM22&gt;=81, 3.50, IF(AM22&gt;=70, 3.00, IF(AM22&gt;=65, 2.50, IF(AM22&gt;=60, 2.00, IF(AM22&gt;=55, 1.50, IF(AM22&gt;=50, 1.00, 0.00)))))))</f>
      </c>
      <c r="AO22" s="49">
        <f>IF(AM22&gt;=91,"A",IF(AM22&gt;=81,"B+",IF(AM22&gt;=70,"B",IF(AM22&gt;=65,"C+",IF(AM22&gt;=60,"C",IF(AM22&gt;=55,"D+",IF(AM22&gt;=50,"D","F")))))))</f>
      </c>
      <c r="AP22" s="40">
        <f>ROUND((AE22*2+AH22*2+AK22*2+AN22*6)/12, 2)</f>
      </c>
      <c r="AQ22" s="48"/>
      <c r="AR22" s="49" t="str">
        <f>IF(AQ22&gt;90,"4.00",IF(AQ22&gt;80,"3.50",IF(AQ22&gt;69,"3.00",IF(AQ22&gt;64,"2.50",IF(AQ22&gt;59,"2.00",IF(AQ22&gt;54,"1.50",IF(AQ22&gt;49,"1.00","0.00")))))))</f>
        <v>0.00</v>
      </c>
      <c r="AS22" s="40" t="str">
        <f>IF(AQ22&gt;90,"A",IF(AQ22&gt;80,"B+",IF(AQ22&gt;69,"B",IF(AQ22&gt;64,"C+",IF(AQ22&gt;59,"C",IF(AQ22&gt;54,"D+",IF(AQ22&gt;49,"D",IF(AQ22&gt;=0,"F"))))))))</f>
        <v>F</v>
      </c>
      <c r="AT22" s="43"/>
      <c r="AU22" s="49" t="str">
        <f>IF(AT22&gt;90,"4.00",IF(AT22&gt;80,"3.50",IF(AT22&gt;69,"3.00",IF(AT22&gt;64,"2.50",IF(AT22&gt;59,"2.00",IF(AT22&gt;54,"1.50",IF(AT22&gt;49,"1.00","0.00")))))))</f>
        <v>0.00</v>
      </c>
      <c r="AV22" s="40" t="str">
        <f>IF(AT22&gt;90,"A",IF(AT22&gt;80,"B+",IF(AT22&gt;69,"B",IF(AT22&gt;64,"C+",IF(AT22&gt;59,"C",IF(AT22&gt;54,"D+",IF(AT22&gt;49,"D",IF(AT22&gt;=0,"F"))))))))</f>
        <v>F</v>
      </c>
      <c r="AW22" s="48"/>
      <c r="AX22" s="49" t="str">
        <f>IF(AW22&gt;90,"4.00",IF(AW22&gt;80,"3.50",IF(AW22&gt;69,"3.00",IF(AW22&gt;64,"2.50",IF(AW22&gt;59,"2.00",IF(AW22&gt;54,"1.50",IF(AW22&gt;49,"1.00","0.00")))))))</f>
        <v>0.00</v>
      </c>
      <c r="AY22" s="40" t="str">
        <f>IF(AW22&gt;90,"A",IF(AW22&gt;80,"B+",IF(AW22&gt;69,"B",IF(AW22&gt;64,"C+",IF(AW22&gt;59,"C",IF(AW22&gt;54,"D+",IF(AW22&gt;49,"D",IF(AW22&gt;=0,"F"))))))))</f>
        <v>F</v>
      </c>
      <c r="AZ22" s="135">
        <f>(AO22*2+AR22*2+AU22*2+AX22*9)/(2+2+2+9)</f>
        <v>0</v>
      </c>
      <c r="BA22" s="50">
        <f>(AC22+AZ22)/2</f>
        <v>0</v>
      </c>
      <c r="BB22" s="51">
        <f>RANK(BA22,$BA$7:BA51)</f>
        <v>1</v>
      </c>
      <c r="BC22" s="113"/>
      <c r="BD22" s="52"/>
      <c r="BE22" s="52"/>
      <c r="BF22" s="52"/>
    </row>
    <row r="23" ht="20" customHeight="1" spans="1:169" s="39" customFormat="1" x14ac:dyDescent="0.25">
      <c r="A23" s="40">
        <v>17</v>
      </c>
      <c r="B23" s="40" t="s">
        <v>86</v>
      </c>
      <c r="C23" s="40" t="s">
        <v>43</v>
      </c>
      <c r="D23" s="40" t="s">
        <v>142</v>
      </c>
      <c r="E23" s="40" t="s">
        <v>143</v>
      </c>
      <c r="F23" s="40" t="s">
        <v>293</v>
      </c>
      <c r="G23" s="40" t="s">
        <v>145</v>
      </c>
      <c r="H23" s="44"/>
      <c r="I23" s="112"/>
      <c r="J23" s="40">
        <v>1</v>
      </c>
      <c r="K23" s="42">
        <v>92</v>
      </c>
      <c r="L23" s="40">
        <f>IF(K23&gt;=91, 4.00, IF(K23&gt;=81, 3.50, IF(K23&gt;=70, 3.00, IF(K23&gt;=65, 2.50, IF(K23&gt;=60, 2.00, IF(K23&gt;=55, 1.50, IF(K23&gt;=50, 1.00, 0.00)))))))</f>
      </c>
      <c r="M23" s="40">
        <f>IF(K23&gt;=91,"A",IF(K23&gt;=81,"B+",IF(K23&gt;=70,"B",IF(K23&gt;=65,"C+",IF(K23&gt;=60,"C",IF(K23&gt;=55,"D+",IF(K23&gt;=50,"D","F")))))))</f>
      </c>
      <c r="N23" s="42">
        <v>95</v>
      </c>
      <c r="O23" s="40">
        <f>IF(N23&gt;=91, 4.00, IF(N23&gt;=81, 3.50, IF(N23&gt;=70, 3.00, IF(N23&gt;=65, 2.50, IF(N23&gt;=60, 2.00, IF(N23&gt;=55, 1.50, IF(N23&gt;=50, 1.00, 0.00)))))))</f>
      </c>
      <c r="P23" s="40">
        <f>IF(N23&gt;=91,"A",IF(N23&gt;=81,"B+",IF(N23&gt;=70,"B",IF(N23&gt;=65,"C+",IF(N23&gt;=60,"C",IF(N23&gt;=55,"D+",IF(N23&gt;=50,"D","F")))))))</f>
      </c>
      <c r="Q23" s="42">
        <v>77</v>
      </c>
      <c r="R23" s="40">
        <f>IF(Q23&gt;=91, 4.00, IF(Q23&gt;=81, 3.50, IF(Q23&gt;=70, 3.00, IF(Q23&gt;=65, 2.50, IF(Q23&gt;=60, 2.00, IF(Q23&gt;=55, 1.50, IF(Q23&gt;=50, 1.00, 0.00)))))))</f>
      </c>
      <c r="S23" s="40">
        <f>IF(Q23&gt;=91,"A",IF(Q23&gt;=81,"B+",IF(Q23&gt;=70,"B",IF(Q23&gt;=65,"C+",IF(Q23&gt;=60,"C",IF(Q23&gt;=55,"D+",IF(Q23&gt;=50,"D","F")))))))</f>
      </c>
      <c r="T23" s="42">
        <v>80</v>
      </c>
      <c r="U23" s="40">
        <f>IF(T23&gt;=91, 4.00, IF(T23&gt;=81, 3.50, IF(T23&gt;=70, 3.00, IF(T23&gt;=65, 2.50, IF(T23&gt;=60, 2.00, IF(T23&gt;=55, 1.50, IF(T23&gt;=50, 1.00, 0.00)))))))</f>
      </c>
      <c r="V23" s="40">
        <f>IF(T23&gt;=91,"A",IF(T23&gt;=81,"B+",IF(T23&gt;=70,"B",IF(T23&gt;=65,"C+",IF(T23&gt;=60,"C",IF(T23&gt;=55,"D+",IF(T23&gt;=50,"D","F")))))))</f>
      </c>
      <c r="W23" s="42">
        <v>83</v>
      </c>
      <c r="X23" s="40">
        <f>IF(W23&gt;=91, 4.00, IF(W23&gt;=81, 3.50, IF(W23&gt;=70, 3.00, IF(W23&gt;=65, 2.50, IF(W23&gt;=60, 2.00, IF(W23&gt;=55, 1.50, IF(W23&gt;=50, 1.00, 0.00)))))))</f>
      </c>
      <c r="Y23" s="40">
        <f>IF(W23&gt;=91,"A",IF(W23&gt;=81,"B+",IF(W23&gt;=70,"B",IF(W23&gt;=65,"C+",IF(W23&gt;=60,"C",IF(W23&gt;=55,"D+",IF(W23&gt;=50,"D","F")))))))</f>
      </c>
      <c r="Z23" s="46">
        <v>86</v>
      </c>
      <c r="AA23" s="40">
        <f>IF(Z23&gt;=91, 4.00, IF(Z23&gt;=81, 3.50, IF(Z23&gt;=70, 3.00, IF(Z23&gt;=65, 2.50, IF(Z23&gt;=60, 2.00, IF(Z23&gt;=55, 1.50, IF(Z23&gt;=50, 1.00, 0.00)))))))</f>
      </c>
      <c r="AB23" s="40">
        <f>IF(Z23&gt;=91,"A",IF(Z23&gt;=81,"B+",IF(Z23&gt;=70,"B",IF(Z23&gt;=65,"C+",IF(Z23&gt;=60,"C",IF(Z23&gt;=55,"D+",IF(Z23&gt;=50,"D","F")))))))</f>
      </c>
      <c r="AC23" s="40">
        <f>ROUND((L23*2+O23*2+R23*2+U23*2+X23*2+AA23*1)/11, 2)</f>
      </c>
      <c r="AD23" s="47">
        <v>90</v>
      </c>
      <c r="AE23" s="40">
        <f>IF(AD23&gt;=91, 4.00, IF(AD23&gt;=81, 3.50, IF(AD23&gt;=70, 3.00, IF(AD23&gt;=65, 2.50, IF(AD23&gt;=60, 2.00, IF(AD23&gt;=55, 1.50, IF(AD23&gt;=50, 1.00, 0.00)))))))</f>
      </c>
      <c r="AF23" s="40">
        <f>IF(AD23&gt;=91,"A",IF(AD23&gt;=81,"B+",IF(AD23&gt;=70,"B",IF(AD23&gt;=65,"C+",IF(AD23&gt;=60,"C",IF(AD23&gt;=55,"D+",IF(AD23&gt;=50,"D","F")))))))</f>
      </c>
      <c r="AG23" s="40" t="s">
        <v>43</v>
      </c>
      <c r="AH23" s="40">
        <f>IF(AG23&gt;=91, 4.00, IF(AG23&gt;=81, 3.50, IF(AG23&gt;=70, 3.00, IF(AG23&gt;=65, 2.50, IF(AG23&gt;=60, 2.00, IF(AG23&gt;=55, 1.50, IF(AG23&gt;=50, 1.00, 0.00)))))))</f>
      </c>
      <c r="AI23" s="40">
        <f>IF(AG23&gt;=91,"A",IF(AG23&gt;=81,"B+",IF(AG23&gt;=70,"B",IF(AG23&gt;=65,"C+",IF(AG23&gt;=60,"C",IF(AG23&gt;=55,"D+",IF(AG23&gt;=50,"D","F")))))))</f>
      </c>
      <c r="AJ23" s="40" t="s">
        <v>293</v>
      </c>
      <c r="AK23" s="40">
        <f>IF(AJ23&gt;=91, 4.00, IF(AJ23&gt;=81, 3.50, IF(AJ23&gt;=70, 3.00, IF(AJ23&gt;=65, 2.50, IF(AJ23&gt;=60, 2.00, IF(AJ23&gt;=55, 1.50, IF(AJ23&gt;=50, 1.00, 0.00)))))))</f>
      </c>
      <c r="AL23" s="44">
        <f>IF(AJ23&gt;=91,"A",IF(AJ23&gt;=81,"B+",IF(AJ23&gt;=70,"B",IF(AJ23&gt;=65,"C+",IF(AJ23&gt;=60,"C",IF(AJ23&gt;=55,"D+",IF(AJ23&gt;=50,"D","F")))))))</f>
      </c>
      <c r="AM23" s="112">
        <v>78</v>
      </c>
      <c r="AN23" s="48">
        <f>IF(AM23&gt;=91, 4.00, IF(AM23&gt;=81, 3.50, IF(AM23&gt;=70, 3.00, IF(AM23&gt;=65, 2.50, IF(AM23&gt;=60, 2.00, IF(AM23&gt;=55, 1.50, IF(AM23&gt;=50, 1.00, 0.00)))))))</f>
      </c>
      <c r="AO23" s="49">
        <f>IF(AM23&gt;=91,"A",IF(AM23&gt;=81,"B+",IF(AM23&gt;=70,"B",IF(AM23&gt;=65,"C+",IF(AM23&gt;=60,"C",IF(AM23&gt;=55,"D+",IF(AM23&gt;=50,"D","F")))))))</f>
      </c>
      <c r="AP23" s="40">
        <f>ROUND((AE23*2+AH23*2+AK23*2+AN23*6)/12, 2)</f>
      </c>
      <c r="AQ23" s="48"/>
      <c r="AR23" s="49" t="str">
        <f>IF(AQ23&gt;90,"4.00",IF(AQ23&gt;80,"3.50",IF(AQ23&gt;69,"3.00",IF(AQ23&gt;64,"2.50",IF(AQ23&gt;59,"2.00",IF(AQ23&gt;54,"1.50",IF(AQ23&gt;49,"1.00","0.00")))))))</f>
        <v>0.00</v>
      </c>
      <c r="AS23" s="40" t="str">
        <f>IF(AQ23&gt;90,"A",IF(AQ23&gt;80,"B+",IF(AQ23&gt;69,"B",IF(AQ23&gt;64,"C+",IF(AQ23&gt;59,"C",IF(AQ23&gt;54,"D+",IF(AQ23&gt;49,"D",IF(AQ23&gt;=0,"F"))))))))</f>
        <v>F</v>
      </c>
      <c r="AT23" s="43"/>
      <c r="AU23" s="49" t="str">
        <f>IF(AT23&gt;90,"4.00",IF(AT23&gt;80,"3.50",IF(AT23&gt;69,"3.00",IF(AT23&gt;64,"2.50",IF(AT23&gt;59,"2.00",IF(AT23&gt;54,"1.50",IF(AT23&gt;49,"1.00","0.00")))))))</f>
        <v>0.00</v>
      </c>
      <c r="AV23" s="40" t="str">
        <f>IF(AT23&gt;90,"A",IF(AT23&gt;80,"B+",IF(AT23&gt;69,"B",IF(AT23&gt;64,"C+",IF(AT23&gt;59,"C",IF(AT23&gt;54,"D+",IF(AT23&gt;49,"D",IF(AT23&gt;=0,"F"))))))))</f>
        <v>F</v>
      </c>
      <c r="AW23" s="48"/>
      <c r="AX23" s="49" t="str">
        <f>IF(AW23&gt;90,"4.00",IF(AW23&gt;80,"3.50",IF(AW23&gt;69,"3.00",IF(AW23&gt;64,"2.50",IF(AW23&gt;59,"2.00",IF(AW23&gt;54,"1.50",IF(AW23&gt;49,"1.00","0.00")))))))</f>
        <v>0.00</v>
      </c>
      <c r="AY23" s="40" t="str">
        <f>IF(AW23&gt;90,"A",IF(AW23&gt;80,"B+",IF(AW23&gt;69,"B",IF(AW23&gt;64,"C+",IF(AW23&gt;59,"C",IF(AW23&gt;54,"D+",IF(AW23&gt;49,"D",IF(AW23&gt;=0,"F"))))))))</f>
        <v>F</v>
      </c>
      <c r="AZ23" s="135">
        <f>(AO23*2+AR23*2+AU23*2+AX23*9)/(2+2+2+9)</f>
        <v>0</v>
      </c>
      <c r="BA23" s="50">
        <f>(AC23+AZ23)/2</f>
        <v>0</v>
      </c>
      <c r="BB23" s="51">
        <f>RANK(BA23,$BA$7:BA52)</f>
        <v>1</v>
      </c>
      <c r="BC23" s="58"/>
      <c r="BD23" s="52"/>
      <c r="BE23" s="52"/>
      <c r="BF23" s="52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  <c r="CG23" s="53"/>
      <c r="CH23" s="53"/>
      <c r="CI23" s="53"/>
      <c r="CJ23" s="53"/>
      <c r="CK23" s="53"/>
      <c r="CL23" s="53"/>
      <c r="CM23" s="53"/>
      <c r="CN23" s="53"/>
      <c r="CO23" s="53"/>
      <c r="CP23" s="53"/>
      <c r="CQ23" s="53"/>
      <c r="CR23" s="53"/>
      <c r="CS23" s="53"/>
      <c r="CT23" s="53"/>
      <c r="CU23" s="53"/>
      <c r="CV23" s="53"/>
      <c r="CW23" s="53"/>
      <c r="CX23" s="53"/>
      <c r="CY23" s="53"/>
      <c r="CZ23" s="53"/>
      <c r="DA23" s="53"/>
      <c r="DB23" s="53"/>
      <c r="DC23" s="53"/>
      <c r="DD23" s="53"/>
      <c r="DE23" s="53"/>
      <c r="DF23" s="53"/>
      <c r="DG23" s="53"/>
      <c r="DH23" s="53"/>
      <c r="DI23" s="53"/>
      <c r="DJ23" s="53"/>
      <c r="DK23" s="53"/>
      <c r="DL23" s="53"/>
      <c r="DM23" s="53"/>
      <c r="DN23" s="53"/>
      <c r="DO23" s="53"/>
      <c r="DP23" s="53"/>
      <c r="DQ23" s="53"/>
      <c r="DR23" s="53"/>
      <c r="DS23" s="53"/>
      <c r="DT23" s="53"/>
      <c r="DU23" s="53"/>
      <c r="DV23" s="53"/>
      <c r="DW23" s="53"/>
      <c r="DX23" s="53"/>
      <c r="DY23" s="53"/>
      <c r="DZ23" s="53"/>
      <c r="EA23" s="53"/>
      <c r="EB23" s="53"/>
      <c r="EC23" s="53"/>
      <c r="ED23" s="53"/>
      <c r="EE23" s="53"/>
      <c r="EF23" s="53"/>
      <c r="EG23" s="53"/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3"/>
      <c r="ET23" s="53"/>
      <c r="EU23" s="53"/>
      <c r="EV23" s="53"/>
      <c r="EW23" s="53"/>
      <c r="EX23" s="53"/>
      <c r="EY23" s="53"/>
      <c r="EZ23" s="53"/>
      <c r="FA23" s="53"/>
      <c r="FB23" s="53"/>
      <c r="FC23" s="53"/>
      <c r="FD23" s="53"/>
      <c r="FE23" s="53"/>
      <c r="FF23" s="53"/>
      <c r="FG23" s="53"/>
      <c r="FH23" s="53"/>
      <c r="FI23" s="53"/>
      <c r="FJ23" s="53"/>
      <c r="FK23" s="53"/>
      <c r="FL23" s="53"/>
      <c r="FM23" s="53"/>
    </row>
    <row r="24" ht="20" customHeight="1" spans="1:58" s="53" customFormat="1" x14ac:dyDescent="0.25">
      <c r="A24" s="40">
        <v>18</v>
      </c>
      <c r="B24" s="40" t="s">
        <v>92</v>
      </c>
      <c r="C24" s="40" t="s">
        <v>51</v>
      </c>
      <c r="D24" s="40" t="s">
        <v>147</v>
      </c>
      <c r="E24" s="40" t="s">
        <v>148</v>
      </c>
      <c r="F24" s="40" t="s">
        <v>294</v>
      </c>
      <c r="G24" s="40" t="s">
        <v>150</v>
      </c>
      <c r="H24" s="44"/>
      <c r="I24" s="112"/>
      <c r="J24" s="40">
        <v>1</v>
      </c>
      <c r="K24" s="42">
        <v>95</v>
      </c>
      <c r="L24" s="40">
        <f>IF(K24&gt;=91, 4.00, IF(K24&gt;=81, 3.50, IF(K24&gt;=70, 3.00, IF(K24&gt;=65, 2.50, IF(K24&gt;=60, 2.00, IF(K24&gt;=55, 1.50, IF(K24&gt;=50, 1.00, 0.00)))))))</f>
      </c>
      <c r="M24" s="40">
        <f>IF(K24&gt;=91,"A",IF(K24&gt;=81,"B+",IF(K24&gt;=70,"B",IF(K24&gt;=65,"C+",IF(K24&gt;=60,"C",IF(K24&gt;=55,"D+",IF(K24&gt;=50,"D","F")))))))</f>
      </c>
      <c r="N24" s="42">
        <v>77</v>
      </c>
      <c r="O24" s="40">
        <f>IF(N24&gt;=91, 4.00, IF(N24&gt;=81, 3.50, IF(N24&gt;=70, 3.00, IF(N24&gt;=65, 2.50, IF(N24&gt;=60, 2.00, IF(N24&gt;=55, 1.50, IF(N24&gt;=50, 1.00, 0.00)))))))</f>
      </c>
      <c r="P24" s="40">
        <f>IF(N24&gt;=91,"A",IF(N24&gt;=81,"B+",IF(N24&gt;=70,"B",IF(N24&gt;=65,"C+",IF(N24&gt;=60,"C",IF(N24&gt;=55,"D+",IF(N24&gt;=50,"D","F")))))))</f>
      </c>
      <c r="Q24" s="42">
        <v>80</v>
      </c>
      <c r="R24" s="40">
        <f>IF(Q24&gt;=91, 4.00, IF(Q24&gt;=81, 3.50, IF(Q24&gt;=70, 3.00, IF(Q24&gt;=65, 2.50, IF(Q24&gt;=60, 2.00, IF(Q24&gt;=55, 1.50, IF(Q24&gt;=50, 1.00, 0.00)))))))</f>
      </c>
      <c r="S24" s="40">
        <f>IF(Q24&gt;=91,"A",IF(Q24&gt;=81,"B+",IF(Q24&gt;=70,"B",IF(Q24&gt;=65,"C+",IF(Q24&gt;=60,"C",IF(Q24&gt;=55,"D+",IF(Q24&gt;=50,"D","F")))))))</f>
      </c>
      <c r="T24" s="42">
        <v>83</v>
      </c>
      <c r="U24" s="40">
        <f>IF(T24&gt;=91, 4.00, IF(T24&gt;=81, 3.50, IF(T24&gt;=70, 3.00, IF(T24&gt;=65, 2.50, IF(T24&gt;=60, 2.00, IF(T24&gt;=55, 1.50, IF(T24&gt;=50, 1.00, 0.00)))))))</f>
      </c>
      <c r="V24" s="40">
        <f>IF(T24&gt;=91,"A",IF(T24&gt;=81,"B+",IF(T24&gt;=70,"B",IF(T24&gt;=65,"C+",IF(T24&gt;=60,"C",IF(T24&gt;=55,"D+",IF(T24&gt;=50,"D","F")))))))</f>
      </c>
      <c r="W24" s="42">
        <v>86</v>
      </c>
      <c r="X24" s="40">
        <f>IF(W24&gt;=91, 4.00, IF(W24&gt;=81, 3.50, IF(W24&gt;=70, 3.00, IF(W24&gt;=65, 2.50, IF(W24&gt;=60, 2.00, IF(W24&gt;=55, 1.50, IF(W24&gt;=50, 1.00, 0.00)))))))</f>
      </c>
      <c r="Y24" s="40">
        <f>IF(W24&gt;=91,"A",IF(W24&gt;=81,"B+",IF(W24&gt;=70,"B",IF(W24&gt;=65,"C+",IF(W24&gt;=60,"C",IF(W24&gt;=55,"D+",IF(W24&gt;=50,"D","F")))))))</f>
      </c>
      <c r="Z24" s="46">
        <v>89</v>
      </c>
      <c r="AA24" s="40">
        <f>IF(Z24&gt;=91, 4.00, IF(Z24&gt;=81, 3.50, IF(Z24&gt;=70, 3.00, IF(Z24&gt;=65, 2.50, IF(Z24&gt;=60, 2.00, IF(Z24&gt;=55, 1.50, IF(Z24&gt;=50, 1.00, 0.00)))))))</f>
      </c>
      <c r="AB24" s="40">
        <f>IF(Z24&gt;=91,"A",IF(Z24&gt;=81,"B+",IF(Z24&gt;=70,"B",IF(Z24&gt;=65,"C+",IF(Z24&gt;=60,"C",IF(Z24&gt;=55,"D+",IF(Z24&gt;=50,"D","F")))))))</f>
      </c>
      <c r="AC24" s="40">
        <f>ROUND((L24*2+O24*2+R24*2+U24*2+X24*2+AA24*1)/11, 2)</f>
      </c>
      <c r="AD24" s="47">
        <v>93</v>
      </c>
      <c r="AE24" s="40">
        <f>IF(AD24&gt;=91, 4.00, IF(AD24&gt;=81, 3.50, IF(AD24&gt;=70, 3.00, IF(AD24&gt;=65, 2.50, IF(AD24&gt;=60, 2.00, IF(AD24&gt;=55, 1.50, IF(AD24&gt;=50, 1.00, 0.00)))))))</f>
      </c>
      <c r="AF24" s="40">
        <f>IF(AD24&gt;=91,"A",IF(AD24&gt;=81,"B+",IF(AD24&gt;=70,"B",IF(AD24&gt;=65,"C+",IF(AD24&gt;=60,"C",IF(AD24&gt;=55,"D+",IF(AD24&gt;=50,"D","F")))))))</f>
      </c>
      <c r="AG24" s="40" t="s">
        <v>51</v>
      </c>
      <c r="AH24" s="40">
        <f>IF(AG24&gt;=91, 4.00, IF(AG24&gt;=81, 3.50, IF(AG24&gt;=70, 3.00, IF(AG24&gt;=65, 2.50, IF(AG24&gt;=60, 2.00, IF(AG24&gt;=55, 1.50, IF(AG24&gt;=50, 1.00, 0.00)))))))</f>
      </c>
      <c r="AI24" s="40">
        <f>IF(AG24&gt;=91,"A",IF(AG24&gt;=81,"B+",IF(AG24&gt;=70,"B",IF(AG24&gt;=65,"C+",IF(AG24&gt;=60,"C",IF(AG24&gt;=55,"D+",IF(AG24&gt;=50,"D","F")))))))</f>
      </c>
      <c r="AJ24" s="40" t="s">
        <v>294</v>
      </c>
      <c r="AK24" s="40">
        <f>IF(AJ24&gt;=91, 4.00, IF(AJ24&gt;=81, 3.50, IF(AJ24&gt;=70, 3.00, IF(AJ24&gt;=65, 2.50, IF(AJ24&gt;=60, 2.00, IF(AJ24&gt;=55, 1.50, IF(AJ24&gt;=50, 1.00, 0.00)))))))</f>
      </c>
      <c r="AL24" s="44">
        <f>IF(AJ24&gt;=91,"A",IF(AJ24&gt;=81,"B+",IF(AJ24&gt;=70,"B",IF(AJ24&gt;=65,"C+",IF(AJ24&gt;=60,"C",IF(AJ24&gt;=55,"D+",IF(AJ24&gt;=50,"D","F")))))))</f>
      </c>
      <c r="AM24" s="112">
        <v>81</v>
      </c>
      <c r="AN24" s="48">
        <f>IF(AM24&gt;=91, 4.00, IF(AM24&gt;=81, 3.50, IF(AM24&gt;=70, 3.00, IF(AM24&gt;=65, 2.50, IF(AM24&gt;=60, 2.00, IF(AM24&gt;=55, 1.50, IF(AM24&gt;=50, 1.00, 0.00)))))))</f>
      </c>
      <c r="AO24" s="49">
        <f>IF(AM24&gt;=91,"A",IF(AM24&gt;=81,"B+",IF(AM24&gt;=70,"B",IF(AM24&gt;=65,"C+",IF(AM24&gt;=60,"C",IF(AM24&gt;=55,"D+",IF(AM24&gt;=50,"D","F")))))))</f>
      </c>
      <c r="AP24" s="40">
        <f>ROUND((AE24*2+AH24*2+AK24*2+AN24*6)/12, 2)</f>
      </c>
      <c r="AQ24" s="48"/>
      <c r="AR24" s="49" t="str">
        <f>IF(AQ24&gt;90,"4.00",IF(AQ24&gt;80,"3.50",IF(AQ24&gt;69,"3.00",IF(AQ24&gt;64,"2.50",IF(AQ24&gt;59,"2.00",IF(AQ24&gt;54,"1.50",IF(AQ24&gt;49,"1.00","0.00")))))))</f>
        <v>0.00</v>
      </c>
      <c r="AS24" s="40" t="str">
        <f>IF(AQ24&gt;90,"A",IF(AQ24&gt;80,"B+",IF(AQ24&gt;69,"B",IF(AQ24&gt;64,"C+",IF(AQ24&gt;59,"C",IF(AQ24&gt;54,"D+",IF(AQ24&gt;49,"D",IF(AQ24&gt;=0,"F"))))))))</f>
        <v>F</v>
      </c>
      <c r="AT24" s="43"/>
      <c r="AU24" s="49" t="str">
        <f>IF(AT24&gt;90,"4.00",IF(AT24&gt;80,"3.50",IF(AT24&gt;69,"3.00",IF(AT24&gt;64,"2.50",IF(AT24&gt;59,"2.00",IF(AT24&gt;54,"1.50",IF(AT24&gt;49,"1.00","0.00")))))))</f>
        <v>0.00</v>
      </c>
      <c r="AV24" s="40" t="str">
        <f>IF(AT24&gt;90,"A",IF(AT24&gt;80,"B+",IF(AT24&gt;69,"B",IF(AT24&gt;64,"C+",IF(AT24&gt;59,"C",IF(AT24&gt;54,"D+",IF(AT24&gt;49,"D",IF(AT24&gt;=0,"F"))))))))</f>
        <v>F</v>
      </c>
      <c r="AW24" s="48"/>
      <c r="AX24" s="49" t="str">
        <f>IF(AW24&gt;90,"4.00",IF(AW24&gt;80,"3.50",IF(AW24&gt;69,"3.00",IF(AW24&gt;64,"2.50",IF(AW24&gt;59,"2.00",IF(AW24&gt;54,"1.50",IF(AW24&gt;49,"1.00","0.00")))))))</f>
        <v>0.00</v>
      </c>
      <c r="AY24" s="40" t="str">
        <f>IF(AW24&gt;90,"A",IF(AW24&gt;80,"B+",IF(AW24&gt;69,"B",IF(AW24&gt;64,"C+",IF(AW24&gt;59,"C",IF(AW24&gt;54,"D+",IF(AW24&gt;49,"D",IF(AW24&gt;=0,"F"))))))))</f>
        <v>F</v>
      </c>
      <c r="AZ24" s="135">
        <f>(AO24*2+AR24*2+AU24*2+AX24*9)/(2+2+2+9)</f>
        <v>0</v>
      </c>
      <c r="BA24" s="50">
        <f>(AC24+AZ24)/2</f>
        <v>0</v>
      </c>
      <c r="BB24" s="51">
        <f>RANK(BA24,$BA$7:BA53)</f>
        <v>1</v>
      </c>
      <c r="BC24" s="114"/>
      <c r="BD24" s="52"/>
      <c r="BE24" s="52"/>
      <c r="BF24" s="52"/>
    </row>
    <row r="25" ht="20" customHeight="1" spans="1:169" s="39" customFormat="1" x14ac:dyDescent="0.25">
      <c r="A25" s="40">
        <v>19</v>
      </c>
      <c r="B25" s="40" t="s">
        <v>98</v>
      </c>
      <c r="C25" s="40" t="s">
        <v>51</v>
      </c>
      <c r="D25" s="40" t="s">
        <v>154</v>
      </c>
      <c r="E25" s="40" t="s">
        <v>155</v>
      </c>
      <c r="F25" s="40" t="s">
        <v>295</v>
      </c>
      <c r="G25" s="40" t="s">
        <v>296</v>
      </c>
      <c r="H25" s="44"/>
      <c r="I25" s="112"/>
      <c r="J25" s="40">
        <v>1</v>
      </c>
      <c r="K25" s="42">
        <v>77</v>
      </c>
      <c r="L25" s="40">
        <f>IF(K25&gt;=91, 4.00, IF(K25&gt;=81, 3.50, IF(K25&gt;=70, 3.00, IF(K25&gt;=65, 2.50, IF(K25&gt;=60, 2.00, IF(K25&gt;=55, 1.50, IF(K25&gt;=50, 1.00, 0.00)))))))</f>
      </c>
      <c r="M25" s="40">
        <f>IF(K25&gt;=91,"A",IF(K25&gt;=81,"B+",IF(K25&gt;=70,"B",IF(K25&gt;=65,"C+",IF(K25&gt;=60,"C",IF(K25&gt;=55,"D+",IF(K25&gt;=50,"D","F")))))))</f>
      </c>
      <c r="N25" s="42">
        <v>80</v>
      </c>
      <c r="O25" s="40">
        <f>IF(N25&gt;=91, 4.00, IF(N25&gt;=81, 3.50, IF(N25&gt;=70, 3.00, IF(N25&gt;=65, 2.50, IF(N25&gt;=60, 2.00, IF(N25&gt;=55, 1.50, IF(N25&gt;=50, 1.00, 0.00)))))))</f>
      </c>
      <c r="P25" s="40">
        <f>IF(N25&gt;=91,"A",IF(N25&gt;=81,"B+",IF(N25&gt;=70,"B",IF(N25&gt;=65,"C+",IF(N25&gt;=60,"C",IF(N25&gt;=55,"D+",IF(N25&gt;=50,"D","F")))))))</f>
      </c>
      <c r="Q25" s="42">
        <v>83</v>
      </c>
      <c r="R25" s="40">
        <f>IF(Q25&gt;=91, 4.00, IF(Q25&gt;=81, 3.50, IF(Q25&gt;=70, 3.00, IF(Q25&gt;=65, 2.50, IF(Q25&gt;=60, 2.00, IF(Q25&gt;=55, 1.50, IF(Q25&gt;=50, 1.00, 0.00)))))))</f>
      </c>
      <c r="S25" s="40">
        <f>IF(Q25&gt;=91,"A",IF(Q25&gt;=81,"B+",IF(Q25&gt;=70,"B",IF(Q25&gt;=65,"C+",IF(Q25&gt;=60,"C",IF(Q25&gt;=55,"D+",IF(Q25&gt;=50,"D","F")))))))</f>
      </c>
      <c r="T25" s="42">
        <v>86</v>
      </c>
      <c r="U25" s="40">
        <f>IF(T25&gt;=91, 4.00, IF(T25&gt;=81, 3.50, IF(T25&gt;=70, 3.00, IF(T25&gt;=65, 2.50, IF(T25&gt;=60, 2.00, IF(T25&gt;=55, 1.50, IF(T25&gt;=50, 1.00, 0.00)))))))</f>
      </c>
      <c r="V25" s="40">
        <f>IF(T25&gt;=91,"A",IF(T25&gt;=81,"B+",IF(T25&gt;=70,"B",IF(T25&gt;=65,"C+",IF(T25&gt;=60,"C",IF(T25&gt;=55,"D+",IF(T25&gt;=50,"D","F")))))))</f>
      </c>
      <c r="W25" s="42">
        <v>89</v>
      </c>
      <c r="X25" s="40">
        <f>IF(W25&gt;=91, 4.00, IF(W25&gt;=81, 3.50, IF(W25&gt;=70, 3.00, IF(W25&gt;=65, 2.50, IF(W25&gt;=60, 2.00, IF(W25&gt;=55, 1.50, IF(W25&gt;=50, 1.00, 0.00)))))))</f>
      </c>
      <c r="Y25" s="40">
        <f>IF(W25&gt;=91,"A",IF(W25&gt;=81,"B+",IF(W25&gt;=70,"B",IF(W25&gt;=65,"C+",IF(W25&gt;=60,"C",IF(W25&gt;=55,"D+",IF(W25&gt;=50,"D","F")))))))</f>
      </c>
      <c r="Z25" s="46">
        <v>92</v>
      </c>
      <c r="AA25" s="40">
        <f>IF(Z25&gt;=91, 4.00, IF(Z25&gt;=81, 3.50, IF(Z25&gt;=70, 3.00, IF(Z25&gt;=65, 2.50, IF(Z25&gt;=60, 2.00, IF(Z25&gt;=55, 1.50, IF(Z25&gt;=50, 1.00, 0.00)))))))</f>
      </c>
      <c r="AB25" s="40">
        <f>IF(Z25&gt;=91,"A",IF(Z25&gt;=81,"B+",IF(Z25&gt;=70,"B",IF(Z25&gt;=65,"C+",IF(Z25&gt;=60,"C",IF(Z25&gt;=55,"D+",IF(Z25&gt;=50,"D","F")))))))</f>
      </c>
      <c r="AC25" s="40">
        <f>ROUND((L25*2+O25*2+R25*2+U25*2+X25*2+AA25*1)/11, 2)</f>
      </c>
      <c r="AD25" s="47">
        <v>75</v>
      </c>
      <c r="AE25" s="40">
        <f>IF(AD25&gt;=91, 4.00, IF(AD25&gt;=81, 3.50, IF(AD25&gt;=70, 3.00, IF(AD25&gt;=65, 2.50, IF(AD25&gt;=60, 2.00, IF(AD25&gt;=55, 1.50, IF(AD25&gt;=50, 1.00, 0.00)))))))</f>
      </c>
      <c r="AF25" s="40">
        <f>IF(AD25&gt;=91,"A",IF(AD25&gt;=81,"B+",IF(AD25&gt;=70,"B",IF(AD25&gt;=65,"C+",IF(AD25&gt;=60,"C",IF(AD25&gt;=55,"D+",IF(AD25&gt;=50,"D","F")))))))</f>
      </c>
      <c r="AG25" s="40" t="s">
        <v>51</v>
      </c>
      <c r="AH25" s="40">
        <f>IF(AG25&gt;=91, 4.00, IF(AG25&gt;=81, 3.50, IF(AG25&gt;=70, 3.00, IF(AG25&gt;=65, 2.50, IF(AG25&gt;=60, 2.00, IF(AG25&gt;=55, 1.50, IF(AG25&gt;=50, 1.00, 0.00)))))))</f>
      </c>
      <c r="AI25" s="40">
        <f>IF(AG25&gt;=91,"A",IF(AG25&gt;=81,"B+",IF(AG25&gt;=70,"B",IF(AG25&gt;=65,"C+",IF(AG25&gt;=60,"C",IF(AG25&gt;=55,"D+",IF(AG25&gt;=50,"D","F")))))))</f>
      </c>
      <c r="AJ25" s="40" t="s">
        <v>295</v>
      </c>
      <c r="AK25" s="40">
        <f>IF(AJ25&gt;=91, 4.00, IF(AJ25&gt;=81, 3.50, IF(AJ25&gt;=70, 3.00, IF(AJ25&gt;=65, 2.50, IF(AJ25&gt;=60, 2.00, IF(AJ25&gt;=55, 1.50, IF(AJ25&gt;=50, 1.00, 0.00)))))))</f>
      </c>
      <c r="AL25" s="44">
        <f>IF(AJ25&gt;=91,"A",IF(AJ25&gt;=81,"B+",IF(AJ25&gt;=70,"B",IF(AJ25&gt;=65,"C+",IF(AJ25&gt;=60,"C",IF(AJ25&gt;=55,"D+",IF(AJ25&gt;=50,"D","F")))))))</f>
      </c>
      <c r="AM25" s="112">
        <v>84</v>
      </c>
      <c r="AN25" s="48">
        <f>IF(AM25&gt;=91, 4.00, IF(AM25&gt;=81, 3.50, IF(AM25&gt;=70, 3.00, IF(AM25&gt;=65, 2.50, IF(AM25&gt;=60, 2.00, IF(AM25&gt;=55, 1.50, IF(AM25&gt;=50, 1.00, 0.00)))))))</f>
      </c>
      <c r="AO25" s="49">
        <f>IF(AM25&gt;=91,"A",IF(AM25&gt;=81,"B+",IF(AM25&gt;=70,"B",IF(AM25&gt;=65,"C+",IF(AM25&gt;=60,"C",IF(AM25&gt;=55,"D+",IF(AM25&gt;=50,"D","F")))))))</f>
      </c>
      <c r="AP25" s="40">
        <f>ROUND((AE25*2+AH25*2+AK25*2+AN25*6)/12, 2)</f>
      </c>
      <c r="AQ25" s="48"/>
      <c r="AR25" s="49" t="str">
        <f>IF(AQ25&gt;90,"4.00",IF(AQ25&gt;80,"3.50",IF(AQ25&gt;69,"3.00",IF(AQ25&gt;64,"2.50",IF(AQ25&gt;59,"2.00",IF(AQ25&gt;54,"1.50",IF(AQ25&gt;49,"1.00","0.00")))))))</f>
        <v>0.00</v>
      </c>
      <c r="AS25" s="40" t="str">
        <f>IF(AQ25&gt;90,"A",IF(AQ25&gt;80,"B+",IF(AQ25&gt;69,"B",IF(AQ25&gt;64,"C+",IF(AQ25&gt;59,"C",IF(AQ25&gt;54,"D+",IF(AQ25&gt;49,"D",IF(AQ25&gt;=0,"F"))))))))</f>
        <v>F</v>
      </c>
      <c r="AT25" s="43"/>
      <c r="AU25" s="49" t="str">
        <f>IF(AT25&gt;90,"4.00",IF(AT25&gt;80,"3.50",IF(AT25&gt;69,"3.00",IF(AT25&gt;64,"2.50",IF(AT25&gt;59,"2.00",IF(AT25&gt;54,"1.50",IF(AT25&gt;49,"1.00","0.00")))))))</f>
        <v>0.00</v>
      </c>
      <c r="AV25" s="40" t="str">
        <f>IF(AT25&gt;90,"A",IF(AT25&gt;80,"B+",IF(AT25&gt;69,"B",IF(AT25&gt;64,"C+",IF(AT25&gt;59,"C",IF(AT25&gt;54,"D+",IF(AT25&gt;49,"D",IF(AT25&gt;=0,"F"))))))))</f>
        <v>F</v>
      </c>
      <c r="AW25" s="48"/>
      <c r="AX25" s="49" t="str">
        <f>IF(AW25&gt;90,"4.00",IF(AW25&gt;80,"3.50",IF(AW25&gt;69,"3.00",IF(AW25&gt;64,"2.50",IF(AW25&gt;59,"2.00",IF(AW25&gt;54,"1.50",IF(AW25&gt;49,"1.00","0.00")))))))</f>
        <v>0.00</v>
      </c>
      <c r="AY25" s="40" t="str">
        <f>IF(AW25&gt;90,"A",IF(AW25&gt;80,"B+",IF(AW25&gt;69,"B",IF(AW25&gt;64,"C+",IF(AW25&gt;59,"C",IF(AW25&gt;54,"D+",IF(AW25&gt;49,"D",IF(AW25&gt;=0,"F"))))))))</f>
        <v>F</v>
      </c>
      <c r="AZ25" s="135">
        <f>(AO25*2+AR25*2+AU25*2+AX25*9)/(2+2+2+9)</f>
        <v>0</v>
      </c>
      <c r="BA25" s="50">
        <f>(AC25+AZ25)/2</f>
        <v>0</v>
      </c>
      <c r="BB25" s="51">
        <f>RANK(BA25,$BA$7:BA54)</f>
        <v>1</v>
      </c>
      <c r="BC25" s="58"/>
      <c r="BD25" s="52"/>
      <c r="BE25" s="52"/>
      <c r="BF25" s="52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  <c r="CG25" s="53"/>
      <c r="CH25" s="53"/>
      <c r="CI25" s="53"/>
      <c r="CJ25" s="53"/>
      <c r="CK25" s="53"/>
      <c r="CL25" s="53"/>
      <c r="CM25" s="53"/>
      <c r="CN25" s="53"/>
      <c r="CO25" s="53"/>
      <c r="CP25" s="53"/>
      <c r="CQ25" s="53"/>
      <c r="CR25" s="53"/>
      <c r="CS25" s="53"/>
      <c r="CT25" s="53"/>
      <c r="CU25" s="53"/>
      <c r="CV25" s="53"/>
      <c r="CW25" s="53"/>
      <c r="CX25" s="53"/>
      <c r="CY25" s="53"/>
      <c r="CZ25" s="53"/>
      <c r="DA25" s="53"/>
      <c r="DB25" s="53"/>
      <c r="DC25" s="53"/>
      <c r="DD25" s="53"/>
      <c r="DE25" s="53"/>
      <c r="DF25" s="53"/>
      <c r="DG25" s="53"/>
      <c r="DH25" s="53"/>
      <c r="DI25" s="53"/>
      <c r="DJ25" s="53"/>
      <c r="DK25" s="53"/>
      <c r="DL25" s="53"/>
      <c r="DM25" s="53"/>
      <c r="DN25" s="53"/>
      <c r="DO25" s="53"/>
      <c r="DP25" s="53"/>
      <c r="DQ25" s="53"/>
      <c r="DR25" s="53"/>
      <c r="DS25" s="53"/>
      <c r="DT25" s="53"/>
      <c r="DU25" s="53"/>
      <c r="DV25" s="53"/>
      <c r="DW25" s="53"/>
      <c r="DX25" s="53"/>
      <c r="DY25" s="53"/>
      <c r="DZ25" s="53"/>
      <c r="EA25" s="53"/>
      <c r="EB25" s="53"/>
      <c r="EC25" s="53"/>
      <c r="ED25" s="53"/>
      <c r="EE25" s="53"/>
      <c r="EF25" s="53"/>
      <c r="EG25" s="53"/>
      <c r="EH25" s="53"/>
      <c r="EI25" s="53"/>
      <c r="EJ25" s="53"/>
      <c r="EK25" s="53"/>
      <c r="EL25" s="53"/>
      <c r="EM25" s="53"/>
      <c r="EN25" s="53"/>
      <c r="EO25" s="53"/>
      <c r="EP25" s="53"/>
      <c r="EQ25" s="53"/>
      <c r="ER25" s="53"/>
      <c r="ES25" s="53"/>
      <c r="ET25" s="53"/>
      <c r="EU25" s="53"/>
      <c r="EV25" s="53"/>
      <c r="EW25" s="53"/>
      <c r="EX25" s="53"/>
      <c r="EY25" s="53"/>
      <c r="EZ25" s="53"/>
      <c r="FA25" s="53"/>
      <c r="FB25" s="53"/>
      <c r="FC25" s="53"/>
      <c r="FD25" s="53"/>
      <c r="FE25" s="53"/>
      <c r="FF25" s="53"/>
      <c r="FG25" s="53"/>
      <c r="FH25" s="53"/>
      <c r="FI25" s="53"/>
      <c r="FJ25" s="53"/>
      <c r="FK25" s="53"/>
      <c r="FL25" s="53"/>
      <c r="FM25" s="53"/>
    </row>
    <row r="26" ht="20" customHeight="1" spans="1:169" s="39" customFormat="1" x14ac:dyDescent="0.25">
      <c r="A26" s="40">
        <v>20</v>
      </c>
      <c r="B26" s="40" t="s">
        <v>104</v>
      </c>
      <c r="C26" s="40" t="s">
        <v>43</v>
      </c>
      <c r="D26" s="40" t="s">
        <v>160</v>
      </c>
      <c r="E26" s="40" t="s">
        <v>161</v>
      </c>
      <c r="F26" s="40" t="s">
        <v>297</v>
      </c>
      <c r="G26" s="40" t="s">
        <v>163</v>
      </c>
      <c r="H26" s="111"/>
      <c r="I26" s="112"/>
      <c r="J26" s="40">
        <v>1</v>
      </c>
      <c r="K26" s="42">
        <v>80</v>
      </c>
      <c r="L26" s="40">
        <f>IF(K26&gt;=91, 4.00, IF(K26&gt;=81, 3.50, IF(K26&gt;=70, 3.00, IF(K26&gt;=65, 2.50, IF(K26&gt;=60, 2.00, IF(K26&gt;=55, 1.50, IF(K26&gt;=50, 1.00, 0.00)))))))</f>
      </c>
      <c r="M26" s="40">
        <f>IF(K26&gt;=91,"A",IF(K26&gt;=81,"B+",IF(K26&gt;=70,"B",IF(K26&gt;=65,"C+",IF(K26&gt;=60,"C",IF(K26&gt;=55,"D+",IF(K26&gt;=50,"D","F")))))))</f>
      </c>
      <c r="N26" s="42">
        <v>83</v>
      </c>
      <c r="O26" s="40">
        <f>IF(N26&gt;=91, 4.00, IF(N26&gt;=81, 3.50, IF(N26&gt;=70, 3.00, IF(N26&gt;=65, 2.50, IF(N26&gt;=60, 2.00, IF(N26&gt;=55, 1.50, IF(N26&gt;=50, 1.00, 0.00)))))))</f>
      </c>
      <c r="P26" s="40">
        <f>IF(N26&gt;=91,"A",IF(N26&gt;=81,"B+",IF(N26&gt;=70,"B",IF(N26&gt;=65,"C+",IF(N26&gt;=60,"C",IF(N26&gt;=55,"D+",IF(N26&gt;=50,"D","F")))))))</f>
      </c>
      <c r="Q26" s="42">
        <v>86</v>
      </c>
      <c r="R26" s="40">
        <f>IF(Q26&gt;=91, 4.00, IF(Q26&gt;=81, 3.50, IF(Q26&gt;=70, 3.00, IF(Q26&gt;=65, 2.50, IF(Q26&gt;=60, 2.00, IF(Q26&gt;=55, 1.50, IF(Q26&gt;=50, 1.00, 0.00)))))))</f>
      </c>
      <c r="S26" s="40">
        <f>IF(Q26&gt;=91,"A",IF(Q26&gt;=81,"B+",IF(Q26&gt;=70,"B",IF(Q26&gt;=65,"C+",IF(Q26&gt;=60,"C",IF(Q26&gt;=55,"D+",IF(Q26&gt;=50,"D","F")))))))</f>
      </c>
      <c r="T26" s="42">
        <v>89</v>
      </c>
      <c r="U26" s="40">
        <f>IF(T26&gt;=91, 4.00, IF(T26&gt;=81, 3.50, IF(T26&gt;=70, 3.00, IF(T26&gt;=65, 2.50, IF(T26&gt;=60, 2.00, IF(T26&gt;=55, 1.50, IF(T26&gt;=50, 1.00, 0.00)))))))</f>
      </c>
      <c r="V26" s="40">
        <f>IF(T26&gt;=91,"A",IF(T26&gt;=81,"B+",IF(T26&gt;=70,"B",IF(T26&gt;=65,"C+",IF(T26&gt;=60,"C",IF(T26&gt;=55,"D+",IF(T26&gt;=50,"D","F")))))))</f>
      </c>
      <c r="W26" s="42">
        <v>92</v>
      </c>
      <c r="X26" s="40">
        <f>IF(W26&gt;=91, 4.00, IF(W26&gt;=81, 3.50, IF(W26&gt;=70, 3.00, IF(W26&gt;=65, 2.50, IF(W26&gt;=60, 2.00, IF(W26&gt;=55, 1.50, IF(W26&gt;=50, 1.00, 0.00)))))))</f>
      </c>
      <c r="Y26" s="40">
        <f>IF(W26&gt;=91,"A",IF(W26&gt;=81,"B+",IF(W26&gt;=70,"B",IF(W26&gt;=65,"C+",IF(W26&gt;=60,"C",IF(W26&gt;=55,"D+",IF(W26&gt;=50,"D","F")))))))</f>
      </c>
      <c r="Z26" s="46">
        <v>95</v>
      </c>
      <c r="AA26" s="40">
        <f>IF(Z26&gt;=91, 4.00, IF(Z26&gt;=81, 3.50, IF(Z26&gt;=70, 3.00, IF(Z26&gt;=65, 2.50, IF(Z26&gt;=60, 2.00, IF(Z26&gt;=55, 1.50, IF(Z26&gt;=50, 1.00, 0.00)))))))</f>
      </c>
      <c r="AB26" s="40">
        <f>IF(Z26&gt;=91,"A",IF(Z26&gt;=81,"B+",IF(Z26&gt;=70,"B",IF(Z26&gt;=65,"C+",IF(Z26&gt;=60,"C",IF(Z26&gt;=55,"D+",IF(Z26&gt;=50,"D","F")))))))</f>
      </c>
      <c r="AC26" s="40">
        <f>ROUND((L26*2+O26*2+R26*2+U26*2+X26*2+AA26*1)/11, 2)</f>
      </c>
      <c r="AD26" s="47">
        <v>78</v>
      </c>
      <c r="AE26" s="40">
        <f>IF(AD26&gt;=91, 4.00, IF(AD26&gt;=81, 3.50, IF(AD26&gt;=70, 3.00, IF(AD26&gt;=65, 2.50, IF(AD26&gt;=60, 2.00, IF(AD26&gt;=55, 1.50, IF(AD26&gt;=50, 1.00, 0.00)))))))</f>
      </c>
      <c r="AF26" s="40">
        <f>IF(AD26&gt;=91,"A",IF(AD26&gt;=81,"B+",IF(AD26&gt;=70,"B",IF(AD26&gt;=65,"C+",IF(AD26&gt;=60,"C",IF(AD26&gt;=55,"D+",IF(AD26&gt;=50,"D","F")))))))</f>
      </c>
      <c r="AG26" s="40" t="s">
        <v>43</v>
      </c>
      <c r="AH26" s="40">
        <f>IF(AG26&gt;=91, 4.00, IF(AG26&gt;=81, 3.50, IF(AG26&gt;=70, 3.00, IF(AG26&gt;=65, 2.50, IF(AG26&gt;=60, 2.00, IF(AG26&gt;=55, 1.50, IF(AG26&gt;=50, 1.00, 0.00)))))))</f>
      </c>
      <c r="AI26" s="40">
        <f>IF(AG26&gt;=91,"A",IF(AG26&gt;=81,"B+",IF(AG26&gt;=70,"B",IF(AG26&gt;=65,"C+",IF(AG26&gt;=60,"C",IF(AG26&gt;=55,"D+",IF(AG26&gt;=50,"D","F")))))))</f>
      </c>
      <c r="AJ26" s="40" t="s">
        <v>297</v>
      </c>
      <c r="AK26" s="40">
        <f>IF(AJ26&gt;=91, 4.00, IF(AJ26&gt;=81, 3.50, IF(AJ26&gt;=70, 3.00, IF(AJ26&gt;=65, 2.50, IF(AJ26&gt;=60, 2.00, IF(AJ26&gt;=55, 1.50, IF(AJ26&gt;=50, 1.00, 0.00)))))))</f>
      </c>
      <c r="AL26" s="111">
        <f>IF(AJ26&gt;=91,"A",IF(AJ26&gt;=81,"B+",IF(AJ26&gt;=70,"B",IF(AJ26&gt;=65,"C+",IF(AJ26&gt;=60,"C",IF(AJ26&gt;=55,"D+",IF(AJ26&gt;=50,"D","F")))))))</f>
      </c>
      <c r="AM26" s="112">
        <v>87</v>
      </c>
      <c r="AN26" s="48">
        <f>IF(AM26&gt;=91, 4.00, IF(AM26&gt;=81, 3.50, IF(AM26&gt;=70, 3.00, IF(AM26&gt;=65, 2.50, IF(AM26&gt;=60, 2.00, IF(AM26&gt;=55, 1.50, IF(AM26&gt;=50, 1.00, 0.00)))))))</f>
      </c>
      <c r="AO26" s="49">
        <f>IF(AM26&gt;=91,"A",IF(AM26&gt;=81,"B+",IF(AM26&gt;=70,"B",IF(AM26&gt;=65,"C+",IF(AM26&gt;=60,"C",IF(AM26&gt;=55,"D+",IF(AM26&gt;=50,"D","F")))))))</f>
      </c>
      <c r="AP26" s="40">
        <f>ROUND((AE26*2+AH26*2+AK26*2+AN26*6)/12, 2)</f>
      </c>
      <c r="AQ26" s="48"/>
      <c r="AR26" s="49" t="str">
        <f>IF(AQ26&gt;90,"4.00",IF(AQ26&gt;80,"3.50",IF(AQ26&gt;69,"3.00",IF(AQ26&gt;64,"2.50",IF(AQ26&gt;59,"2.00",IF(AQ26&gt;54,"1.50",IF(AQ26&gt;49,"1.00","0.00")))))))</f>
        <v>0.00</v>
      </c>
      <c r="AS26" s="40" t="str">
        <f>IF(AQ26&gt;90,"A",IF(AQ26&gt;80,"B+",IF(AQ26&gt;69,"B",IF(AQ26&gt;64,"C+",IF(AQ26&gt;59,"C",IF(AQ26&gt;54,"D+",IF(AQ26&gt;49,"D",IF(AQ26&gt;=0,"F"))))))))</f>
        <v>F</v>
      </c>
      <c r="AT26" s="43"/>
      <c r="AU26" s="49" t="str">
        <f>IF(AT26&gt;90,"4.00",IF(AT26&gt;80,"3.50",IF(AT26&gt;69,"3.00",IF(AT26&gt;64,"2.50",IF(AT26&gt;59,"2.00",IF(AT26&gt;54,"1.50",IF(AT26&gt;49,"1.00","0.00")))))))</f>
        <v>0.00</v>
      </c>
      <c r="AV26" s="40" t="str">
        <f>IF(AT26&gt;90,"A",IF(AT26&gt;80,"B+",IF(AT26&gt;69,"B",IF(AT26&gt;64,"C+",IF(AT26&gt;59,"C",IF(AT26&gt;54,"D+",IF(AT26&gt;49,"D",IF(AT26&gt;=0,"F"))))))))</f>
        <v>F</v>
      </c>
      <c r="AW26" s="48"/>
      <c r="AX26" s="49" t="str">
        <f>IF(AW26&gt;90,"4.00",IF(AW26&gt;80,"3.50",IF(AW26&gt;69,"3.00",IF(AW26&gt;64,"2.50",IF(AW26&gt;59,"2.00",IF(AW26&gt;54,"1.50",IF(AW26&gt;49,"1.00","0.00")))))))</f>
        <v>0.00</v>
      </c>
      <c r="AY26" s="40" t="str">
        <f>IF(AW26&gt;90,"A",IF(AW26&gt;80,"B+",IF(AW26&gt;69,"B",IF(AW26&gt;64,"C+",IF(AW26&gt;59,"C",IF(AW26&gt;54,"D+",IF(AW26&gt;49,"D",IF(AW26&gt;=0,"F"))))))))</f>
        <v>F</v>
      </c>
      <c r="AZ26" s="135">
        <f>(AO26*2+AR26*2+AU26*2+AX26*9)/(2+2+2+9)</f>
        <v>0</v>
      </c>
      <c r="BA26" s="50">
        <f>(AC26+AZ26)/2</f>
        <v>0</v>
      </c>
      <c r="BB26" s="51">
        <f>RANK(BA26,$BA$7:BA55)</f>
        <v>1</v>
      </c>
      <c r="BC26" s="40"/>
      <c r="BD26" s="52"/>
      <c r="BE26" s="52"/>
      <c r="BF26" s="52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53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53"/>
      <c r="EI26" s="53"/>
      <c r="EJ26" s="53"/>
      <c r="EK26" s="53"/>
      <c r="EL26" s="53"/>
      <c r="EM26" s="53"/>
      <c r="EN26" s="53"/>
      <c r="EO26" s="53"/>
      <c r="EP26" s="53"/>
      <c r="EQ26" s="53"/>
      <c r="ER26" s="53"/>
      <c r="ES26" s="53"/>
      <c r="ET26" s="53"/>
      <c r="EU26" s="53"/>
      <c r="EV26" s="53"/>
      <c r="EW26" s="53"/>
      <c r="EX26" s="53"/>
      <c r="EY26" s="53"/>
      <c r="EZ26" s="53"/>
      <c r="FA26" s="53"/>
      <c r="FB26" s="53"/>
      <c r="FC26" s="53"/>
      <c r="FD26" s="53"/>
      <c r="FE26" s="53"/>
      <c r="FF26" s="53"/>
      <c r="FG26" s="53"/>
      <c r="FH26" s="53"/>
      <c r="FI26" s="53"/>
      <c r="FJ26" s="53"/>
      <c r="FK26" s="53"/>
      <c r="FL26" s="53"/>
      <c r="FM26" s="53"/>
    </row>
    <row r="27" ht="20" customHeight="1" spans="1:169" s="39" customFormat="1" x14ac:dyDescent="0.25">
      <c r="A27" s="40">
        <v>21</v>
      </c>
      <c r="B27" s="40" t="s">
        <v>110</v>
      </c>
      <c r="C27" s="40" t="s">
        <v>51</v>
      </c>
      <c r="D27" s="40" t="s">
        <v>166</v>
      </c>
      <c r="E27" s="40" t="s">
        <v>167</v>
      </c>
      <c r="F27" s="40" t="s">
        <v>298</v>
      </c>
      <c r="G27" s="40" t="s">
        <v>299</v>
      </c>
      <c r="H27" s="44"/>
      <c r="I27" s="112"/>
      <c r="J27" s="40">
        <v>1</v>
      </c>
      <c r="K27" s="42">
        <v>83</v>
      </c>
      <c r="L27" s="40">
        <f>IF(K27&gt;=91, 4.00, IF(K27&gt;=81, 3.50, IF(K27&gt;=70, 3.00, IF(K27&gt;=65, 2.50, IF(K27&gt;=60, 2.00, IF(K27&gt;=55, 1.50, IF(K27&gt;=50, 1.00, 0.00)))))))</f>
      </c>
      <c r="M27" s="40">
        <f>IF(K27&gt;=91,"A",IF(K27&gt;=81,"B+",IF(K27&gt;=70,"B",IF(K27&gt;=65,"C+",IF(K27&gt;=60,"C",IF(K27&gt;=55,"D+",IF(K27&gt;=50,"D","F")))))))</f>
      </c>
      <c r="N27" s="42">
        <v>86</v>
      </c>
      <c r="O27" s="40">
        <f>IF(N27&gt;=91, 4.00, IF(N27&gt;=81, 3.50, IF(N27&gt;=70, 3.00, IF(N27&gt;=65, 2.50, IF(N27&gt;=60, 2.00, IF(N27&gt;=55, 1.50, IF(N27&gt;=50, 1.00, 0.00)))))))</f>
      </c>
      <c r="P27" s="40">
        <f>IF(N27&gt;=91,"A",IF(N27&gt;=81,"B+",IF(N27&gt;=70,"B",IF(N27&gt;=65,"C+",IF(N27&gt;=60,"C",IF(N27&gt;=55,"D+",IF(N27&gt;=50,"D","F")))))))</f>
      </c>
      <c r="Q27" s="42">
        <v>89</v>
      </c>
      <c r="R27" s="40">
        <f>IF(Q27&gt;=91, 4.00, IF(Q27&gt;=81, 3.50, IF(Q27&gt;=70, 3.00, IF(Q27&gt;=65, 2.50, IF(Q27&gt;=60, 2.00, IF(Q27&gt;=55, 1.50, IF(Q27&gt;=50, 1.00, 0.00)))))))</f>
      </c>
      <c r="S27" s="40">
        <f>IF(Q27&gt;=91,"A",IF(Q27&gt;=81,"B+",IF(Q27&gt;=70,"B",IF(Q27&gt;=65,"C+",IF(Q27&gt;=60,"C",IF(Q27&gt;=55,"D+",IF(Q27&gt;=50,"D","F")))))))</f>
      </c>
      <c r="T27" s="42">
        <v>92</v>
      </c>
      <c r="U27" s="40">
        <f>IF(T27&gt;=91, 4.00, IF(T27&gt;=81, 3.50, IF(T27&gt;=70, 3.00, IF(T27&gt;=65, 2.50, IF(T27&gt;=60, 2.00, IF(T27&gt;=55, 1.50, IF(T27&gt;=50, 1.00, 0.00)))))))</f>
      </c>
      <c r="V27" s="40">
        <f>IF(T27&gt;=91,"A",IF(T27&gt;=81,"B+",IF(T27&gt;=70,"B",IF(T27&gt;=65,"C+",IF(T27&gt;=60,"C",IF(T27&gt;=55,"D+",IF(T27&gt;=50,"D","F")))))))</f>
      </c>
      <c r="W27" s="42">
        <v>95</v>
      </c>
      <c r="X27" s="40">
        <f>IF(W27&gt;=91, 4.00, IF(W27&gt;=81, 3.50, IF(W27&gt;=70, 3.00, IF(W27&gt;=65, 2.50, IF(W27&gt;=60, 2.00, IF(W27&gt;=55, 1.50, IF(W27&gt;=50, 1.00, 0.00)))))))</f>
      </c>
      <c r="Y27" s="40">
        <f>IF(W27&gt;=91,"A",IF(W27&gt;=81,"B+",IF(W27&gt;=70,"B",IF(W27&gt;=65,"C+",IF(W27&gt;=60,"C",IF(W27&gt;=55,"D+",IF(W27&gt;=50,"D","F")))))))</f>
      </c>
      <c r="Z27" s="46">
        <v>77</v>
      </c>
      <c r="AA27" s="40">
        <f>IF(Z27&gt;=91, 4.00, IF(Z27&gt;=81, 3.50, IF(Z27&gt;=70, 3.00, IF(Z27&gt;=65, 2.50, IF(Z27&gt;=60, 2.00, IF(Z27&gt;=55, 1.50, IF(Z27&gt;=50, 1.00, 0.00)))))))</f>
      </c>
      <c r="AB27" s="40">
        <f>IF(Z27&gt;=91,"A",IF(Z27&gt;=81,"B+",IF(Z27&gt;=70,"B",IF(Z27&gt;=65,"C+",IF(Z27&gt;=60,"C",IF(Z27&gt;=55,"D+",IF(Z27&gt;=50,"D","F")))))))</f>
      </c>
      <c r="AC27" s="40">
        <f>ROUND((L27*2+O27*2+R27*2+U27*2+X27*2+AA27*1)/11, 2)</f>
      </c>
      <c r="AD27" s="47">
        <v>81</v>
      </c>
      <c r="AE27" s="40">
        <f>IF(AD27&gt;=91, 4.00, IF(AD27&gt;=81, 3.50, IF(AD27&gt;=70, 3.00, IF(AD27&gt;=65, 2.50, IF(AD27&gt;=60, 2.00, IF(AD27&gt;=55, 1.50, IF(AD27&gt;=50, 1.00, 0.00)))))))</f>
      </c>
      <c r="AF27" s="40">
        <f>IF(AD27&gt;=91,"A",IF(AD27&gt;=81,"B+",IF(AD27&gt;=70,"B",IF(AD27&gt;=65,"C+",IF(AD27&gt;=60,"C",IF(AD27&gt;=55,"D+",IF(AD27&gt;=50,"D","F")))))))</f>
      </c>
      <c r="AG27" s="40" t="s">
        <v>51</v>
      </c>
      <c r="AH27" s="40">
        <f>IF(AG27&gt;=91, 4.00, IF(AG27&gt;=81, 3.50, IF(AG27&gt;=70, 3.00, IF(AG27&gt;=65, 2.50, IF(AG27&gt;=60, 2.00, IF(AG27&gt;=55, 1.50, IF(AG27&gt;=50, 1.00, 0.00)))))))</f>
      </c>
      <c r="AI27" s="40">
        <f>IF(AG27&gt;=91,"A",IF(AG27&gt;=81,"B+",IF(AG27&gt;=70,"B",IF(AG27&gt;=65,"C+",IF(AG27&gt;=60,"C",IF(AG27&gt;=55,"D+",IF(AG27&gt;=50,"D","F")))))))</f>
      </c>
      <c r="AJ27" s="40" t="s">
        <v>298</v>
      </c>
      <c r="AK27" s="40">
        <f>IF(AJ27&gt;=91, 4.00, IF(AJ27&gt;=81, 3.50, IF(AJ27&gt;=70, 3.00, IF(AJ27&gt;=65, 2.50, IF(AJ27&gt;=60, 2.00, IF(AJ27&gt;=55, 1.50, IF(AJ27&gt;=50, 1.00, 0.00)))))))</f>
      </c>
      <c r="AL27" s="44">
        <f>IF(AJ27&gt;=91,"A",IF(AJ27&gt;=81,"B+",IF(AJ27&gt;=70,"B",IF(AJ27&gt;=65,"C+",IF(AJ27&gt;=60,"C",IF(AJ27&gt;=55,"D+",IF(AJ27&gt;=50,"D","F")))))))</f>
      </c>
      <c r="AM27" s="112">
        <v>90</v>
      </c>
      <c r="AN27" s="48">
        <f>IF(AM27&gt;=91, 4.00, IF(AM27&gt;=81, 3.50, IF(AM27&gt;=70, 3.00, IF(AM27&gt;=65, 2.50, IF(AM27&gt;=60, 2.00, IF(AM27&gt;=55, 1.50, IF(AM27&gt;=50, 1.00, 0.00)))))))</f>
      </c>
      <c r="AO27" s="49">
        <f>IF(AM27&gt;=91,"A",IF(AM27&gt;=81,"B+",IF(AM27&gt;=70,"B",IF(AM27&gt;=65,"C+",IF(AM27&gt;=60,"C",IF(AM27&gt;=55,"D+",IF(AM27&gt;=50,"D","F")))))))</f>
      </c>
      <c r="AP27" s="40">
        <f>ROUND((AE27*2+AH27*2+AK27*2+AN27*6)/12, 2)</f>
      </c>
      <c r="AQ27" s="48"/>
      <c r="AR27" s="49" t="str">
        <f>IF(AQ27&gt;90,"4.00",IF(AQ27&gt;80,"3.50",IF(AQ27&gt;69,"3.00",IF(AQ27&gt;64,"2.50",IF(AQ27&gt;59,"2.00",IF(AQ27&gt;54,"1.50",IF(AQ27&gt;49,"1.00","0.00")))))))</f>
        <v>0.00</v>
      </c>
      <c r="AS27" s="40" t="str">
        <f>IF(AQ27&gt;90,"A",IF(AQ27&gt;80,"B+",IF(AQ27&gt;69,"B",IF(AQ27&gt;64,"C+",IF(AQ27&gt;59,"C",IF(AQ27&gt;54,"D+",IF(AQ27&gt;49,"D",IF(AQ27&gt;=0,"F"))))))))</f>
        <v>F</v>
      </c>
      <c r="AT27" s="43"/>
      <c r="AU27" s="49" t="str">
        <f>IF(AT27&gt;90,"4.00",IF(AT27&gt;80,"3.50",IF(AT27&gt;69,"3.00",IF(AT27&gt;64,"2.50",IF(AT27&gt;59,"2.00",IF(AT27&gt;54,"1.50",IF(AT27&gt;49,"1.00","0.00")))))))</f>
        <v>0.00</v>
      </c>
      <c r="AV27" s="40" t="str">
        <f>IF(AT27&gt;90,"A",IF(AT27&gt;80,"B+",IF(AT27&gt;69,"B",IF(AT27&gt;64,"C+",IF(AT27&gt;59,"C",IF(AT27&gt;54,"D+",IF(AT27&gt;49,"D",IF(AT27&gt;=0,"F"))))))))</f>
        <v>F</v>
      </c>
      <c r="AW27" s="48"/>
      <c r="AX27" s="49" t="str">
        <f>IF(AW27&gt;90,"4.00",IF(AW27&gt;80,"3.50",IF(AW27&gt;69,"3.00",IF(AW27&gt;64,"2.50",IF(AW27&gt;59,"2.00",IF(AW27&gt;54,"1.50",IF(AW27&gt;49,"1.00","0.00")))))))</f>
        <v>0.00</v>
      </c>
      <c r="AY27" s="40" t="str">
        <f>IF(AW27&gt;90,"A",IF(AW27&gt;80,"B+",IF(AW27&gt;69,"B",IF(AW27&gt;64,"C+",IF(AW27&gt;59,"C",IF(AW27&gt;54,"D+",IF(AW27&gt;49,"D",IF(AW27&gt;=0,"F"))))))))</f>
        <v>F</v>
      </c>
      <c r="AZ27" s="135">
        <f>(AO27*2+AR27*2+AU27*2+AX27*9)/(2+2+2+9)</f>
        <v>0</v>
      </c>
      <c r="BA27" s="50">
        <f>(AC27+AZ27)/2</f>
        <v>0</v>
      </c>
      <c r="BB27" s="51">
        <f>RANK(BA27,$BA$7:BA56)</f>
        <v>1</v>
      </c>
      <c r="BC27" s="66"/>
      <c r="BD27" s="52"/>
      <c r="BE27" s="52"/>
      <c r="BF27" s="52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  <c r="CG27" s="53"/>
      <c r="CH27" s="53"/>
      <c r="CI27" s="53"/>
      <c r="CJ27" s="53"/>
      <c r="CK27" s="53"/>
      <c r="CL27" s="53"/>
      <c r="CM27" s="53"/>
      <c r="CN27" s="53"/>
      <c r="CO27" s="53"/>
      <c r="CP27" s="53"/>
      <c r="CQ27" s="53"/>
      <c r="CR27" s="53"/>
      <c r="CS27" s="53"/>
      <c r="CT27" s="53"/>
      <c r="CU27" s="53"/>
      <c r="CV27" s="53"/>
      <c r="CW27" s="53"/>
      <c r="CX27" s="53"/>
      <c r="CY27" s="53"/>
      <c r="CZ27" s="53"/>
      <c r="DA27" s="53"/>
      <c r="DB27" s="53"/>
      <c r="DC27" s="53"/>
      <c r="DD27" s="53"/>
      <c r="DE27" s="53"/>
      <c r="DF27" s="53"/>
      <c r="DG27" s="53"/>
      <c r="DH27" s="53"/>
      <c r="DI27" s="53"/>
      <c r="DJ27" s="53"/>
      <c r="DK27" s="53"/>
      <c r="DL27" s="53"/>
      <c r="DM27" s="53"/>
      <c r="DN27" s="53"/>
      <c r="DO27" s="53"/>
      <c r="DP27" s="53"/>
      <c r="DQ27" s="53"/>
      <c r="DR27" s="53"/>
      <c r="DS27" s="53"/>
      <c r="DT27" s="53"/>
      <c r="DU27" s="53"/>
      <c r="DV27" s="53"/>
      <c r="DW27" s="53"/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53"/>
      <c r="EI27" s="53"/>
      <c r="EJ27" s="53"/>
      <c r="EK27" s="53"/>
      <c r="EL27" s="53"/>
      <c r="EM27" s="53"/>
      <c r="EN27" s="53"/>
      <c r="EO27" s="53"/>
      <c r="EP27" s="53"/>
      <c r="EQ27" s="53"/>
      <c r="ER27" s="53"/>
      <c r="ES27" s="53"/>
      <c r="ET27" s="53"/>
      <c r="EU27" s="53"/>
      <c r="EV27" s="53"/>
      <c r="EW27" s="53"/>
      <c r="EX27" s="53"/>
      <c r="EY27" s="53"/>
      <c r="EZ27" s="53"/>
      <c r="FA27" s="53"/>
      <c r="FB27" s="53"/>
      <c r="FC27" s="53"/>
      <c r="FD27" s="53"/>
      <c r="FE27" s="53"/>
      <c r="FF27" s="53"/>
      <c r="FG27" s="53"/>
      <c r="FH27" s="53"/>
      <c r="FI27" s="53"/>
      <c r="FJ27" s="53"/>
      <c r="FK27" s="53"/>
      <c r="FL27" s="53"/>
      <c r="FM27" s="53"/>
    </row>
    <row r="28" ht="20" customHeight="1" spans="1:58" s="53" customFormat="1" x14ac:dyDescent="0.25">
      <c r="A28" s="40">
        <v>22</v>
      </c>
      <c r="B28" s="40" t="s">
        <v>117</v>
      </c>
      <c r="C28" s="40" t="s">
        <v>51</v>
      </c>
      <c r="D28" s="40" t="s">
        <v>171</v>
      </c>
      <c r="E28" s="40" t="s">
        <v>172</v>
      </c>
      <c r="F28" s="40" t="s">
        <v>300</v>
      </c>
      <c r="G28" s="40" t="s">
        <v>174</v>
      </c>
      <c r="H28" s="111"/>
      <c r="I28" s="112"/>
      <c r="J28" s="40">
        <v>1</v>
      </c>
      <c r="K28" s="42">
        <v>86</v>
      </c>
      <c r="L28" s="40">
        <f>IF(K28&gt;=91, 4.00, IF(K28&gt;=81, 3.50, IF(K28&gt;=70, 3.00, IF(K28&gt;=65, 2.50, IF(K28&gt;=60, 2.00, IF(K28&gt;=55, 1.50, IF(K28&gt;=50, 1.00, 0.00)))))))</f>
      </c>
      <c r="M28" s="40">
        <f>IF(K28&gt;=91,"A",IF(K28&gt;=81,"B+",IF(K28&gt;=70,"B",IF(K28&gt;=65,"C+",IF(K28&gt;=60,"C",IF(K28&gt;=55,"D+",IF(K28&gt;=50,"D","F")))))))</f>
      </c>
      <c r="N28" s="42">
        <v>89</v>
      </c>
      <c r="O28" s="40">
        <f>IF(N28&gt;=91, 4.00, IF(N28&gt;=81, 3.50, IF(N28&gt;=70, 3.00, IF(N28&gt;=65, 2.50, IF(N28&gt;=60, 2.00, IF(N28&gt;=55, 1.50, IF(N28&gt;=50, 1.00, 0.00)))))))</f>
      </c>
      <c r="P28" s="40">
        <f>IF(N28&gt;=91,"A",IF(N28&gt;=81,"B+",IF(N28&gt;=70,"B",IF(N28&gt;=65,"C+",IF(N28&gt;=60,"C",IF(N28&gt;=55,"D+",IF(N28&gt;=50,"D","F")))))))</f>
      </c>
      <c r="Q28" s="42">
        <v>92</v>
      </c>
      <c r="R28" s="40">
        <f>IF(Q28&gt;=91, 4.00, IF(Q28&gt;=81, 3.50, IF(Q28&gt;=70, 3.00, IF(Q28&gt;=65, 2.50, IF(Q28&gt;=60, 2.00, IF(Q28&gt;=55, 1.50, IF(Q28&gt;=50, 1.00, 0.00)))))))</f>
      </c>
      <c r="S28" s="40">
        <f>IF(Q28&gt;=91,"A",IF(Q28&gt;=81,"B+",IF(Q28&gt;=70,"B",IF(Q28&gt;=65,"C+",IF(Q28&gt;=60,"C",IF(Q28&gt;=55,"D+",IF(Q28&gt;=50,"D","F")))))))</f>
      </c>
      <c r="T28" s="42">
        <v>95</v>
      </c>
      <c r="U28" s="40">
        <f>IF(T28&gt;=91, 4.00, IF(T28&gt;=81, 3.50, IF(T28&gt;=70, 3.00, IF(T28&gt;=65, 2.50, IF(T28&gt;=60, 2.00, IF(T28&gt;=55, 1.50, IF(T28&gt;=50, 1.00, 0.00)))))))</f>
      </c>
      <c r="V28" s="40">
        <f>IF(T28&gt;=91,"A",IF(T28&gt;=81,"B+",IF(T28&gt;=70,"B",IF(T28&gt;=65,"C+",IF(T28&gt;=60,"C",IF(T28&gt;=55,"D+",IF(T28&gt;=50,"D","F")))))))</f>
      </c>
      <c r="W28" s="42">
        <v>77</v>
      </c>
      <c r="X28" s="40">
        <f>IF(W28&gt;=91, 4.00, IF(W28&gt;=81, 3.50, IF(W28&gt;=70, 3.00, IF(W28&gt;=65, 2.50, IF(W28&gt;=60, 2.00, IF(W28&gt;=55, 1.50, IF(W28&gt;=50, 1.00, 0.00)))))))</f>
      </c>
      <c r="Y28" s="40">
        <f>IF(W28&gt;=91,"A",IF(W28&gt;=81,"B+",IF(W28&gt;=70,"B",IF(W28&gt;=65,"C+",IF(W28&gt;=60,"C",IF(W28&gt;=55,"D+",IF(W28&gt;=50,"D","F")))))))</f>
      </c>
      <c r="Z28" s="46">
        <v>80</v>
      </c>
      <c r="AA28" s="40">
        <f>IF(Z28&gt;=91, 4.00, IF(Z28&gt;=81, 3.50, IF(Z28&gt;=70, 3.00, IF(Z28&gt;=65, 2.50, IF(Z28&gt;=60, 2.00, IF(Z28&gt;=55, 1.50, IF(Z28&gt;=50, 1.00, 0.00)))))))</f>
      </c>
      <c r="AB28" s="40">
        <f>IF(Z28&gt;=91,"A",IF(Z28&gt;=81,"B+",IF(Z28&gt;=70,"B",IF(Z28&gt;=65,"C+",IF(Z28&gt;=60,"C",IF(Z28&gt;=55,"D+",IF(Z28&gt;=50,"D","F")))))))</f>
      </c>
      <c r="AC28" s="40">
        <f>ROUND((L28*2+O28*2+R28*2+U28*2+X28*2+AA28*1)/11, 2)</f>
      </c>
      <c r="AD28" s="52">
        <v>84</v>
      </c>
      <c r="AE28" s="40">
        <f>IF(AD28&gt;=91, 4.00, IF(AD28&gt;=81, 3.50, IF(AD28&gt;=70, 3.00, IF(AD28&gt;=65, 2.50, IF(AD28&gt;=60, 2.00, IF(AD28&gt;=55, 1.50, IF(AD28&gt;=50, 1.00, 0.00)))))))</f>
      </c>
      <c r="AF28" s="40">
        <f>IF(AD28&gt;=91,"A",IF(AD28&gt;=81,"B+",IF(AD28&gt;=70,"B",IF(AD28&gt;=65,"C+",IF(AD28&gt;=60,"C",IF(AD28&gt;=55,"D+",IF(AD28&gt;=50,"D","F")))))))</f>
      </c>
      <c r="AG28" s="40" t="s">
        <v>51</v>
      </c>
      <c r="AH28" s="40">
        <f>IF(AG28&gt;=91, 4.00, IF(AG28&gt;=81, 3.50, IF(AG28&gt;=70, 3.00, IF(AG28&gt;=65, 2.50, IF(AG28&gt;=60, 2.00, IF(AG28&gt;=55, 1.50, IF(AG28&gt;=50, 1.00, 0.00)))))))</f>
      </c>
      <c r="AI28" s="40">
        <f>IF(AG28&gt;=91,"A",IF(AG28&gt;=81,"B+",IF(AG28&gt;=70,"B",IF(AG28&gt;=65,"C+",IF(AG28&gt;=60,"C",IF(AG28&gt;=55,"D+",IF(AG28&gt;=50,"D","F")))))))</f>
      </c>
      <c r="AJ28" s="40" t="s">
        <v>300</v>
      </c>
      <c r="AK28" s="40">
        <f>IF(AJ28&gt;=91, 4.00, IF(AJ28&gt;=81, 3.50, IF(AJ28&gt;=70, 3.00, IF(AJ28&gt;=65, 2.50, IF(AJ28&gt;=60, 2.00, IF(AJ28&gt;=55, 1.50, IF(AJ28&gt;=50, 1.00, 0.00)))))))</f>
      </c>
      <c r="AL28" s="111">
        <f>IF(AJ28&gt;=91,"A",IF(AJ28&gt;=81,"B+",IF(AJ28&gt;=70,"B",IF(AJ28&gt;=65,"C+",IF(AJ28&gt;=60,"C",IF(AJ28&gt;=55,"D+",IF(AJ28&gt;=50,"D","F")))))))</f>
      </c>
      <c r="AM28" s="112">
        <v>93</v>
      </c>
      <c r="AN28" s="48">
        <f>IF(AM28&gt;=91, 4.00, IF(AM28&gt;=81, 3.50, IF(AM28&gt;=70, 3.00, IF(AM28&gt;=65, 2.50, IF(AM28&gt;=60, 2.00, IF(AM28&gt;=55, 1.50, IF(AM28&gt;=50, 1.00, 0.00)))))))</f>
      </c>
      <c r="AO28" s="49">
        <f>IF(AM28&gt;=91,"A",IF(AM28&gt;=81,"B+",IF(AM28&gt;=70,"B",IF(AM28&gt;=65,"C+",IF(AM28&gt;=60,"C",IF(AM28&gt;=55,"D+",IF(AM28&gt;=50,"D","F")))))))</f>
      </c>
      <c r="AP28" s="40">
        <f>ROUND((AE28*2+AH28*2+AK28*2+AN28*6)/12, 2)</f>
      </c>
      <c r="AQ28" s="48"/>
      <c r="AR28" s="49" t="str">
        <f>IF(AQ28&gt;90,"4.00",IF(AQ28&gt;80,"3.50",IF(AQ28&gt;69,"3.00",IF(AQ28&gt;64,"2.50",IF(AQ28&gt;59,"2.00",IF(AQ28&gt;54,"1.50",IF(AQ28&gt;49,"1.00","0.00")))))))</f>
        <v>0.00</v>
      </c>
      <c r="AS28" s="40" t="str">
        <f>IF(AQ28&gt;90,"A",IF(AQ28&gt;80,"B+",IF(AQ28&gt;69,"B",IF(AQ28&gt;64,"C+",IF(AQ28&gt;59,"C",IF(AQ28&gt;54,"D+",IF(AQ28&gt;49,"D",IF(AQ28&gt;=0,"F"))))))))</f>
        <v>F</v>
      </c>
      <c r="AT28" s="43"/>
      <c r="AU28" s="49" t="str">
        <f>IF(AT28&gt;90,"4.00",IF(AT28&gt;80,"3.50",IF(AT28&gt;69,"3.00",IF(AT28&gt;64,"2.50",IF(AT28&gt;59,"2.00",IF(AT28&gt;54,"1.50",IF(AT28&gt;49,"1.00","0.00")))))))</f>
        <v>0.00</v>
      </c>
      <c r="AV28" s="40" t="str">
        <f>IF(AT28&gt;90,"A",IF(AT28&gt;80,"B+",IF(AT28&gt;69,"B",IF(AT28&gt;64,"C+",IF(AT28&gt;59,"C",IF(AT28&gt;54,"D+",IF(AT28&gt;49,"D",IF(AT28&gt;=0,"F"))))))))</f>
        <v>F</v>
      </c>
      <c r="AW28" s="48"/>
      <c r="AX28" s="49" t="str">
        <f>IF(AW28&gt;90,"4.00",IF(AW28&gt;80,"3.50",IF(AW28&gt;69,"3.00",IF(AW28&gt;64,"2.50",IF(AW28&gt;59,"2.00",IF(AW28&gt;54,"1.50",IF(AW28&gt;49,"1.00","0.00")))))))</f>
        <v>0.00</v>
      </c>
      <c r="AY28" s="40" t="str">
        <f>IF(AW28&gt;90,"A",IF(AW28&gt;80,"B+",IF(AW28&gt;69,"B",IF(AW28&gt;64,"C+",IF(AW28&gt;59,"C",IF(AW28&gt;54,"D+",IF(AW28&gt;49,"D",IF(AW28&gt;=0,"F"))))))))</f>
        <v>F</v>
      </c>
      <c r="AZ28" s="135">
        <f>(AO28*2+AR28*2+AU28*2+AX28*9)/(2+2+2+9)</f>
        <v>0</v>
      </c>
      <c r="BA28" s="50">
        <f>(AC28+AZ28)/2</f>
        <v>0</v>
      </c>
      <c r="BB28" s="51">
        <f>RANK(BA28,$BA$7:BA57)</f>
        <v>1</v>
      </c>
      <c r="BC28" s="67"/>
      <c r="BD28" s="52"/>
      <c r="BE28" s="52"/>
      <c r="BF28" s="52"/>
    </row>
    <row r="29" ht="20" customHeight="1" spans="1:59" s="53" customFormat="1" x14ac:dyDescent="0.25">
      <c r="A29" s="40">
        <v>23</v>
      </c>
      <c r="B29" s="40" t="s">
        <v>123</v>
      </c>
      <c r="C29" s="40" t="s">
        <v>43</v>
      </c>
      <c r="D29" s="40" t="s">
        <v>176</v>
      </c>
      <c r="E29" s="40" t="s">
        <v>177</v>
      </c>
      <c r="F29" s="40" t="s">
        <v>301</v>
      </c>
      <c r="G29" s="40" t="s">
        <v>179</v>
      </c>
      <c r="H29" s="44"/>
      <c r="I29" s="112"/>
      <c r="J29" s="40">
        <v>1</v>
      </c>
      <c r="K29" s="42">
        <v>89</v>
      </c>
      <c r="L29" s="40">
        <f>IF(K29&gt;=91, 4.00, IF(K29&gt;=81, 3.50, IF(K29&gt;=70, 3.00, IF(K29&gt;=65, 2.50, IF(K29&gt;=60, 2.00, IF(K29&gt;=55, 1.50, IF(K29&gt;=50, 1.00, 0.00)))))))</f>
      </c>
      <c r="M29" s="40">
        <f>IF(K29&gt;=91,"A",IF(K29&gt;=81,"B+",IF(K29&gt;=70,"B",IF(K29&gt;=65,"C+",IF(K29&gt;=60,"C",IF(K29&gt;=55,"D+",IF(K29&gt;=50,"D","F")))))))</f>
      </c>
      <c r="N29" s="42">
        <v>92</v>
      </c>
      <c r="O29" s="40">
        <f>IF(N29&gt;=91, 4.00, IF(N29&gt;=81, 3.50, IF(N29&gt;=70, 3.00, IF(N29&gt;=65, 2.50, IF(N29&gt;=60, 2.00, IF(N29&gt;=55, 1.50, IF(N29&gt;=50, 1.00, 0.00)))))))</f>
      </c>
      <c r="P29" s="40">
        <f>IF(N29&gt;=91,"A",IF(N29&gt;=81,"B+",IF(N29&gt;=70,"B",IF(N29&gt;=65,"C+",IF(N29&gt;=60,"C",IF(N29&gt;=55,"D+",IF(N29&gt;=50,"D","F")))))))</f>
      </c>
      <c r="Q29" s="42">
        <v>95</v>
      </c>
      <c r="R29" s="40">
        <f>IF(Q29&gt;=91, 4.00, IF(Q29&gt;=81, 3.50, IF(Q29&gt;=70, 3.00, IF(Q29&gt;=65, 2.50, IF(Q29&gt;=60, 2.00, IF(Q29&gt;=55, 1.50, IF(Q29&gt;=50, 1.00, 0.00)))))))</f>
      </c>
      <c r="S29" s="40">
        <f>IF(Q29&gt;=91,"A",IF(Q29&gt;=81,"B+",IF(Q29&gt;=70,"B",IF(Q29&gt;=65,"C+",IF(Q29&gt;=60,"C",IF(Q29&gt;=55,"D+",IF(Q29&gt;=50,"D","F")))))))</f>
      </c>
      <c r="T29" s="42">
        <v>77</v>
      </c>
      <c r="U29" s="40">
        <f>IF(T29&gt;=91, 4.00, IF(T29&gt;=81, 3.50, IF(T29&gt;=70, 3.00, IF(T29&gt;=65, 2.50, IF(T29&gt;=60, 2.00, IF(T29&gt;=55, 1.50, IF(T29&gt;=50, 1.00, 0.00)))))))</f>
      </c>
      <c r="V29" s="40">
        <f>IF(T29&gt;=91,"A",IF(T29&gt;=81,"B+",IF(T29&gt;=70,"B",IF(T29&gt;=65,"C+",IF(T29&gt;=60,"C",IF(T29&gt;=55,"D+",IF(T29&gt;=50,"D","F")))))))</f>
      </c>
      <c r="W29" s="42">
        <v>80</v>
      </c>
      <c r="X29" s="40">
        <f>IF(W29&gt;=91, 4.00, IF(W29&gt;=81, 3.50, IF(W29&gt;=70, 3.00, IF(W29&gt;=65, 2.50, IF(W29&gt;=60, 2.00, IF(W29&gt;=55, 1.50, IF(W29&gt;=50, 1.00, 0.00)))))))</f>
      </c>
      <c r="Y29" s="40">
        <f>IF(W29&gt;=91,"A",IF(W29&gt;=81,"B+",IF(W29&gt;=70,"B",IF(W29&gt;=65,"C+",IF(W29&gt;=60,"C",IF(W29&gt;=55,"D+",IF(W29&gt;=50,"D","F")))))))</f>
      </c>
      <c r="Z29" s="46">
        <v>83</v>
      </c>
      <c r="AA29" s="40">
        <f>IF(Z29&gt;=91, 4.00, IF(Z29&gt;=81, 3.50, IF(Z29&gt;=70, 3.00, IF(Z29&gt;=65, 2.50, IF(Z29&gt;=60, 2.00, IF(Z29&gt;=55, 1.50, IF(Z29&gt;=50, 1.00, 0.00)))))))</f>
      </c>
      <c r="AB29" s="40">
        <f>IF(Z29&gt;=91,"A",IF(Z29&gt;=81,"B+",IF(Z29&gt;=70,"B",IF(Z29&gt;=65,"C+",IF(Z29&gt;=60,"C",IF(Z29&gt;=55,"D+",IF(Z29&gt;=50,"D","F")))))))</f>
      </c>
      <c r="AC29" s="40">
        <f>ROUND((L29*2+O29*2+R29*2+U29*2+X29*2+AA29*1)/11, 2)</f>
      </c>
      <c r="AD29" s="115">
        <v>87</v>
      </c>
      <c r="AE29" s="40">
        <f>IF(AD29&gt;=91, 4.00, IF(AD29&gt;=81, 3.50, IF(AD29&gt;=70, 3.00, IF(AD29&gt;=65, 2.50, IF(AD29&gt;=60, 2.00, IF(AD29&gt;=55, 1.50, IF(AD29&gt;=50, 1.00, 0.00)))))))</f>
      </c>
      <c r="AF29" s="40">
        <f>IF(AD29&gt;=91,"A",IF(AD29&gt;=81,"B+",IF(AD29&gt;=70,"B",IF(AD29&gt;=65,"C+",IF(AD29&gt;=60,"C",IF(AD29&gt;=55,"D+",IF(AD29&gt;=50,"D","F")))))))</f>
      </c>
      <c r="AG29" s="40" t="s">
        <v>43</v>
      </c>
      <c r="AH29" s="40">
        <f>IF(AG29&gt;=91, 4.00, IF(AG29&gt;=81, 3.50, IF(AG29&gt;=70, 3.00, IF(AG29&gt;=65, 2.50, IF(AG29&gt;=60, 2.00, IF(AG29&gt;=55, 1.50, IF(AG29&gt;=50, 1.00, 0.00)))))))</f>
      </c>
      <c r="AI29" s="40">
        <f>IF(AG29&gt;=91,"A",IF(AG29&gt;=81,"B+",IF(AG29&gt;=70,"B",IF(AG29&gt;=65,"C+",IF(AG29&gt;=60,"C",IF(AG29&gt;=55,"D+",IF(AG29&gt;=50,"D","F")))))))</f>
      </c>
      <c r="AJ29" s="40" t="s">
        <v>301</v>
      </c>
      <c r="AK29" s="40">
        <f>IF(AJ29&gt;=91, 4.00, IF(AJ29&gt;=81, 3.50, IF(AJ29&gt;=70, 3.00, IF(AJ29&gt;=65, 2.50, IF(AJ29&gt;=60, 2.00, IF(AJ29&gt;=55, 1.50, IF(AJ29&gt;=50, 1.00, 0.00)))))))</f>
      </c>
      <c r="AL29" s="44">
        <f>IF(AJ29&gt;=91,"A",IF(AJ29&gt;=81,"B+",IF(AJ29&gt;=70,"B",IF(AJ29&gt;=65,"C+",IF(AJ29&gt;=60,"C",IF(AJ29&gt;=55,"D+",IF(AJ29&gt;=50,"D","F")))))))</f>
      </c>
      <c r="AM29" s="112">
        <v>75</v>
      </c>
      <c r="AN29" s="48">
        <f>IF(AM29&gt;=91, 4.00, IF(AM29&gt;=81, 3.50, IF(AM29&gt;=70, 3.00, IF(AM29&gt;=65, 2.50, IF(AM29&gt;=60, 2.00, IF(AM29&gt;=55, 1.50, IF(AM29&gt;=50, 1.00, 0.00)))))))</f>
      </c>
      <c r="AO29" s="49">
        <f>IF(AM29&gt;=91,"A",IF(AM29&gt;=81,"B+",IF(AM29&gt;=70,"B",IF(AM29&gt;=65,"C+",IF(AM29&gt;=60,"C",IF(AM29&gt;=55,"D+",IF(AM29&gt;=50,"D","F")))))))</f>
      </c>
      <c r="AP29" s="40">
        <f>ROUND((AE29*2+AH29*2+AK29*2+AN29*6)/12, 2)</f>
      </c>
      <c r="AQ29" s="48"/>
      <c r="AR29" s="49" t="str">
        <f>IF(AQ29&gt;90,"4.00",IF(AQ29&gt;80,"3.50",IF(AQ29&gt;69,"3.00",IF(AQ29&gt;64,"2.50",IF(AQ29&gt;59,"2.00",IF(AQ29&gt;54,"1.50",IF(AQ29&gt;49,"1.00","0.00")))))))</f>
        <v>0.00</v>
      </c>
      <c r="AS29" s="40" t="str">
        <f>IF(AQ29&gt;90,"A",IF(AQ29&gt;80,"B+",IF(AQ29&gt;69,"B",IF(AQ29&gt;64,"C+",IF(AQ29&gt;59,"C",IF(AQ29&gt;54,"D+",IF(AQ29&gt;49,"D",IF(AQ29&gt;=0,"F"))))))))</f>
        <v>F</v>
      </c>
      <c r="AT29" s="43"/>
      <c r="AU29" s="49" t="str">
        <f>IF(AT29&gt;90,"4.00",IF(AT29&gt;80,"3.50",IF(AT29&gt;69,"3.00",IF(AT29&gt;64,"2.50",IF(AT29&gt;59,"2.00",IF(AT29&gt;54,"1.50",IF(AT29&gt;49,"1.00","0.00")))))))</f>
        <v>0.00</v>
      </c>
      <c r="AV29" s="40" t="str">
        <f>IF(AT29&gt;90,"A",IF(AT29&gt;80,"B+",IF(AT29&gt;69,"B",IF(AT29&gt;64,"C+",IF(AT29&gt;59,"C",IF(AT29&gt;54,"D+",IF(AT29&gt;49,"D",IF(AT29&gt;=0,"F"))))))))</f>
        <v>F</v>
      </c>
      <c r="AW29" s="48"/>
      <c r="AX29" s="49" t="str">
        <f>IF(AW29&gt;90,"4.00",IF(AW29&gt;80,"3.50",IF(AW29&gt;69,"3.00",IF(AW29&gt;64,"2.50",IF(AW29&gt;59,"2.00",IF(AW29&gt;54,"1.50",IF(AW29&gt;49,"1.00","0.00")))))))</f>
        <v>0.00</v>
      </c>
      <c r="AY29" s="40" t="str">
        <f>IF(AW29&gt;90,"A",IF(AW29&gt;80,"B+",IF(AW29&gt;69,"B",IF(AW29&gt;64,"C+",IF(AW29&gt;59,"C",IF(AW29&gt;54,"D+",IF(AW29&gt;49,"D",IF(AW29&gt;=0,"F"))))))))</f>
        <v>F</v>
      </c>
      <c r="AZ29" s="135">
        <f>(AO29*2+AR29*2+AU29*2+AX29*9)/(2+2+2+9)</f>
        <v>0</v>
      </c>
      <c r="BA29" s="50">
        <f>(AC29+AZ29)/2</f>
        <v>0</v>
      </c>
      <c r="BB29" s="51">
        <f>RANK(BA29,$BA$7:BA58)</f>
        <v>1</v>
      </c>
      <c r="BC29" s="67"/>
      <c r="BD29" s="52"/>
      <c r="BE29" s="52"/>
      <c r="BF29" s="52"/>
      <c r="BG29" s="52"/>
    </row>
    <row r="30" ht="20" customHeight="1" spans="1:58" s="53" customFormat="1" x14ac:dyDescent="0.25">
      <c r="A30" s="40">
        <v>24</v>
      </c>
      <c r="B30" s="40" t="s">
        <v>129</v>
      </c>
      <c r="C30" s="40" t="s">
        <v>51</v>
      </c>
      <c r="D30" s="40" t="s">
        <v>182</v>
      </c>
      <c r="E30" s="40" t="s">
        <v>302</v>
      </c>
      <c r="F30" s="40" t="s">
        <v>303</v>
      </c>
      <c r="G30" s="40" t="s">
        <v>185</v>
      </c>
      <c r="H30" s="111"/>
      <c r="I30" s="112"/>
      <c r="J30" s="40">
        <v>1</v>
      </c>
      <c r="K30" s="42">
        <v>92</v>
      </c>
      <c r="L30" s="40">
        <f>IF(K30&gt;=91, 4.00, IF(K30&gt;=81, 3.50, IF(K30&gt;=70, 3.00, IF(K30&gt;=65, 2.50, IF(K30&gt;=60, 2.00, IF(K30&gt;=55, 1.50, IF(K30&gt;=50, 1.00, 0.00)))))))</f>
      </c>
      <c r="M30" s="40">
        <f>IF(K30&gt;=91,"A",IF(K30&gt;=81,"B+",IF(K30&gt;=70,"B",IF(K30&gt;=65,"C+",IF(K30&gt;=60,"C",IF(K30&gt;=55,"D+",IF(K30&gt;=50,"D","F")))))))</f>
      </c>
      <c r="N30" s="42">
        <v>95</v>
      </c>
      <c r="O30" s="40">
        <f>IF(N30&gt;=91, 4.00, IF(N30&gt;=81, 3.50, IF(N30&gt;=70, 3.00, IF(N30&gt;=65, 2.50, IF(N30&gt;=60, 2.00, IF(N30&gt;=55, 1.50, IF(N30&gt;=50, 1.00, 0.00)))))))</f>
      </c>
      <c r="P30" s="40">
        <f>IF(N30&gt;=91,"A",IF(N30&gt;=81,"B+",IF(N30&gt;=70,"B",IF(N30&gt;=65,"C+",IF(N30&gt;=60,"C",IF(N30&gt;=55,"D+",IF(N30&gt;=50,"D","F")))))))</f>
      </c>
      <c r="Q30" s="42">
        <v>77</v>
      </c>
      <c r="R30" s="40">
        <f>IF(Q30&gt;=91, 4.00, IF(Q30&gt;=81, 3.50, IF(Q30&gt;=70, 3.00, IF(Q30&gt;=65, 2.50, IF(Q30&gt;=60, 2.00, IF(Q30&gt;=55, 1.50, IF(Q30&gt;=50, 1.00, 0.00)))))))</f>
      </c>
      <c r="S30" s="40">
        <f>IF(Q30&gt;=91,"A",IF(Q30&gt;=81,"B+",IF(Q30&gt;=70,"B",IF(Q30&gt;=65,"C+",IF(Q30&gt;=60,"C",IF(Q30&gt;=55,"D+",IF(Q30&gt;=50,"D","F")))))))</f>
      </c>
      <c r="T30" s="40">
        <v>80</v>
      </c>
      <c r="U30" s="40">
        <f>IF(T30&gt;=91, 4.00, IF(T30&gt;=81, 3.50, IF(T30&gt;=70, 3.00, IF(T30&gt;=65, 2.50, IF(T30&gt;=60, 2.00, IF(T30&gt;=55, 1.50, IF(T30&gt;=50, 1.00, 0.00)))))))</f>
      </c>
      <c r="V30" s="40">
        <f>IF(T30&gt;=91,"A",IF(T30&gt;=81,"B+",IF(T30&gt;=70,"B",IF(T30&gt;=65,"C+",IF(T30&gt;=60,"C",IF(T30&gt;=55,"D+",IF(T30&gt;=50,"D","F")))))))</f>
      </c>
      <c r="W30" s="42">
        <v>83</v>
      </c>
      <c r="X30" s="40">
        <f>IF(W30&gt;=91, 4.00, IF(W30&gt;=81, 3.50, IF(W30&gt;=70, 3.00, IF(W30&gt;=65, 2.50, IF(W30&gt;=60, 2.00, IF(W30&gt;=55, 1.50, IF(W30&gt;=50, 1.00, 0.00)))))))</f>
      </c>
      <c r="Y30" s="40">
        <f>IF(W30&gt;=91,"A",IF(W30&gt;=81,"B+",IF(W30&gt;=70,"B",IF(W30&gt;=65,"C+",IF(W30&gt;=60,"C",IF(W30&gt;=55,"D+",IF(W30&gt;=50,"D","F")))))))</f>
      </c>
      <c r="Z30" s="40">
        <v>86</v>
      </c>
      <c r="AA30" s="40">
        <f>IF(Z30&gt;=91, 4.00, IF(Z30&gt;=81, 3.50, IF(Z30&gt;=70, 3.00, IF(Z30&gt;=65, 2.50, IF(Z30&gt;=60, 2.00, IF(Z30&gt;=55, 1.50, IF(Z30&gt;=50, 1.00, 0.00)))))))</f>
      </c>
      <c r="AB30" s="40">
        <f>IF(Z30&gt;=91,"A",IF(Z30&gt;=81,"B+",IF(Z30&gt;=70,"B",IF(Z30&gt;=65,"C+",IF(Z30&gt;=60,"C",IF(Z30&gt;=55,"D+",IF(Z30&gt;=50,"D","F")))))))</f>
      </c>
      <c r="AC30" s="40">
        <f>ROUND((L30*2+O30*2+R30*2+U30*2+X30*2+AA30*1)/11, 2)</f>
      </c>
      <c r="AD30" s="52">
        <v>90</v>
      </c>
      <c r="AE30" s="40">
        <f>IF(AD30&gt;=91, 4.00, IF(AD30&gt;=81, 3.50, IF(AD30&gt;=70, 3.00, IF(AD30&gt;=65, 2.50, IF(AD30&gt;=60, 2.00, IF(AD30&gt;=55, 1.50, IF(AD30&gt;=50, 1.00, 0.00)))))))</f>
      </c>
      <c r="AF30" s="40">
        <f>IF(AD30&gt;=91,"A",IF(AD30&gt;=81,"B+",IF(AD30&gt;=70,"B",IF(AD30&gt;=65,"C+",IF(AD30&gt;=60,"C",IF(AD30&gt;=55,"D+",IF(AD30&gt;=50,"D","F")))))))</f>
      </c>
      <c r="AG30" s="40" t="s">
        <v>51</v>
      </c>
      <c r="AH30" s="40">
        <f>IF(AG30&gt;=91, 4.00, IF(AG30&gt;=81, 3.50, IF(AG30&gt;=70, 3.00, IF(AG30&gt;=65, 2.50, IF(AG30&gt;=60, 2.00, IF(AG30&gt;=55, 1.50, IF(AG30&gt;=50, 1.00, 0.00)))))))</f>
      </c>
      <c r="AI30" s="40">
        <f>IF(AG30&gt;=91,"A",IF(AG30&gt;=81,"B+",IF(AG30&gt;=70,"B",IF(AG30&gt;=65,"C+",IF(AG30&gt;=60,"C",IF(AG30&gt;=55,"D+",IF(AG30&gt;=50,"D","F")))))))</f>
      </c>
      <c r="AJ30" s="40" t="s">
        <v>303</v>
      </c>
      <c r="AK30" s="40">
        <f>IF(AJ30&gt;=91, 4.00, IF(AJ30&gt;=81, 3.50, IF(AJ30&gt;=70, 3.00, IF(AJ30&gt;=65, 2.50, IF(AJ30&gt;=60, 2.00, IF(AJ30&gt;=55, 1.50, IF(AJ30&gt;=50, 1.00, 0.00)))))))</f>
      </c>
      <c r="AL30" s="111">
        <f>IF(AJ30&gt;=91,"A",IF(AJ30&gt;=81,"B+",IF(AJ30&gt;=70,"B",IF(AJ30&gt;=65,"C+",IF(AJ30&gt;=60,"C",IF(AJ30&gt;=55,"D+",IF(AJ30&gt;=50,"D","F")))))))</f>
      </c>
      <c r="AM30" s="112">
        <v>78</v>
      </c>
      <c r="AN30" s="49">
        <f>IF(AM30&gt;=91, 4.00, IF(AM30&gt;=81, 3.50, IF(AM30&gt;=70, 3.00, IF(AM30&gt;=65, 2.50, IF(AM30&gt;=60, 2.00, IF(AM30&gt;=55, 1.50, IF(AM30&gt;=50, 1.00, 0.00)))))))</f>
      </c>
      <c r="AO30" s="49">
        <f>IF(AM30&gt;=91,"A",IF(AM30&gt;=81,"B+",IF(AM30&gt;=70,"B",IF(AM30&gt;=65,"C+",IF(AM30&gt;=60,"C",IF(AM30&gt;=55,"D+",IF(AM30&gt;=50,"D","F")))))))</f>
      </c>
      <c r="AP30" s="40">
        <f>ROUND((AE30*2+AH30*2+AK30*2+AN30*6)/12, 2)</f>
      </c>
      <c r="AQ30" s="49"/>
      <c r="AR30" s="49" t="str">
        <f>IF(AQ30&gt;90,"4.00",IF(AQ30&gt;80,"3.50",IF(AQ30&gt;69,"3.00",IF(AQ30&gt;64,"2.50",IF(AQ30&gt;59,"2.00",IF(AQ30&gt;54,"1.50",IF(AQ30&gt;49,"1.00","0.00")))))))</f>
        <v>0.00</v>
      </c>
      <c r="AS30" s="40" t="str">
        <f>IF(AQ30&gt;90,"A",IF(AQ30&gt;80,"B+",IF(AQ30&gt;69,"B",IF(AQ30&gt;64,"C+",IF(AQ30&gt;59,"C",IF(AQ30&gt;54,"D+",IF(AQ30&gt;49,"D",IF(AQ30&gt;=0,"F"))))))))</f>
        <v>F</v>
      </c>
      <c r="AT30" s="49"/>
      <c r="AU30" s="49" t="str">
        <f>IF(AT30&gt;90,"4.00",IF(AT30&gt;80,"3.50",IF(AT30&gt;69,"3.00",IF(AT30&gt;64,"2.50",IF(AT30&gt;59,"2.00",IF(AT30&gt;54,"1.50",IF(AT30&gt;49,"1.00","0.00")))))))</f>
        <v>0.00</v>
      </c>
      <c r="AV30" s="40" t="str">
        <f>IF(AT30&gt;90,"A",IF(AT30&gt;80,"B+",IF(AT30&gt;69,"B",IF(AT30&gt;64,"C+",IF(AT30&gt;59,"C",IF(AT30&gt;54,"D+",IF(AT30&gt;49,"D",IF(AT30&gt;=0,"F"))))))))</f>
        <v>F</v>
      </c>
      <c r="AW30" s="49"/>
      <c r="AX30" s="49" t="str">
        <f>IF(AW30&gt;90,"4.00",IF(AW30&gt;80,"3.50",IF(AW30&gt;69,"3.00",IF(AW30&gt;64,"2.50",IF(AW30&gt;59,"2.00",IF(AW30&gt;54,"1.50",IF(AW30&gt;49,"1.00","0.00")))))))</f>
        <v>0.00</v>
      </c>
      <c r="AY30" s="40" t="str">
        <f>IF(AW30&gt;90,"A",IF(AW30&gt;80,"B+",IF(AW30&gt;69,"B",IF(AW30&gt;64,"C+",IF(AW30&gt;59,"C",IF(AW30&gt;54,"D+",IF(AW30&gt;49,"D",IF(AW30&gt;=0,"F"))))))))</f>
        <v>F</v>
      </c>
      <c r="AZ30" s="135">
        <f>(AO30*2+AR30*2+AU30*2+AX30*9)/(2+2+2+9)</f>
        <v>0</v>
      </c>
      <c r="BA30" s="50">
        <f>(AC30+AZ30)/2</f>
        <v>0</v>
      </c>
      <c r="BB30" s="51">
        <f>RANK(BA30,$BA$7:BA59)</f>
        <v>1</v>
      </c>
      <c r="BC30" s="67"/>
      <c r="BD30" s="52"/>
      <c r="BE30" s="52"/>
      <c r="BF30" s="52"/>
    </row>
    <row r="31" ht="20" customHeight="1" spans="1:58" s="53" customFormat="1" x14ac:dyDescent="0.25">
      <c r="A31" s="40">
        <v>25</v>
      </c>
      <c r="B31" s="40" t="s">
        <v>304</v>
      </c>
      <c r="C31" s="40" t="s">
        <v>51</v>
      </c>
      <c r="D31" s="40" t="s">
        <v>188</v>
      </c>
      <c r="E31" s="40" t="s">
        <v>305</v>
      </c>
      <c r="F31" s="40" t="s">
        <v>306</v>
      </c>
      <c r="G31" s="40" t="s">
        <v>191</v>
      </c>
      <c r="H31" s="44"/>
      <c r="I31" s="112"/>
      <c r="J31" s="40">
        <v>1</v>
      </c>
      <c r="K31" s="42">
        <v>95</v>
      </c>
      <c r="L31" s="40">
        <f>IF(K31&gt;=91, 4.00, IF(K31&gt;=81, 3.50, IF(K31&gt;=70, 3.00, IF(K31&gt;=65, 2.50, IF(K31&gt;=60, 2.00, IF(K31&gt;=55, 1.50, IF(K31&gt;=50, 1.00, 0.00)))))))</f>
      </c>
      <c r="M31" s="40">
        <f>IF(K31&gt;=91,"A",IF(K31&gt;=81,"B+",IF(K31&gt;=70,"B",IF(K31&gt;=65,"C+",IF(K31&gt;=60,"C",IF(K31&gt;=55,"D+",IF(K31&gt;=50,"D","F")))))))</f>
      </c>
      <c r="N31" s="42">
        <v>77</v>
      </c>
      <c r="O31" s="40">
        <f>IF(N31&gt;=91, 4.00, IF(N31&gt;=81, 3.50, IF(N31&gt;=70, 3.00, IF(N31&gt;=65, 2.50, IF(N31&gt;=60, 2.00, IF(N31&gt;=55, 1.50, IF(N31&gt;=50, 1.00, 0.00)))))))</f>
      </c>
      <c r="P31" s="40">
        <f>IF(N31&gt;=91,"A",IF(N31&gt;=81,"B+",IF(N31&gt;=70,"B",IF(N31&gt;=65,"C+",IF(N31&gt;=60,"C",IF(N31&gt;=55,"D+",IF(N31&gt;=50,"D","F")))))))</f>
      </c>
      <c r="Q31" s="42">
        <v>80</v>
      </c>
      <c r="R31" s="40">
        <f>IF(Q31&gt;=91, 4.00, IF(Q31&gt;=81, 3.50, IF(Q31&gt;=70, 3.00, IF(Q31&gt;=65, 2.50, IF(Q31&gt;=60, 2.00, IF(Q31&gt;=55, 1.50, IF(Q31&gt;=50, 1.00, 0.00)))))))</f>
      </c>
      <c r="S31" s="40">
        <f>IF(Q31&gt;=91,"A",IF(Q31&gt;=81,"B+",IF(Q31&gt;=70,"B",IF(Q31&gt;=65,"C+",IF(Q31&gt;=60,"C",IF(Q31&gt;=55,"D+",IF(Q31&gt;=50,"D","F")))))))</f>
      </c>
      <c r="T31" s="40">
        <v>83</v>
      </c>
      <c r="U31" s="40">
        <f>IF(T31&gt;=91, 4.00, IF(T31&gt;=81, 3.50, IF(T31&gt;=70, 3.00, IF(T31&gt;=65, 2.50, IF(T31&gt;=60, 2.00, IF(T31&gt;=55, 1.50, IF(T31&gt;=50, 1.00, 0.00)))))))</f>
      </c>
      <c r="V31" s="40">
        <f>IF(T31&gt;=91,"A",IF(T31&gt;=81,"B+",IF(T31&gt;=70,"B",IF(T31&gt;=65,"C+",IF(T31&gt;=60,"C",IF(T31&gt;=55,"D+",IF(T31&gt;=50,"D","F")))))))</f>
      </c>
      <c r="W31" s="42">
        <v>86</v>
      </c>
      <c r="X31" s="40">
        <f>IF(W31&gt;=91, 4.00, IF(W31&gt;=81, 3.50, IF(W31&gt;=70, 3.00, IF(W31&gt;=65, 2.50, IF(W31&gt;=60, 2.00, IF(W31&gt;=55, 1.50, IF(W31&gt;=50, 1.00, 0.00)))))))</f>
      </c>
      <c r="Y31" s="40">
        <f>IF(W31&gt;=91,"A",IF(W31&gt;=81,"B+",IF(W31&gt;=70,"B",IF(W31&gt;=65,"C+",IF(W31&gt;=60,"C",IF(W31&gt;=55,"D+",IF(W31&gt;=50,"D","F")))))))</f>
      </c>
      <c r="Z31" s="40">
        <v>89</v>
      </c>
      <c r="AA31" s="40">
        <f>IF(Z31&gt;=91, 4.00, IF(Z31&gt;=81, 3.50, IF(Z31&gt;=70, 3.00, IF(Z31&gt;=65, 2.50, IF(Z31&gt;=60, 2.00, IF(Z31&gt;=55, 1.50, IF(Z31&gt;=50, 1.00, 0.00)))))))</f>
      </c>
      <c r="AB31" s="40">
        <f>IF(Z31&gt;=91,"A",IF(Z31&gt;=81,"B+",IF(Z31&gt;=70,"B",IF(Z31&gt;=65,"C+",IF(Z31&gt;=60,"C",IF(Z31&gt;=55,"D+",IF(Z31&gt;=50,"D","F")))))))</f>
      </c>
      <c r="AC31" s="40">
        <f>ROUND((L31*2+O31*2+R31*2+U31*2+X31*2+AA31*1)/11, 2)</f>
      </c>
      <c r="AD31" s="52">
        <v>93</v>
      </c>
      <c r="AE31" s="40">
        <f>IF(AD31&gt;=91, 4.00, IF(AD31&gt;=81, 3.50, IF(AD31&gt;=70, 3.00, IF(AD31&gt;=65, 2.50, IF(AD31&gt;=60, 2.00, IF(AD31&gt;=55, 1.50, IF(AD31&gt;=50, 1.00, 0.00)))))))</f>
      </c>
      <c r="AF31" s="40">
        <f>IF(AD31&gt;=91,"A",IF(AD31&gt;=81,"B+",IF(AD31&gt;=70,"B",IF(AD31&gt;=65,"C+",IF(AD31&gt;=60,"C",IF(AD31&gt;=55,"D+",IF(AD31&gt;=50,"D","F")))))))</f>
      </c>
      <c r="AG31" s="40" t="s">
        <v>51</v>
      </c>
      <c r="AH31" s="40">
        <f>IF(AG31&gt;=91, 4.00, IF(AG31&gt;=81, 3.50, IF(AG31&gt;=70, 3.00, IF(AG31&gt;=65, 2.50, IF(AG31&gt;=60, 2.00, IF(AG31&gt;=55, 1.50, IF(AG31&gt;=50, 1.00, 0.00)))))))</f>
      </c>
      <c r="AI31" s="40">
        <f>IF(AG31&gt;=91,"A",IF(AG31&gt;=81,"B+",IF(AG31&gt;=70,"B",IF(AG31&gt;=65,"C+",IF(AG31&gt;=60,"C",IF(AG31&gt;=55,"D+",IF(AG31&gt;=50,"D","F")))))))</f>
      </c>
      <c r="AJ31" s="40" t="s">
        <v>306</v>
      </c>
      <c r="AK31" s="40">
        <f>IF(AJ31&gt;=91, 4.00, IF(AJ31&gt;=81, 3.50, IF(AJ31&gt;=70, 3.00, IF(AJ31&gt;=65, 2.50, IF(AJ31&gt;=60, 2.00, IF(AJ31&gt;=55, 1.50, IF(AJ31&gt;=50, 1.00, 0.00)))))))</f>
      </c>
      <c r="AL31" s="44">
        <f>IF(AJ31&gt;=91,"A",IF(AJ31&gt;=81,"B+",IF(AJ31&gt;=70,"B",IF(AJ31&gt;=65,"C+",IF(AJ31&gt;=60,"C",IF(AJ31&gt;=55,"D+",IF(AJ31&gt;=50,"D","F")))))))</f>
      </c>
      <c r="AM31" s="112">
        <v>81</v>
      </c>
      <c r="AN31" s="49">
        <f>IF(AM31&gt;=91, 4.00, IF(AM31&gt;=81, 3.50, IF(AM31&gt;=70, 3.00, IF(AM31&gt;=65, 2.50, IF(AM31&gt;=60, 2.00, IF(AM31&gt;=55, 1.50, IF(AM31&gt;=50, 1.00, 0.00)))))))</f>
      </c>
      <c r="AO31" s="49">
        <f>IF(AM31&gt;=91,"A",IF(AM31&gt;=81,"B+",IF(AM31&gt;=70,"B",IF(AM31&gt;=65,"C+",IF(AM31&gt;=60,"C",IF(AM31&gt;=55,"D+",IF(AM31&gt;=50,"D","F")))))))</f>
      </c>
      <c r="AP31" s="40">
        <f>ROUND((AE31*2+AH31*2+AK31*2+AN31*6)/12, 2)</f>
      </c>
      <c r="AQ31" s="49"/>
      <c r="AR31" s="49" t="str">
        <f>IF(AQ31&gt;90,"4.00",IF(AQ31&gt;80,"3.50",IF(AQ31&gt;69,"3.00",IF(AQ31&gt;64,"2.50",IF(AQ31&gt;59,"2.00",IF(AQ31&gt;54,"1.50",IF(AQ31&gt;49,"1.00","0.00")))))))</f>
        <v>0.00</v>
      </c>
      <c r="AS31" s="40" t="str">
        <f>IF(AQ31&gt;90,"A",IF(AQ31&gt;80,"B+",IF(AQ31&gt;69,"B",IF(AQ31&gt;64,"C+",IF(AQ31&gt;59,"C",IF(AQ31&gt;54,"D+",IF(AQ31&gt;49,"D",IF(AQ31&gt;=0,"F"))))))))</f>
        <v>F</v>
      </c>
      <c r="AT31" s="49"/>
      <c r="AU31" s="49" t="str">
        <f>IF(AT31&gt;90,"4.00",IF(AT31&gt;80,"3.50",IF(AT31&gt;69,"3.00",IF(AT31&gt;64,"2.50",IF(AT31&gt;59,"2.00",IF(AT31&gt;54,"1.50",IF(AT31&gt;49,"1.00","0.00")))))))</f>
        <v>0.00</v>
      </c>
      <c r="AV31" s="40" t="str">
        <f>IF(AT31&gt;90,"A",IF(AT31&gt;80,"B+",IF(AT31&gt;69,"B",IF(AT31&gt;64,"C+",IF(AT31&gt;59,"C",IF(AT31&gt;54,"D+",IF(AT31&gt;49,"D",IF(AT31&gt;=0,"F"))))))))</f>
        <v>F</v>
      </c>
      <c r="AW31" s="49"/>
      <c r="AX31" s="49" t="str">
        <f>IF(AW31&gt;90,"4.00",IF(AW31&gt;80,"3.50",IF(AW31&gt;69,"3.00",IF(AW31&gt;64,"2.50",IF(AW31&gt;59,"2.00",IF(AW31&gt;54,"1.50",IF(AW31&gt;49,"1.00","0.00")))))))</f>
        <v>0.00</v>
      </c>
      <c r="AY31" s="40" t="str">
        <f>IF(AW31&gt;90,"A",IF(AW31&gt;80,"B+",IF(AW31&gt;69,"B",IF(AW31&gt;64,"C+",IF(AW31&gt;59,"C",IF(AW31&gt;54,"D+",IF(AW31&gt;49,"D",IF(AW31&gt;=0,"F"))))))))</f>
        <v>F</v>
      </c>
      <c r="AZ31" s="135">
        <f>(AO31*2+AR31*2+AU31*2+AX31*9)/(2+2+2+9)</f>
        <v>0</v>
      </c>
      <c r="BA31" s="50">
        <f>(AC31+AZ31)/2</f>
        <v>0</v>
      </c>
      <c r="BB31" s="51">
        <f>RANK(BA31,$BA$7:BA60)</f>
        <v>1</v>
      </c>
      <c r="BC31" s="67"/>
      <c r="BD31" s="52"/>
      <c r="BE31" s="52"/>
      <c r="BF31" s="52"/>
    </row>
    <row r="32" ht="20" customHeight="1" spans="1:58" s="53" customFormat="1" x14ac:dyDescent="0.25">
      <c r="A32" s="40">
        <v>26</v>
      </c>
      <c r="B32" s="40" t="s">
        <v>307</v>
      </c>
      <c r="C32" s="40" t="s">
        <v>43</v>
      </c>
      <c r="D32" s="40" t="s">
        <v>193</v>
      </c>
      <c r="E32" s="40" t="s">
        <v>194</v>
      </c>
      <c r="F32" s="40" t="s">
        <v>308</v>
      </c>
      <c r="G32" s="40" t="s">
        <v>196</v>
      </c>
      <c r="H32" s="44"/>
      <c r="I32" s="112"/>
      <c r="J32" s="40">
        <v>1</v>
      </c>
      <c r="K32" s="42">
        <v>77</v>
      </c>
      <c r="L32" s="40">
        <f>IF(K32&gt;=91, 4.00, IF(K32&gt;=81, 3.50, IF(K32&gt;=70, 3.00, IF(K32&gt;=65, 2.50, IF(K32&gt;=60, 2.00, IF(K32&gt;=55, 1.50, IF(K32&gt;=50, 1.00, 0.00)))))))</f>
      </c>
      <c r="M32" s="40">
        <f>IF(K32&gt;=91,"A",IF(K32&gt;=81,"B+",IF(K32&gt;=70,"B",IF(K32&gt;=65,"C+",IF(K32&gt;=60,"C",IF(K32&gt;=55,"D+",IF(K32&gt;=50,"D","F")))))))</f>
      </c>
      <c r="N32" s="42">
        <v>80</v>
      </c>
      <c r="O32" s="40">
        <f>IF(N32&gt;=91, 4.00, IF(N32&gt;=81, 3.50, IF(N32&gt;=70, 3.00, IF(N32&gt;=65, 2.50, IF(N32&gt;=60, 2.00, IF(N32&gt;=55, 1.50, IF(N32&gt;=50, 1.00, 0.00)))))))</f>
      </c>
      <c r="P32" s="40">
        <f>IF(N32&gt;=91,"A",IF(N32&gt;=81,"B+",IF(N32&gt;=70,"B",IF(N32&gt;=65,"C+",IF(N32&gt;=60,"C",IF(N32&gt;=55,"D+",IF(N32&gt;=50,"D","F")))))))</f>
      </c>
      <c r="Q32" s="42">
        <v>83</v>
      </c>
      <c r="R32" s="40">
        <f>IF(Q32&gt;=91, 4.00, IF(Q32&gt;=81, 3.50, IF(Q32&gt;=70, 3.00, IF(Q32&gt;=65, 2.50, IF(Q32&gt;=60, 2.00, IF(Q32&gt;=55, 1.50, IF(Q32&gt;=50, 1.00, 0.00)))))))</f>
      </c>
      <c r="S32" s="40">
        <f>IF(Q32&gt;=91,"A",IF(Q32&gt;=81,"B+",IF(Q32&gt;=70,"B",IF(Q32&gt;=65,"C+",IF(Q32&gt;=60,"C",IF(Q32&gt;=55,"D+",IF(Q32&gt;=50,"D","F")))))))</f>
      </c>
      <c r="T32" s="40">
        <v>86</v>
      </c>
      <c r="U32" s="40">
        <f>IF(T32&gt;=91, 4.00, IF(T32&gt;=81, 3.50, IF(T32&gt;=70, 3.00, IF(T32&gt;=65, 2.50, IF(T32&gt;=60, 2.00, IF(T32&gt;=55, 1.50, IF(T32&gt;=50, 1.00, 0.00)))))))</f>
      </c>
      <c r="V32" s="40">
        <f>IF(T32&gt;=91,"A",IF(T32&gt;=81,"B+",IF(T32&gt;=70,"B",IF(T32&gt;=65,"C+",IF(T32&gt;=60,"C",IF(T32&gt;=55,"D+",IF(T32&gt;=50,"D","F")))))))</f>
      </c>
      <c r="W32" s="42">
        <v>89</v>
      </c>
      <c r="X32" s="40">
        <f>IF(W32&gt;=91, 4.00, IF(W32&gt;=81, 3.50, IF(W32&gt;=70, 3.00, IF(W32&gt;=65, 2.50, IF(W32&gt;=60, 2.00, IF(W32&gt;=55, 1.50, IF(W32&gt;=50, 1.00, 0.00)))))))</f>
      </c>
      <c r="Y32" s="40">
        <f>IF(W32&gt;=91,"A",IF(W32&gt;=81,"B+",IF(W32&gt;=70,"B",IF(W32&gt;=65,"C+",IF(W32&gt;=60,"C",IF(W32&gt;=55,"D+",IF(W32&gt;=50,"D","F")))))))</f>
      </c>
      <c r="Z32" s="40">
        <v>92</v>
      </c>
      <c r="AA32" s="40">
        <f>IF(Z32&gt;=91, 4.00, IF(Z32&gt;=81, 3.50, IF(Z32&gt;=70, 3.00, IF(Z32&gt;=65, 2.50, IF(Z32&gt;=60, 2.00, IF(Z32&gt;=55, 1.50, IF(Z32&gt;=50, 1.00, 0.00)))))))</f>
      </c>
      <c r="AB32" s="40">
        <f>IF(Z32&gt;=91,"A",IF(Z32&gt;=81,"B+",IF(Z32&gt;=70,"B",IF(Z32&gt;=65,"C+",IF(Z32&gt;=60,"C",IF(Z32&gt;=55,"D+",IF(Z32&gt;=50,"D","F")))))))</f>
      </c>
      <c r="AC32" s="40">
        <f>ROUND((L32*2+O32*2+R32*2+U32*2+X32*2+AA32*1)/11, 2)</f>
      </c>
      <c r="AD32" s="52">
        <v>75</v>
      </c>
      <c r="AE32" s="40">
        <f>IF(AD32&gt;=91, 4.00, IF(AD32&gt;=81, 3.50, IF(AD32&gt;=70, 3.00, IF(AD32&gt;=65, 2.50, IF(AD32&gt;=60, 2.00, IF(AD32&gt;=55, 1.50, IF(AD32&gt;=50, 1.00, 0.00)))))))</f>
      </c>
      <c r="AF32" s="40">
        <f>IF(AD32&gt;=91,"A",IF(AD32&gt;=81,"B+",IF(AD32&gt;=70,"B",IF(AD32&gt;=65,"C+",IF(AD32&gt;=60,"C",IF(AD32&gt;=55,"D+",IF(AD32&gt;=50,"D","F")))))))</f>
      </c>
      <c r="AG32" s="40" t="s">
        <v>43</v>
      </c>
      <c r="AH32" s="40">
        <f>IF(AG32&gt;=91, 4.00, IF(AG32&gt;=81, 3.50, IF(AG32&gt;=70, 3.00, IF(AG32&gt;=65, 2.50, IF(AG32&gt;=60, 2.00, IF(AG32&gt;=55, 1.50, IF(AG32&gt;=50, 1.00, 0.00)))))))</f>
      </c>
      <c r="AI32" s="40">
        <f>IF(AG32&gt;=91,"A",IF(AG32&gt;=81,"B+",IF(AG32&gt;=70,"B",IF(AG32&gt;=65,"C+",IF(AG32&gt;=60,"C",IF(AG32&gt;=55,"D+",IF(AG32&gt;=50,"D","F")))))))</f>
      </c>
      <c r="AJ32" s="40" t="s">
        <v>308</v>
      </c>
      <c r="AK32" s="40">
        <f>IF(AJ32&gt;=91, 4.00, IF(AJ32&gt;=81, 3.50, IF(AJ32&gt;=70, 3.00, IF(AJ32&gt;=65, 2.50, IF(AJ32&gt;=60, 2.00, IF(AJ32&gt;=55, 1.50, IF(AJ32&gt;=50, 1.00, 0.00)))))))</f>
      </c>
      <c r="AL32" s="44">
        <f>IF(AJ32&gt;=91,"A",IF(AJ32&gt;=81,"B+",IF(AJ32&gt;=70,"B",IF(AJ32&gt;=65,"C+",IF(AJ32&gt;=60,"C",IF(AJ32&gt;=55,"D+",IF(AJ32&gt;=50,"D","F")))))))</f>
      </c>
      <c r="AM32" s="112">
        <v>84</v>
      </c>
      <c r="AN32" s="40">
        <f>IF(AM32&gt;=91, 4.00, IF(AM32&gt;=81, 3.50, IF(AM32&gt;=70, 3.00, IF(AM32&gt;=65, 2.50, IF(AM32&gt;=60, 2.00, IF(AM32&gt;=55, 1.50, IF(AM32&gt;=50, 1.00, 0.00)))))))</f>
      </c>
      <c r="AO32" s="49">
        <f>IF(AM32&gt;=91,"A",IF(AM32&gt;=81,"B+",IF(AM32&gt;=70,"B",IF(AM32&gt;=65,"C+",IF(AM32&gt;=60,"C",IF(AM32&gt;=55,"D+",IF(AM32&gt;=50,"D","F")))))))</f>
      </c>
      <c r="AP32" s="40">
        <f>ROUND((AE32*2+AH32*2+AK32*2+AN32*6)/12, 2)</f>
      </c>
      <c r="AQ32" s="49"/>
      <c r="AR32" s="49" t="str">
        <f>IF(AQ32&gt;90,"4.00",IF(AQ32&gt;80,"3.50",IF(AQ32&gt;69,"3.00",IF(AQ32&gt;64,"2.50",IF(AQ32&gt;59,"2.00",IF(AQ32&gt;54,"1.50",IF(AQ32&gt;49,"1.00","0.00")))))))</f>
        <v>0.00</v>
      </c>
      <c r="AS32" s="40" t="str">
        <f>IF(AQ32&gt;90,"A",IF(AQ32&gt;80,"B+",IF(AQ32&gt;69,"B",IF(AQ32&gt;64,"C+",IF(AQ32&gt;59,"C",IF(AQ32&gt;54,"D+",IF(AQ32&gt;49,"D",IF(AQ32&gt;=0,"F"))))))))</f>
        <v>F</v>
      </c>
      <c r="AT32" s="49"/>
      <c r="AU32" s="49" t="str">
        <f>IF(AT32&gt;90,"4.00",IF(AT32&gt;80,"3.50",IF(AT32&gt;69,"3.00",IF(AT32&gt;64,"2.50",IF(AT32&gt;59,"2.00",IF(AT32&gt;54,"1.50",IF(AT32&gt;49,"1.00","0.00")))))))</f>
        <v>0.00</v>
      </c>
      <c r="AV32" s="40" t="str">
        <f>IF(AT32&gt;90,"A",IF(AT32&gt;80,"B+",IF(AT32&gt;69,"B",IF(AT32&gt;64,"C+",IF(AT32&gt;59,"C",IF(AT32&gt;54,"D+",IF(AT32&gt;49,"D",IF(AT32&gt;=0,"F"))))))))</f>
        <v>F</v>
      </c>
      <c r="AW32" s="49"/>
      <c r="AX32" s="49" t="str">
        <f>IF(AW32&gt;90,"4.00",IF(AW32&gt;80,"3.50",IF(AW32&gt;69,"3.00",IF(AW32&gt;64,"2.50",IF(AW32&gt;59,"2.00",IF(AW32&gt;54,"1.50",IF(AW32&gt;49,"1.00","0.00")))))))</f>
        <v>0.00</v>
      </c>
      <c r="AY32" s="40" t="str">
        <f>IF(AW32&gt;90,"A",IF(AW32&gt;80,"B+",IF(AW32&gt;69,"B",IF(AW32&gt;64,"C+",IF(AW32&gt;59,"C",IF(AW32&gt;54,"D+",IF(AW32&gt;49,"D",IF(AW32&gt;=0,"F"))))))))</f>
        <v>F</v>
      </c>
      <c r="AZ32" s="135">
        <f>(AO32*2+AR32*2+AU32*2+AX32*9)/(2+2+2+9)</f>
        <v>0</v>
      </c>
      <c r="BA32" s="50">
        <f>(AC32+AZ32)/2</f>
        <v>0</v>
      </c>
      <c r="BB32" s="51">
        <f>RANK(BA32,$BA$7:BA61)</f>
        <v>1</v>
      </c>
      <c r="BC32" s="67"/>
      <c r="BD32" s="52"/>
      <c r="BE32" s="52"/>
      <c r="BF32" s="52"/>
    </row>
    <row r="33" ht="20" customHeight="1" spans="1:58" s="53" customFormat="1" x14ac:dyDescent="0.25">
      <c r="A33" s="40">
        <v>27</v>
      </c>
      <c r="B33" s="40" t="s">
        <v>135</v>
      </c>
      <c r="C33" s="40" t="s">
        <v>43</v>
      </c>
      <c r="D33" s="40" t="s">
        <v>199</v>
      </c>
      <c r="E33" s="40" t="s">
        <v>309</v>
      </c>
      <c r="F33" s="40" t="s">
        <v>310</v>
      </c>
      <c r="G33" s="40" t="s">
        <v>202</v>
      </c>
      <c r="H33" s="111"/>
      <c r="I33" s="112"/>
      <c r="J33" s="40">
        <v>1</v>
      </c>
      <c r="K33" s="42">
        <v>80</v>
      </c>
      <c r="L33" s="40">
        <f>IF(K33&gt;=91, 4.00, IF(K33&gt;=81, 3.50, IF(K33&gt;=70, 3.00, IF(K33&gt;=65, 2.50, IF(K33&gt;=60, 2.00, IF(K33&gt;=55, 1.50, IF(K33&gt;=50, 1.00, 0.00)))))))</f>
      </c>
      <c r="M33" s="40">
        <f>IF(K33&gt;=91,"A",IF(K33&gt;=81,"B+",IF(K33&gt;=70,"B",IF(K33&gt;=65,"C+",IF(K33&gt;=60,"C",IF(K33&gt;=55,"D+",IF(K33&gt;=50,"D","F")))))))</f>
      </c>
      <c r="N33" s="42">
        <v>83</v>
      </c>
      <c r="O33" s="40">
        <f>IF(N33&gt;=91, 4.00, IF(N33&gt;=81, 3.50, IF(N33&gt;=70, 3.00, IF(N33&gt;=65, 2.50, IF(N33&gt;=60, 2.00, IF(N33&gt;=55, 1.50, IF(N33&gt;=50, 1.00, 0.00)))))))</f>
      </c>
      <c r="P33" s="40">
        <f>IF(N33&gt;=91,"A",IF(N33&gt;=81,"B+",IF(N33&gt;=70,"B",IF(N33&gt;=65,"C+",IF(N33&gt;=60,"C",IF(N33&gt;=55,"D+",IF(N33&gt;=50,"D","F")))))))</f>
      </c>
      <c r="Q33" s="42">
        <v>86</v>
      </c>
      <c r="R33" s="40">
        <f>IF(Q33&gt;=91, 4.00, IF(Q33&gt;=81, 3.50, IF(Q33&gt;=70, 3.00, IF(Q33&gt;=65, 2.50, IF(Q33&gt;=60, 2.00, IF(Q33&gt;=55, 1.50, IF(Q33&gt;=50, 1.00, 0.00)))))))</f>
      </c>
      <c r="S33" s="40">
        <f>IF(Q33&gt;=91,"A",IF(Q33&gt;=81,"B+",IF(Q33&gt;=70,"B",IF(Q33&gt;=65,"C+",IF(Q33&gt;=60,"C",IF(Q33&gt;=55,"D+",IF(Q33&gt;=50,"D","F")))))))</f>
      </c>
      <c r="T33" s="40">
        <v>89</v>
      </c>
      <c r="U33" s="40">
        <f>IF(T33&gt;=91, 4.00, IF(T33&gt;=81, 3.50, IF(T33&gt;=70, 3.00, IF(T33&gt;=65, 2.50, IF(T33&gt;=60, 2.00, IF(T33&gt;=55, 1.50, IF(T33&gt;=50, 1.00, 0.00)))))))</f>
      </c>
      <c r="V33" s="40">
        <f>IF(T33&gt;=91,"A",IF(T33&gt;=81,"B+",IF(T33&gt;=70,"B",IF(T33&gt;=65,"C+",IF(T33&gt;=60,"C",IF(T33&gt;=55,"D+",IF(T33&gt;=50,"D","F")))))))</f>
      </c>
      <c r="W33" s="42">
        <v>92</v>
      </c>
      <c r="X33" s="40">
        <f>IF(W33&gt;=91, 4.00, IF(W33&gt;=81, 3.50, IF(W33&gt;=70, 3.00, IF(W33&gt;=65, 2.50, IF(W33&gt;=60, 2.00, IF(W33&gt;=55, 1.50, IF(W33&gt;=50, 1.00, 0.00)))))))</f>
      </c>
      <c r="Y33" s="40">
        <f>IF(W33&gt;=91,"A",IF(W33&gt;=81,"B+",IF(W33&gt;=70,"B",IF(W33&gt;=65,"C+",IF(W33&gt;=60,"C",IF(W33&gt;=55,"D+",IF(W33&gt;=50,"D","F")))))))</f>
      </c>
      <c r="Z33" s="40">
        <v>95</v>
      </c>
      <c r="AA33" s="40">
        <f>IF(Z33&gt;=91, 4.00, IF(Z33&gt;=81, 3.50, IF(Z33&gt;=70, 3.00, IF(Z33&gt;=65, 2.50, IF(Z33&gt;=60, 2.00, IF(Z33&gt;=55, 1.50, IF(Z33&gt;=50, 1.00, 0.00)))))))</f>
      </c>
      <c r="AB33" s="40">
        <f>IF(Z33&gt;=91,"A",IF(Z33&gt;=81,"B+",IF(Z33&gt;=70,"B",IF(Z33&gt;=65,"C+",IF(Z33&gt;=60,"C",IF(Z33&gt;=55,"D+",IF(Z33&gt;=50,"D","F")))))))</f>
      </c>
      <c r="AC33" s="40">
        <f>ROUND((L33*2+O33*2+R33*2+U33*2+X33*2+AA33*1)/11, 2)</f>
      </c>
      <c r="AD33" s="52">
        <v>78</v>
      </c>
      <c r="AE33" s="40">
        <f>IF(AD33&gt;=91, 4.00, IF(AD33&gt;=81, 3.50, IF(AD33&gt;=70, 3.00, IF(AD33&gt;=65, 2.50, IF(AD33&gt;=60, 2.00, IF(AD33&gt;=55, 1.50, IF(AD33&gt;=50, 1.00, 0.00)))))))</f>
      </c>
      <c r="AF33" s="40">
        <f>IF(AD33&gt;=91,"A",IF(AD33&gt;=81,"B+",IF(AD33&gt;=70,"B",IF(AD33&gt;=65,"C+",IF(AD33&gt;=60,"C",IF(AD33&gt;=55,"D+",IF(AD33&gt;=50,"D","F")))))))</f>
      </c>
      <c r="AG33" s="40" t="s">
        <v>43</v>
      </c>
      <c r="AH33" s="40">
        <f>IF(AG33&gt;=91, 4.00, IF(AG33&gt;=81, 3.50, IF(AG33&gt;=70, 3.00, IF(AG33&gt;=65, 2.50, IF(AG33&gt;=60, 2.00, IF(AG33&gt;=55, 1.50, IF(AG33&gt;=50, 1.00, 0.00)))))))</f>
      </c>
      <c r="AI33" s="40">
        <f>IF(AG33&gt;=91,"A",IF(AG33&gt;=81,"B+",IF(AG33&gt;=70,"B",IF(AG33&gt;=65,"C+",IF(AG33&gt;=60,"C",IF(AG33&gt;=55,"D+",IF(AG33&gt;=50,"D","F")))))))</f>
      </c>
      <c r="AJ33" s="40" t="s">
        <v>310</v>
      </c>
      <c r="AK33" s="40">
        <f>IF(AJ33&gt;=91, 4.00, IF(AJ33&gt;=81, 3.50, IF(AJ33&gt;=70, 3.00, IF(AJ33&gt;=65, 2.50, IF(AJ33&gt;=60, 2.00, IF(AJ33&gt;=55, 1.50, IF(AJ33&gt;=50, 1.00, 0.00)))))))</f>
      </c>
      <c r="AL33" s="111">
        <f>IF(AJ33&gt;=91,"A",IF(AJ33&gt;=81,"B+",IF(AJ33&gt;=70,"B",IF(AJ33&gt;=65,"C+",IF(AJ33&gt;=60,"C",IF(AJ33&gt;=55,"D+",IF(AJ33&gt;=50,"D","F")))))))</f>
      </c>
      <c r="AM33" s="112">
        <v>87</v>
      </c>
      <c r="AN33" s="40">
        <f>IF(AM33&gt;=91, 4.00, IF(AM33&gt;=81, 3.50, IF(AM33&gt;=70, 3.00, IF(AM33&gt;=65, 2.50, IF(AM33&gt;=60, 2.00, IF(AM33&gt;=55, 1.50, IF(AM33&gt;=50, 1.00, 0.00)))))))</f>
      </c>
      <c r="AO33" s="49">
        <f>IF(AM33&gt;=91,"A",IF(AM33&gt;=81,"B+",IF(AM33&gt;=70,"B",IF(AM33&gt;=65,"C+",IF(AM33&gt;=60,"C",IF(AM33&gt;=55,"D+",IF(AM33&gt;=50,"D","F")))))))</f>
      </c>
      <c r="AP33" s="40">
        <f>ROUND((AE33*2+AH33*2+AK33*2+AN33*6)/12, 2)</f>
      </c>
      <c r="AQ33" s="49"/>
      <c r="AR33" s="49" t="str">
        <f>IF(AQ33&gt;90,"4.00",IF(AQ33&gt;80,"3.50",IF(AQ33&gt;69,"3.00",IF(AQ33&gt;64,"2.50",IF(AQ33&gt;59,"2.00",IF(AQ33&gt;54,"1.50",IF(AQ33&gt;49,"1.00","0.00")))))))</f>
        <v>0.00</v>
      </c>
      <c r="AS33" s="40" t="str">
        <f>IF(AQ33&gt;90,"A",IF(AQ33&gt;80,"B+",IF(AQ33&gt;69,"B",IF(AQ33&gt;64,"C+",IF(AQ33&gt;59,"C",IF(AQ33&gt;54,"D+",IF(AQ33&gt;49,"D",IF(AQ33&gt;=0,"F"))))))))</f>
        <v>F</v>
      </c>
      <c r="AT33" s="49"/>
      <c r="AU33" s="49" t="str">
        <f>IF(AT33&gt;90,"4.00",IF(AT33&gt;80,"3.50",IF(AT33&gt;69,"3.00",IF(AT33&gt;64,"2.50",IF(AT33&gt;59,"2.00",IF(AT33&gt;54,"1.50",IF(AT33&gt;49,"1.00","0.00")))))))</f>
        <v>0.00</v>
      </c>
      <c r="AV33" s="40" t="str">
        <f>IF(AT33&gt;90,"A",IF(AT33&gt;80,"B+",IF(AT33&gt;69,"B",IF(AT33&gt;64,"C+",IF(AT33&gt;59,"C",IF(AT33&gt;54,"D+",IF(AT33&gt;49,"D",IF(AT33&gt;=0,"F"))))))))</f>
        <v>F</v>
      </c>
      <c r="AW33" s="49"/>
      <c r="AX33" s="49" t="str">
        <f>IF(AW33&gt;90,"4.00",IF(AW33&gt;80,"3.50",IF(AW33&gt;69,"3.00",IF(AW33&gt;64,"2.50",IF(AW33&gt;59,"2.00",IF(AW33&gt;54,"1.50",IF(AW33&gt;49,"1.00","0.00")))))))</f>
        <v>0.00</v>
      </c>
      <c r="AY33" s="40" t="str">
        <f>IF(AW33&gt;90,"A",IF(AW33&gt;80,"B+",IF(AW33&gt;69,"B",IF(AW33&gt;64,"C+",IF(AW33&gt;59,"C",IF(AW33&gt;54,"D+",IF(AW33&gt;49,"D",IF(AW33&gt;=0,"F"))))))))</f>
        <v>F</v>
      </c>
      <c r="AZ33" s="135">
        <f>(AO33*2+AR33*2+AU33*2+AX33*9)/(2+2+2+9)</f>
        <v>0</v>
      </c>
      <c r="BA33" s="50">
        <f>(AC33+AZ33)/2</f>
        <v>0</v>
      </c>
      <c r="BB33" s="51">
        <f>RANK(BA33,$BA$7:BA62)</f>
        <v>1</v>
      </c>
      <c r="BC33" s="67"/>
      <c r="BD33" s="52"/>
      <c r="BE33" s="52"/>
      <c r="BF33" s="52"/>
    </row>
    <row r="34" ht="20" customHeight="1" spans="1:58" s="53" customFormat="1" x14ac:dyDescent="0.25">
      <c r="A34" s="40">
        <v>28</v>
      </c>
      <c r="B34" s="40" t="s">
        <v>311</v>
      </c>
      <c r="C34" s="40" t="s">
        <v>43</v>
      </c>
      <c r="D34" s="40" t="s">
        <v>204</v>
      </c>
      <c r="E34" s="40" t="s">
        <v>205</v>
      </c>
      <c r="F34" s="40" t="s">
        <v>312</v>
      </c>
      <c r="G34" s="40" t="s">
        <v>207</v>
      </c>
      <c r="H34" s="44"/>
      <c r="I34" s="112"/>
      <c r="J34" s="40">
        <v>1</v>
      </c>
      <c r="K34" s="42">
        <v>83</v>
      </c>
      <c r="L34" s="40">
        <f>IF(K34&gt;=91, 4.00, IF(K34&gt;=81, 3.50, IF(K34&gt;=70, 3.00, IF(K34&gt;=65, 2.50, IF(K34&gt;=60, 2.00, IF(K34&gt;=55, 1.50, IF(K34&gt;=50, 1.00, 0.00)))))))</f>
      </c>
      <c r="M34" s="40">
        <f>IF(K34&gt;=91,"A",IF(K34&gt;=81,"B+",IF(K34&gt;=70,"B",IF(K34&gt;=65,"C+",IF(K34&gt;=60,"C",IF(K34&gt;=55,"D+",IF(K34&gt;=50,"D","F")))))))</f>
      </c>
      <c r="N34" s="42">
        <v>86</v>
      </c>
      <c r="O34" s="40">
        <f>IF(N34&gt;=91, 4.00, IF(N34&gt;=81, 3.50, IF(N34&gt;=70, 3.00, IF(N34&gt;=65, 2.50, IF(N34&gt;=60, 2.00, IF(N34&gt;=55, 1.50, IF(N34&gt;=50, 1.00, 0.00)))))))</f>
      </c>
      <c r="P34" s="40">
        <f>IF(N34&gt;=91,"A",IF(N34&gt;=81,"B+",IF(N34&gt;=70,"B",IF(N34&gt;=65,"C+",IF(N34&gt;=60,"C",IF(N34&gt;=55,"D+",IF(N34&gt;=50,"D","F")))))))</f>
      </c>
      <c r="Q34" s="42">
        <v>89</v>
      </c>
      <c r="R34" s="40">
        <f>IF(Q34&gt;=91, 4.00, IF(Q34&gt;=81, 3.50, IF(Q34&gt;=70, 3.00, IF(Q34&gt;=65, 2.50, IF(Q34&gt;=60, 2.00, IF(Q34&gt;=55, 1.50, IF(Q34&gt;=50, 1.00, 0.00)))))))</f>
      </c>
      <c r="S34" s="40">
        <f>IF(Q34&gt;=91,"A",IF(Q34&gt;=81,"B+",IF(Q34&gt;=70,"B",IF(Q34&gt;=65,"C+",IF(Q34&gt;=60,"C",IF(Q34&gt;=55,"D+",IF(Q34&gt;=50,"D","F")))))))</f>
      </c>
      <c r="T34" s="40">
        <v>92</v>
      </c>
      <c r="U34" s="40">
        <f>IF(T34&gt;=91, 4.00, IF(T34&gt;=81, 3.50, IF(T34&gt;=70, 3.00, IF(T34&gt;=65, 2.50, IF(T34&gt;=60, 2.00, IF(T34&gt;=55, 1.50, IF(T34&gt;=50, 1.00, 0.00)))))))</f>
      </c>
      <c r="V34" s="40">
        <f>IF(T34&gt;=91,"A",IF(T34&gt;=81,"B+",IF(T34&gt;=70,"B",IF(T34&gt;=65,"C+",IF(T34&gt;=60,"C",IF(T34&gt;=55,"D+",IF(T34&gt;=50,"D","F")))))))</f>
      </c>
      <c r="W34" s="42">
        <v>95</v>
      </c>
      <c r="X34" s="40">
        <f>IF(W34&gt;=91, 4.00, IF(W34&gt;=81, 3.50, IF(W34&gt;=70, 3.00, IF(W34&gt;=65, 2.50, IF(W34&gt;=60, 2.00, IF(W34&gt;=55, 1.50, IF(W34&gt;=50, 1.00, 0.00)))))))</f>
      </c>
      <c r="Y34" s="40">
        <f>IF(W34&gt;=91,"A",IF(W34&gt;=81,"B+",IF(W34&gt;=70,"B",IF(W34&gt;=65,"C+",IF(W34&gt;=60,"C",IF(W34&gt;=55,"D+",IF(W34&gt;=50,"D","F")))))))</f>
      </c>
      <c r="Z34" s="40">
        <v>77</v>
      </c>
      <c r="AA34" s="40">
        <f>IF(Z34&gt;=91, 4.00, IF(Z34&gt;=81, 3.50, IF(Z34&gt;=70, 3.00, IF(Z34&gt;=65, 2.50, IF(Z34&gt;=60, 2.00, IF(Z34&gt;=55, 1.50, IF(Z34&gt;=50, 1.00, 0.00)))))))</f>
      </c>
      <c r="AB34" s="40">
        <f>IF(Z34&gt;=91,"A",IF(Z34&gt;=81,"B+",IF(Z34&gt;=70,"B",IF(Z34&gt;=65,"C+",IF(Z34&gt;=60,"C",IF(Z34&gt;=55,"D+",IF(Z34&gt;=50,"D","F")))))))</f>
      </c>
      <c r="AC34" s="40">
        <f>ROUND((L34*2+O34*2+R34*2+U34*2+X34*2+AA34*1)/11, 2)</f>
      </c>
      <c r="AD34" s="52">
        <v>81</v>
      </c>
      <c r="AE34" s="40">
        <f>IF(AD34&gt;=91, 4.00, IF(AD34&gt;=81, 3.50, IF(AD34&gt;=70, 3.00, IF(AD34&gt;=65, 2.50, IF(AD34&gt;=60, 2.00, IF(AD34&gt;=55, 1.50, IF(AD34&gt;=50, 1.00, 0.00)))))))</f>
      </c>
      <c r="AF34" s="40">
        <f>IF(AD34&gt;=91,"A",IF(AD34&gt;=81,"B+",IF(AD34&gt;=70,"B",IF(AD34&gt;=65,"C+",IF(AD34&gt;=60,"C",IF(AD34&gt;=55,"D+",IF(AD34&gt;=50,"D","F")))))))</f>
      </c>
      <c r="AG34" s="40" t="s">
        <v>43</v>
      </c>
      <c r="AH34" s="40">
        <f>IF(AG34&gt;=91, 4.00, IF(AG34&gt;=81, 3.50, IF(AG34&gt;=70, 3.00, IF(AG34&gt;=65, 2.50, IF(AG34&gt;=60, 2.00, IF(AG34&gt;=55, 1.50, IF(AG34&gt;=50, 1.00, 0.00)))))))</f>
      </c>
      <c r="AI34" s="40">
        <f>IF(AG34&gt;=91,"A",IF(AG34&gt;=81,"B+",IF(AG34&gt;=70,"B",IF(AG34&gt;=65,"C+",IF(AG34&gt;=60,"C",IF(AG34&gt;=55,"D+",IF(AG34&gt;=50,"D","F")))))))</f>
      </c>
      <c r="AJ34" s="40" t="s">
        <v>312</v>
      </c>
      <c r="AK34" s="40">
        <f>IF(AJ34&gt;=91, 4.00, IF(AJ34&gt;=81, 3.50, IF(AJ34&gt;=70, 3.00, IF(AJ34&gt;=65, 2.50, IF(AJ34&gt;=60, 2.00, IF(AJ34&gt;=55, 1.50, IF(AJ34&gt;=50, 1.00, 0.00)))))))</f>
      </c>
      <c r="AL34" s="44">
        <f>IF(AJ34&gt;=91,"A",IF(AJ34&gt;=81,"B+",IF(AJ34&gt;=70,"B",IF(AJ34&gt;=65,"C+",IF(AJ34&gt;=60,"C",IF(AJ34&gt;=55,"D+",IF(AJ34&gt;=50,"D","F")))))))</f>
      </c>
      <c r="AM34" s="112">
        <v>90</v>
      </c>
      <c r="AN34" s="49">
        <f>IF(AM34&gt;=91, 4.00, IF(AM34&gt;=81, 3.50, IF(AM34&gt;=70, 3.00, IF(AM34&gt;=65, 2.50, IF(AM34&gt;=60, 2.00, IF(AM34&gt;=55, 1.50, IF(AM34&gt;=50, 1.00, 0.00)))))))</f>
      </c>
      <c r="AO34" s="49">
        <f>IF(AM34&gt;=91,"A",IF(AM34&gt;=81,"B+",IF(AM34&gt;=70,"B",IF(AM34&gt;=65,"C+",IF(AM34&gt;=60,"C",IF(AM34&gt;=55,"D+",IF(AM34&gt;=50,"D","F")))))))</f>
      </c>
      <c r="AP34" s="40">
        <f>ROUND((AE34*2+AH34*2+AK34*2+AN34*6)/12, 2)</f>
      </c>
      <c r="AQ34" s="49"/>
      <c r="AR34" s="49" t="str">
        <f>IF(AQ34&gt;90,"4.00",IF(AQ34&gt;80,"3.50",IF(AQ34&gt;69,"3.00",IF(AQ34&gt;64,"2.50",IF(AQ34&gt;59,"2.00",IF(AQ34&gt;54,"1.50",IF(AQ34&gt;49,"1.00","0.00")))))))</f>
        <v>0.00</v>
      </c>
      <c r="AS34" s="40" t="str">
        <f>IF(AQ34&gt;90,"A",IF(AQ34&gt;80,"B+",IF(AQ34&gt;69,"B",IF(AQ34&gt;64,"C+",IF(AQ34&gt;59,"C",IF(AQ34&gt;54,"D+",IF(AQ34&gt;49,"D",IF(AQ34&gt;=0,"F"))))))))</f>
        <v>F</v>
      </c>
      <c r="AT34" s="49"/>
      <c r="AU34" s="49" t="str">
        <f>IF(AT34&gt;90,"4.00",IF(AT34&gt;80,"3.50",IF(AT34&gt;69,"3.00",IF(AT34&gt;64,"2.50",IF(AT34&gt;59,"2.00",IF(AT34&gt;54,"1.50",IF(AT34&gt;49,"1.00","0.00")))))))</f>
        <v>0.00</v>
      </c>
      <c r="AV34" s="40" t="str">
        <f>IF(AT34&gt;90,"A",IF(AT34&gt;80,"B+",IF(AT34&gt;69,"B",IF(AT34&gt;64,"C+",IF(AT34&gt;59,"C",IF(AT34&gt;54,"D+",IF(AT34&gt;49,"D",IF(AT34&gt;=0,"F"))))))))</f>
        <v>F</v>
      </c>
      <c r="AW34" s="49"/>
      <c r="AX34" s="49" t="str">
        <f>IF(AW34&gt;90,"4.00",IF(AW34&gt;80,"3.50",IF(AW34&gt;69,"3.00",IF(AW34&gt;64,"2.50",IF(AW34&gt;59,"2.00",IF(AW34&gt;54,"1.50",IF(AW34&gt;49,"1.00","0.00")))))))</f>
        <v>0.00</v>
      </c>
      <c r="AY34" s="40" t="str">
        <f>IF(AW34&gt;90,"A",IF(AW34&gt;80,"B+",IF(AW34&gt;69,"B",IF(AW34&gt;64,"C+",IF(AW34&gt;59,"C",IF(AW34&gt;54,"D+",IF(AW34&gt;49,"D",IF(AW34&gt;=0,"F"))))))))</f>
        <v>F</v>
      </c>
      <c r="AZ34" s="135">
        <f>(AO34*2+AR34*2+AU34*2+AX34*9)/(2+2+2+9)</f>
        <v>0</v>
      </c>
      <c r="BA34" s="50">
        <f>(AC34+AZ34)/2</f>
        <v>0</v>
      </c>
      <c r="BB34" s="51">
        <f>RANK(BA34,$BA$7:BA63)</f>
        <v>1</v>
      </c>
      <c r="BC34" s="76"/>
      <c r="BD34" s="52"/>
      <c r="BE34" s="52"/>
      <c r="BF34" s="52"/>
    </row>
    <row r="35" ht="20" customHeight="1" spans="1:58" s="53" customFormat="1" x14ac:dyDescent="0.25">
      <c r="A35" s="40">
        <v>29</v>
      </c>
      <c r="B35" s="40" t="s">
        <v>313</v>
      </c>
      <c r="C35" s="40" t="s">
        <v>43</v>
      </c>
      <c r="D35" s="40" t="s">
        <v>211</v>
      </c>
      <c r="E35" s="40" t="s">
        <v>212</v>
      </c>
      <c r="F35" s="40" t="s">
        <v>314</v>
      </c>
      <c r="G35" s="40" t="s">
        <v>214</v>
      </c>
      <c r="H35" s="111"/>
      <c r="I35" s="112"/>
      <c r="J35" s="40">
        <v>1</v>
      </c>
      <c r="K35" s="42">
        <v>86</v>
      </c>
      <c r="L35" s="40">
        <f>IF(K35&gt;=91, 4.00, IF(K35&gt;=81, 3.50, IF(K35&gt;=70, 3.00, IF(K35&gt;=65, 2.50, IF(K35&gt;=60, 2.00, IF(K35&gt;=55, 1.50, IF(K35&gt;=50, 1.00, 0.00)))))))</f>
      </c>
      <c r="M35" s="40">
        <f>IF(K35&gt;=91,"A",IF(K35&gt;=81,"B+",IF(K35&gt;=70,"B",IF(K35&gt;=65,"C+",IF(K35&gt;=60,"C",IF(K35&gt;=55,"D+",IF(K35&gt;=50,"D","F")))))))</f>
      </c>
      <c r="N35" s="42">
        <v>89</v>
      </c>
      <c r="O35" s="40">
        <f>IF(N35&gt;=91, 4.00, IF(N35&gt;=81, 3.50, IF(N35&gt;=70, 3.00, IF(N35&gt;=65, 2.50, IF(N35&gt;=60, 2.00, IF(N35&gt;=55, 1.50, IF(N35&gt;=50, 1.00, 0.00)))))))</f>
      </c>
      <c r="P35" s="40">
        <f>IF(N35&gt;=91,"A",IF(N35&gt;=81,"B+",IF(N35&gt;=70,"B",IF(N35&gt;=65,"C+",IF(N35&gt;=60,"C",IF(N35&gt;=55,"D+",IF(N35&gt;=50,"D","F")))))))</f>
      </c>
      <c r="Q35" s="42">
        <v>92</v>
      </c>
      <c r="R35" s="40">
        <f>IF(Q35&gt;=91, 4.00, IF(Q35&gt;=81, 3.50, IF(Q35&gt;=70, 3.00, IF(Q35&gt;=65, 2.50, IF(Q35&gt;=60, 2.00, IF(Q35&gt;=55, 1.50, IF(Q35&gt;=50, 1.00, 0.00)))))))</f>
      </c>
      <c r="S35" s="40">
        <f>IF(Q35&gt;=91,"A",IF(Q35&gt;=81,"B+",IF(Q35&gt;=70,"B",IF(Q35&gt;=65,"C+",IF(Q35&gt;=60,"C",IF(Q35&gt;=55,"D+",IF(Q35&gt;=50,"D","F")))))))</f>
      </c>
      <c r="T35" s="40">
        <v>95</v>
      </c>
      <c r="U35" s="40">
        <f>IF(T35&gt;=91, 4.00, IF(T35&gt;=81, 3.50, IF(T35&gt;=70, 3.00, IF(T35&gt;=65, 2.50, IF(T35&gt;=60, 2.00, IF(T35&gt;=55, 1.50, IF(T35&gt;=50, 1.00, 0.00)))))))</f>
      </c>
      <c r="V35" s="40">
        <f>IF(T35&gt;=91,"A",IF(T35&gt;=81,"B+",IF(T35&gt;=70,"B",IF(T35&gt;=65,"C+",IF(T35&gt;=60,"C",IF(T35&gt;=55,"D+",IF(T35&gt;=50,"D","F")))))))</f>
      </c>
      <c r="W35" s="42">
        <v>77</v>
      </c>
      <c r="X35" s="40">
        <f>IF(W35&gt;=91, 4.00, IF(W35&gt;=81, 3.50, IF(W35&gt;=70, 3.00, IF(W35&gt;=65, 2.50, IF(W35&gt;=60, 2.00, IF(W35&gt;=55, 1.50, IF(W35&gt;=50, 1.00, 0.00)))))))</f>
      </c>
      <c r="Y35" s="40">
        <f>IF(W35&gt;=91,"A",IF(W35&gt;=81,"B+",IF(W35&gt;=70,"B",IF(W35&gt;=65,"C+",IF(W35&gt;=60,"C",IF(W35&gt;=55,"D+",IF(W35&gt;=50,"D","F")))))))</f>
      </c>
      <c r="Z35" s="40">
        <v>80</v>
      </c>
      <c r="AA35" s="40">
        <f>IF(Z35&gt;=91, 4.00, IF(Z35&gt;=81, 3.50, IF(Z35&gt;=70, 3.00, IF(Z35&gt;=65, 2.50, IF(Z35&gt;=60, 2.00, IF(Z35&gt;=55, 1.50, IF(Z35&gt;=50, 1.00, 0.00)))))))</f>
      </c>
      <c r="AB35" s="40">
        <f>IF(Z35&gt;=91,"A",IF(Z35&gt;=81,"B+",IF(Z35&gt;=70,"B",IF(Z35&gt;=65,"C+",IF(Z35&gt;=60,"C",IF(Z35&gt;=55,"D+",IF(Z35&gt;=50,"D","F")))))))</f>
      </c>
      <c r="AC35" s="40">
        <f>ROUND((L35*2+O35*2+R35*2+U35*2+X35*2+AA35*1)/11, 2)</f>
      </c>
      <c r="AD35" s="52">
        <v>84</v>
      </c>
      <c r="AE35" s="40">
        <f>IF(AD35&gt;=91, 4.00, IF(AD35&gt;=81, 3.50, IF(AD35&gt;=70, 3.00, IF(AD35&gt;=65, 2.50, IF(AD35&gt;=60, 2.00, IF(AD35&gt;=55, 1.50, IF(AD35&gt;=50, 1.00, 0.00)))))))</f>
      </c>
      <c r="AF35" s="40">
        <f>IF(AD35&gt;=91,"A",IF(AD35&gt;=81,"B+",IF(AD35&gt;=70,"B",IF(AD35&gt;=65,"C+",IF(AD35&gt;=60,"C",IF(AD35&gt;=55,"D+",IF(AD35&gt;=50,"D","F")))))))</f>
      </c>
      <c r="AG35" s="40" t="s">
        <v>43</v>
      </c>
      <c r="AH35" s="40">
        <f>IF(AG35&gt;=91, 4.00, IF(AG35&gt;=81, 3.50, IF(AG35&gt;=70, 3.00, IF(AG35&gt;=65, 2.50, IF(AG35&gt;=60, 2.00, IF(AG35&gt;=55, 1.50, IF(AG35&gt;=50, 1.00, 0.00)))))))</f>
      </c>
      <c r="AI35" s="40">
        <f>IF(AG35&gt;=91,"A",IF(AG35&gt;=81,"B+",IF(AG35&gt;=70,"B",IF(AG35&gt;=65,"C+",IF(AG35&gt;=60,"C",IF(AG35&gt;=55,"D+",IF(AG35&gt;=50,"D","F")))))))</f>
      </c>
      <c r="AJ35" s="40" t="s">
        <v>314</v>
      </c>
      <c r="AK35" s="40">
        <f>IF(AJ35&gt;=91, 4.00, IF(AJ35&gt;=81, 3.50, IF(AJ35&gt;=70, 3.00, IF(AJ35&gt;=65, 2.50, IF(AJ35&gt;=60, 2.00, IF(AJ35&gt;=55, 1.50, IF(AJ35&gt;=50, 1.00, 0.00)))))))</f>
      </c>
      <c r="AL35" s="111">
        <f>IF(AJ35&gt;=91,"A",IF(AJ35&gt;=81,"B+",IF(AJ35&gt;=70,"B",IF(AJ35&gt;=65,"C+",IF(AJ35&gt;=60,"C",IF(AJ35&gt;=55,"D+",IF(AJ35&gt;=50,"D","F")))))))</f>
      </c>
      <c r="AM35" s="112">
        <v>93</v>
      </c>
      <c r="AN35" s="49">
        <f>IF(AM35&gt;=91, 4.00, IF(AM35&gt;=81, 3.50, IF(AM35&gt;=70, 3.00, IF(AM35&gt;=65, 2.50, IF(AM35&gt;=60, 2.00, IF(AM35&gt;=55, 1.50, IF(AM35&gt;=50, 1.00, 0.00)))))))</f>
      </c>
      <c r="AO35" s="49">
        <f>IF(AM35&gt;=91,"A",IF(AM35&gt;=81,"B+",IF(AM35&gt;=70,"B",IF(AM35&gt;=65,"C+",IF(AM35&gt;=60,"C",IF(AM35&gt;=55,"D+",IF(AM35&gt;=50,"D","F")))))))</f>
      </c>
      <c r="AP35" s="40">
        <f>ROUND((AE35*2+AH35*2+AK35*2+AN35*6)/12, 2)</f>
      </c>
      <c r="AQ35" s="49"/>
      <c r="AR35" s="49" t="str">
        <f>IF(AQ35&gt;90,"4.00",IF(AQ35&gt;80,"3.50",IF(AQ35&gt;69,"3.00",IF(AQ35&gt;64,"2.50",IF(AQ35&gt;59,"2.00",IF(AQ35&gt;54,"1.50",IF(AQ35&gt;49,"1.00","0.00")))))))</f>
        <v>0.00</v>
      </c>
      <c r="AS35" s="40" t="str">
        <f>IF(AQ35&gt;90,"A",IF(AQ35&gt;80,"B+",IF(AQ35&gt;69,"B",IF(AQ35&gt;64,"C+",IF(AQ35&gt;59,"C",IF(AQ35&gt;54,"D+",IF(AQ35&gt;49,"D",IF(AQ35&gt;=0,"F"))))))))</f>
        <v>F</v>
      </c>
      <c r="AT35" s="49"/>
      <c r="AU35" s="49" t="str">
        <f>IF(AT35&gt;90,"4.00",IF(AT35&gt;80,"3.50",IF(AT35&gt;69,"3.00",IF(AT35&gt;64,"2.50",IF(AT35&gt;59,"2.00",IF(AT35&gt;54,"1.50",IF(AT35&gt;49,"1.00","0.00")))))))</f>
        <v>0.00</v>
      </c>
      <c r="AV35" s="40" t="str">
        <f>IF(AT35&gt;90,"A",IF(AT35&gt;80,"B+",IF(AT35&gt;69,"B",IF(AT35&gt;64,"C+",IF(AT35&gt;59,"C",IF(AT35&gt;54,"D+",IF(AT35&gt;49,"D",IF(AT35&gt;=0,"F"))))))))</f>
        <v>F</v>
      </c>
      <c r="AW35" s="49"/>
      <c r="AX35" s="49" t="str">
        <f>IF(AW35&gt;90,"4.00",IF(AW35&gt;80,"3.50",IF(AW35&gt;69,"3.00",IF(AW35&gt;64,"2.50",IF(AW35&gt;59,"2.00",IF(AW35&gt;54,"1.50",IF(AW35&gt;49,"1.00","0.00")))))))</f>
        <v>0.00</v>
      </c>
      <c r="AY35" s="40" t="str">
        <f>IF(AW35&gt;90,"A",IF(AW35&gt;80,"B+",IF(AW35&gt;69,"B",IF(AW35&gt;64,"C+",IF(AW35&gt;59,"C",IF(AW35&gt;54,"D+",IF(AW35&gt;49,"D",IF(AW35&gt;=0,"F"))))))))</f>
        <v>F</v>
      </c>
      <c r="AZ35" s="135">
        <f>(AO35*2+AR35*2+AU35*2+AX35*9)/(2+2+2+9)</f>
        <v>0</v>
      </c>
      <c r="BA35" s="50">
        <f>(AC35+AZ35)/2</f>
        <v>0</v>
      </c>
      <c r="BB35" s="51">
        <f>RANK(BA35,$BA$7:BA64)</f>
        <v>1</v>
      </c>
      <c r="BC35" s="67"/>
      <c r="BD35" s="52"/>
      <c r="BE35" s="52"/>
      <c r="BF35" s="52"/>
    </row>
    <row r="36" ht="20" customHeight="1" spans="1:58" s="53" customFormat="1" x14ac:dyDescent="0.25">
      <c r="A36" s="40">
        <v>30</v>
      </c>
      <c r="B36" s="40" t="s">
        <v>141</v>
      </c>
      <c r="C36" s="40" t="s">
        <v>51</v>
      </c>
      <c r="D36" s="40" t="s">
        <v>218</v>
      </c>
      <c r="E36" s="40" t="s">
        <v>219</v>
      </c>
      <c r="F36" s="40" t="s">
        <v>315</v>
      </c>
      <c r="G36" s="40" t="s">
        <v>221</v>
      </c>
      <c r="H36" s="44"/>
      <c r="I36" s="112"/>
      <c r="J36" s="40">
        <v>1</v>
      </c>
      <c r="K36" s="42">
        <v>89</v>
      </c>
      <c r="L36" s="40">
        <f>IF(K36&gt;=91, 4.00, IF(K36&gt;=81, 3.50, IF(K36&gt;=70, 3.00, IF(K36&gt;=65, 2.50, IF(K36&gt;=60, 2.00, IF(K36&gt;=55, 1.50, IF(K36&gt;=50, 1.00, 0.00)))))))</f>
      </c>
      <c r="M36" s="40">
        <f>IF(K36&gt;=91,"A",IF(K36&gt;=81,"B+",IF(K36&gt;=70,"B",IF(K36&gt;=65,"C+",IF(K36&gt;=60,"C",IF(K36&gt;=55,"D+",IF(K36&gt;=50,"D","F")))))))</f>
      </c>
      <c r="N36" s="42">
        <v>92</v>
      </c>
      <c r="O36" s="40">
        <f>IF(N36&gt;=91, 4.00, IF(N36&gt;=81, 3.50, IF(N36&gt;=70, 3.00, IF(N36&gt;=65, 2.50, IF(N36&gt;=60, 2.00, IF(N36&gt;=55, 1.50, IF(N36&gt;=50, 1.00, 0.00)))))))</f>
      </c>
      <c r="P36" s="40">
        <f>IF(N36&gt;=91,"A",IF(N36&gt;=81,"B+",IF(N36&gt;=70,"B",IF(N36&gt;=65,"C+",IF(N36&gt;=60,"C",IF(N36&gt;=55,"D+",IF(N36&gt;=50,"D","F")))))))</f>
      </c>
      <c r="Q36" s="42">
        <v>95</v>
      </c>
      <c r="R36" s="40">
        <f>IF(Q36&gt;=91, 4.00, IF(Q36&gt;=81, 3.50, IF(Q36&gt;=70, 3.00, IF(Q36&gt;=65, 2.50, IF(Q36&gt;=60, 2.00, IF(Q36&gt;=55, 1.50, IF(Q36&gt;=50, 1.00, 0.00)))))))</f>
      </c>
      <c r="S36" s="40">
        <f>IF(Q36&gt;=91,"A",IF(Q36&gt;=81,"B+",IF(Q36&gt;=70,"B",IF(Q36&gt;=65,"C+",IF(Q36&gt;=60,"C",IF(Q36&gt;=55,"D+",IF(Q36&gt;=50,"D","F")))))))</f>
      </c>
      <c r="T36" s="40">
        <v>77</v>
      </c>
      <c r="U36" s="40">
        <f>IF(T36&gt;=91, 4.00, IF(T36&gt;=81, 3.50, IF(T36&gt;=70, 3.00, IF(T36&gt;=65, 2.50, IF(T36&gt;=60, 2.00, IF(T36&gt;=55, 1.50, IF(T36&gt;=50, 1.00, 0.00)))))))</f>
      </c>
      <c r="V36" s="40">
        <f>IF(T36&gt;=91,"A",IF(T36&gt;=81,"B+",IF(T36&gt;=70,"B",IF(T36&gt;=65,"C+",IF(T36&gt;=60,"C",IF(T36&gt;=55,"D+",IF(T36&gt;=50,"D","F")))))))</f>
      </c>
      <c r="W36" s="42">
        <v>80</v>
      </c>
      <c r="X36" s="40">
        <f>IF(W36&gt;=91, 4.00, IF(W36&gt;=81, 3.50, IF(W36&gt;=70, 3.00, IF(W36&gt;=65, 2.50, IF(W36&gt;=60, 2.00, IF(W36&gt;=55, 1.50, IF(W36&gt;=50, 1.00, 0.00)))))))</f>
      </c>
      <c r="Y36" s="40">
        <f>IF(W36&gt;=91,"A",IF(W36&gt;=81,"B+",IF(W36&gt;=70,"B",IF(W36&gt;=65,"C+",IF(W36&gt;=60,"C",IF(W36&gt;=55,"D+",IF(W36&gt;=50,"D","F")))))))</f>
      </c>
      <c r="Z36" s="40">
        <v>83</v>
      </c>
      <c r="AA36" s="40">
        <f>IF(Z36&gt;=91, 4.00, IF(Z36&gt;=81, 3.50, IF(Z36&gt;=70, 3.00, IF(Z36&gt;=65, 2.50, IF(Z36&gt;=60, 2.00, IF(Z36&gt;=55, 1.50, IF(Z36&gt;=50, 1.00, 0.00)))))))</f>
      </c>
      <c r="AB36" s="40">
        <f>IF(Z36&gt;=91,"A",IF(Z36&gt;=81,"B+",IF(Z36&gt;=70,"B",IF(Z36&gt;=65,"C+",IF(Z36&gt;=60,"C",IF(Z36&gt;=55,"D+",IF(Z36&gt;=50,"D","F")))))))</f>
      </c>
      <c r="AC36" s="40">
        <f>ROUND((L36*2+O36*2+R36*2+U36*2+X36*2+AA36*1)/11, 2)</f>
      </c>
      <c r="AD36" s="52">
        <v>87</v>
      </c>
      <c r="AE36" s="40">
        <f>IF(AD36&gt;=91, 4.00, IF(AD36&gt;=81, 3.50, IF(AD36&gt;=70, 3.00, IF(AD36&gt;=65, 2.50, IF(AD36&gt;=60, 2.00, IF(AD36&gt;=55, 1.50, IF(AD36&gt;=50, 1.00, 0.00)))))))</f>
      </c>
      <c r="AF36" s="40">
        <f>IF(AD36&gt;=91,"A",IF(AD36&gt;=81,"B+",IF(AD36&gt;=70,"B",IF(AD36&gt;=65,"C+",IF(AD36&gt;=60,"C",IF(AD36&gt;=55,"D+",IF(AD36&gt;=50,"D","F")))))))</f>
      </c>
      <c r="AG36" s="40" t="s">
        <v>51</v>
      </c>
      <c r="AH36" s="40">
        <f>IF(AG36&gt;=91, 4.00, IF(AG36&gt;=81, 3.50, IF(AG36&gt;=70, 3.00, IF(AG36&gt;=65, 2.50, IF(AG36&gt;=60, 2.00, IF(AG36&gt;=55, 1.50, IF(AG36&gt;=50, 1.00, 0.00)))))))</f>
      </c>
      <c r="AI36" s="40">
        <f>IF(AG36&gt;=91,"A",IF(AG36&gt;=81,"B+",IF(AG36&gt;=70,"B",IF(AG36&gt;=65,"C+",IF(AG36&gt;=60,"C",IF(AG36&gt;=55,"D+",IF(AG36&gt;=50,"D","F")))))))</f>
      </c>
      <c r="AJ36" s="40" t="s">
        <v>315</v>
      </c>
      <c r="AK36" s="40">
        <f>IF(AJ36&gt;=91, 4.00, IF(AJ36&gt;=81, 3.50, IF(AJ36&gt;=70, 3.00, IF(AJ36&gt;=65, 2.50, IF(AJ36&gt;=60, 2.00, IF(AJ36&gt;=55, 1.50, IF(AJ36&gt;=50, 1.00, 0.00)))))))</f>
      </c>
      <c r="AL36" s="44">
        <f>IF(AJ36&gt;=91,"A",IF(AJ36&gt;=81,"B+",IF(AJ36&gt;=70,"B",IF(AJ36&gt;=65,"C+",IF(AJ36&gt;=60,"C",IF(AJ36&gt;=55,"D+",IF(AJ36&gt;=50,"D","F")))))))</f>
      </c>
      <c r="AM36" s="112">
        <v>75</v>
      </c>
      <c r="AN36" s="49">
        <f>IF(AM36&gt;=91, 4.00, IF(AM36&gt;=81, 3.50, IF(AM36&gt;=70, 3.00, IF(AM36&gt;=65, 2.50, IF(AM36&gt;=60, 2.00, IF(AM36&gt;=55, 1.50, IF(AM36&gt;=50, 1.00, 0.00)))))))</f>
      </c>
      <c r="AO36" s="49">
        <f>IF(AM36&gt;=91,"A",IF(AM36&gt;=81,"B+",IF(AM36&gt;=70,"B",IF(AM36&gt;=65,"C+",IF(AM36&gt;=60,"C",IF(AM36&gt;=55,"D+",IF(AM36&gt;=50,"D","F")))))))</f>
      </c>
      <c r="AP36" s="40">
        <f>ROUND((AE36*2+AH36*2+AK36*2+AN36*6)/12, 2)</f>
      </c>
      <c r="AQ36" s="49"/>
      <c r="AR36" s="49" t="str">
        <f>IF(AQ36&gt;90,"4.00",IF(AQ36&gt;80,"3.50",IF(AQ36&gt;69,"3.00",IF(AQ36&gt;64,"2.50",IF(AQ36&gt;59,"2.00",IF(AQ36&gt;54,"1.50",IF(AQ36&gt;49,"1.00","0.00")))))))</f>
        <v>0.00</v>
      </c>
      <c r="AS36" s="40" t="str">
        <f>IF(AQ36&gt;90,"A",IF(AQ36&gt;80,"B+",IF(AQ36&gt;69,"B",IF(AQ36&gt;64,"C+",IF(AQ36&gt;59,"C",IF(AQ36&gt;54,"D+",IF(AQ36&gt;49,"D",IF(AQ36&gt;=0,"F"))))))))</f>
        <v>F</v>
      </c>
      <c r="AT36" s="49"/>
      <c r="AU36" s="49" t="str">
        <f>IF(AT36&gt;90,"4.00",IF(AT36&gt;80,"3.50",IF(AT36&gt;69,"3.00",IF(AT36&gt;64,"2.50",IF(AT36&gt;59,"2.00",IF(AT36&gt;54,"1.50",IF(AT36&gt;49,"1.00","0.00")))))))</f>
        <v>0.00</v>
      </c>
      <c r="AV36" s="40" t="str">
        <f>IF(AT36&gt;90,"A",IF(AT36&gt;80,"B+",IF(AT36&gt;69,"B",IF(AT36&gt;64,"C+",IF(AT36&gt;59,"C",IF(AT36&gt;54,"D+",IF(AT36&gt;49,"D",IF(AT36&gt;=0,"F"))))))))</f>
        <v>F</v>
      </c>
      <c r="AW36" s="49"/>
      <c r="AX36" s="49" t="str">
        <f>IF(AW36&gt;90,"4.00",IF(AW36&gt;80,"3.50",IF(AW36&gt;69,"3.00",IF(AW36&gt;64,"2.50",IF(AW36&gt;59,"2.00",IF(AW36&gt;54,"1.50",IF(AW36&gt;49,"1.00","0.00")))))))</f>
        <v>0.00</v>
      </c>
      <c r="AY36" s="40" t="str">
        <f>IF(AW36&gt;90,"A",IF(AW36&gt;80,"B+",IF(AW36&gt;69,"B",IF(AW36&gt;64,"C+",IF(AW36&gt;59,"C",IF(AW36&gt;54,"D+",IF(AW36&gt;49,"D",IF(AW36&gt;=0,"F"))))))))</f>
        <v>F</v>
      </c>
      <c r="AZ36" s="135">
        <f>(AO36*2+AR36*2+AU36*2+AX36*9)/(2+2+2+9)</f>
        <v>0</v>
      </c>
      <c r="BA36" s="50">
        <f>(AC36+AZ36)/2</f>
        <v>0</v>
      </c>
      <c r="BB36" s="51">
        <f>RANK(BA36,$BA$7:BA65)</f>
        <v>1</v>
      </c>
      <c r="BC36" s="67"/>
      <c r="BD36" s="52"/>
      <c r="BE36" s="52"/>
      <c r="BF36" s="52"/>
    </row>
    <row r="37" ht="20" customHeight="1" spans="1:42" x14ac:dyDescent="0.25">
      <c r="A37" s="1">
        <v>31</v>
      </c>
      <c r="B37" s="2" t="s">
        <v>146</v>
      </c>
      <c r="C37" s="2" t="s">
        <v>222</v>
      </c>
      <c r="J37" s="1"/>
      <c r="K37" s="77">
        <v>92</v>
      </c>
      <c r="L37" s="78">
        <f>IF(K37&gt;=91, 4.00, IF(K37&gt;=81, 3.50, IF(K37&gt;=70, 3.00, IF(K37&gt;=65, 2.50, IF(K37&gt;=60, 2.00, IF(K37&gt;=55, 1.50, IF(K37&gt;=50, 1.00, 0.00)))))))</f>
      </c>
      <c r="M37" s="79">
        <f>IF(K37&gt;=91,"A",IF(K37&gt;=81,"B+",IF(K37&gt;=70,"B",IF(K37&gt;=65,"C+",IF(K37&gt;=60,"C",IF(K37&gt;=55,"D+",IF(K37&gt;=50,"D","F")))))))</f>
      </c>
      <c r="N37" s="77">
        <v>95</v>
      </c>
      <c r="O37" s="78">
        <f>IF(N37&gt;=91, 4.00, IF(N37&gt;=81, 3.50, IF(N37&gt;=70, 3.00, IF(N37&gt;=65, 2.50, IF(N37&gt;=60, 2.00, IF(N37&gt;=55, 1.50, IF(N37&gt;=50, 1.00, 0.00)))))))</f>
      </c>
      <c r="P37" s="79">
        <f>IF(N37&gt;=91,"A",IF(N37&gt;=81,"B+",IF(N37&gt;=70,"B",IF(N37&gt;=65,"C+",IF(N37&gt;=60,"C",IF(N37&gt;=55,"D+",IF(N37&gt;=50,"D","F")))))))</f>
      </c>
      <c r="Q37" s="77">
        <v>77</v>
      </c>
      <c r="R37" s="78">
        <f>IF(Q37&gt;=91, 4.00, IF(Q37&gt;=81, 3.50, IF(Q37&gt;=70, 3.00, IF(Q37&gt;=65, 2.50, IF(Q37&gt;=60, 2.00, IF(Q37&gt;=55, 1.50, IF(Q37&gt;=50, 1.00, 0.00)))))))</f>
      </c>
      <c r="S37" s="79">
        <f>IF(Q37&gt;=91,"A",IF(Q37&gt;=81,"B+",IF(Q37&gt;=70,"B",IF(Q37&gt;=65,"C+",IF(Q37&gt;=60,"C",IF(Q37&gt;=55,"D+",IF(Q37&gt;=50,"D","F")))))))</f>
      </c>
      <c r="T37" s="77">
        <v>80</v>
      </c>
      <c r="U37" s="78">
        <f>IF(T37&gt;=91, 4.00, IF(T37&gt;=81, 3.50, IF(T37&gt;=70, 3.00, IF(T37&gt;=65, 2.50, IF(T37&gt;=60, 2.00, IF(T37&gt;=55, 1.50, IF(T37&gt;=50, 1.00, 0.00)))))))</f>
      </c>
      <c r="V37" s="79">
        <f>IF(T37&gt;=91,"A",IF(T37&gt;=81,"B+",IF(T37&gt;=70,"B",IF(T37&gt;=65,"C+",IF(T37&gt;=60,"C",IF(T37&gt;=55,"D+",IF(T37&gt;=50,"D","F")))))))</f>
      </c>
      <c r="W37" s="77">
        <v>83</v>
      </c>
      <c r="X37" s="78">
        <f>IF(W37&gt;=91, 4.00, IF(W37&gt;=81, 3.50, IF(W37&gt;=70, 3.00, IF(W37&gt;=65, 2.50, IF(W37&gt;=60, 2.00, IF(W37&gt;=55, 1.50, IF(W37&gt;=50, 1.00, 0.00)))))))</f>
      </c>
      <c r="Y37" s="79">
        <f>IF(W37&gt;=91,"A",IF(W37&gt;=81,"B+",IF(W37&gt;=70,"B",IF(W37&gt;=65,"C+",IF(W37&gt;=60,"C",IF(W37&gt;=55,"D+",IF(W37&gt;=50,"D","F")))))))</f>
      </c>
      <c r="Z37" s="77">
        <v>86</v>
      </c>
      <c r="AA37" s="78">
        <f>IF(Z37&gt;=91, 4.00, IF(Z37&gt;=81, 3.50, IF(Z37&gt;=70, 3.00, IF(Z37&gt;=65, 2.50, IF(Z37&gt;=60, 2.00, IF(Z37&gt;=55, 1.50, IF(Z37&gt;=50, 1.00, 0.00)))))))</f>
      </c>
      <c r="AB37" s="79">
        <f>IF(Z37&gt;=91,"A",IF(Z37&gt;=81,"B+",IF(Z37&gt;=70,"B",IF(Z37&gt;=65,"C+",IF(Z37&gt;=60,"C",IF(Z37&gt;=55,"D+",IF(Z37&gt;=50,"D","F")))))))</f>
      </c>
      <c r="AC37" s="80">
        <f>ROUND((L37*2+O37*2+R37*2+U37*2+X37*2+AA37*1)/11, 2)</f>
      </c>
      <c r="AD37" s="81">
        <v>90</v>
      </c>
      <c r="AE37" s="82">
        <f>IF(AD37&gt;=91, 4.00, IF(AD37&gt;=81, 3.50, IF(AD37&gt;=70, 3.00, IF(AD37&gt;=65, 2.50, IF(AD37&gt;=60, 2.00, IF(AD37&gt;=55, 1.50, IF(AD37&gt;=50, 1.00, 0.00)))))))</f>
      </c>
      <c r="AF37" s="83">
        <f>IF(AD37&gt;=91,"A",IF(AD37&gt;=81,"B+",IF(AD37&gt;=70,"B",IF(AD37&gt;=65,"C+",IF(AD37&gt;=60,"C",IF(AD37&gt;=55,"D+",IF(AD37&gt;=50,"D","F")))))))</f>
      </c>
      <c r="AG37" s="81">
        <v>93</v>
      </c>
      <c r="AH37" s="82">
        <f>IF(AG37&gt;=91, 4.00, IF(AG37&gt;=81, 3.50, IF(AG37&gt;=70, 3.00, IF(AG37&gt;=65, 2.50, IF(AG37&gt;=60, 2.00, IF(AG37&gt;=55, 1.50, IF(AG37&gt;=50, 1.00, 0.00)))))))</f>
      </c>
      <c r="AI37" s="83">
        <f>IF(AG37&gt;=91,"A",IF(AG37&gt;=81,"B+",IF(AG37&gt;=70,"B",IF(AG37&gt;=65,"C+",IF(AG37&gt;=60,"C",IF(AG37&gt;=55,"D+",IF(AG37&gt;=50,"D","F")))))))</f>
      </c>
      <c r="AJ37" s="81">
        <v>75</v>
      </c>
      <c r="AK37" s="82">
        <f>IF(AJ37&gt;=91, 4.00, IF(AJ37&gt;=81, 3.50, IF(AJ37&gt;=70, 3.00, IF(AJ37&gt;=65, 2.50, IF(AJ37&gt;=60, 2.00, IF(AJ37&gt;=55, 1.50, IF(AJ37&gt;=50, 1.00, 0.00)))))))</f>
      </c>
      <c r="AL37" s="83">
        <f>IF(AJ37&gt;=91,"A",IF(AJ37&gt;=81,"B+",IF(AJ37&gt;=70,"B",IF(AJ37&gt;=65,"C+",IF(AJ37&gt;=60,"C",IF(AJ37&gt;=55,"D+",IF(AJ37&gt;=50,"D","F")))))))</f>
      </c>
      <c r="AM37" s="81">
        <v>78</v>
      </c>
      <c r="AN37" s="78">
        <f>IF(AM37&gt;=91, 4.00, IF(AM37&gt;=81, 3.50, IF(AM37&gt;=70, 3.00, IF(AM37&gt;=65, 2.50, IF(AM37&gt;=60, 2.00, IF(AM37&gt;=55, 1.50, IF(AM37&gt;=50, 1.00, 0.00)))))))</f>
      </c>
      <c r="AO37" s="79">
        <f>IF(AM37&gt;=91,"A",IF(AM37&gt;=81,"B+",IF(AM37&gt;=70,"B",IF(AM37&gt;=65,"C+",IF(AM37&gt;=60,"C",IF(AM37&gt;=55,"D+",IF(AM37&gt;=50,"D","F")))))))</f>
      </c>
      <c r="AP37" s="84">
        <f>ROUND((AE37*2+AH37*2+AK37*2+AN37*6)/12, 2)</f>
      </c>
    </row>
    <row r="38" ht="16" customHeight="1" spans="1:21" x14ac:dyDescent="0.25">
      <c r="A38" s="1"/>
      <c r="B38" s="2"/>
      <c r="C38" s="2"/>
      <c r="J38" s="1"/>
      <c r="M38" s="1"/>
      <c r="P38" s="1"/>
      <c r="S38" s="1"/>
      <c r="T38" s="1"/>
      <c r="U38" s="85" t="s">
        <v>316</v>
      </c>
    </row>
    <row r="39" spans="1:169" x14ac:dyDescent="0.25">
      <c r="A39" s="1"/>
      <c r="B39" s="2"/>
      <c r="C39" s="2"/>
      <c r="J39" s="1"/>
      <c r="M39" s="1"/>
      <c r="P39" s="1"/>
      <c r="S39" s="1"/>
      <c r="T39" s="1"/>
      <c r="U39" s="1"/>
      <c r="V39" s="1"/>
      <c r="Y39" s="1"/>
      <c r="AB39" s="1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P39" s="1"/>
      <c r="AQ39" s="1"/>
      <c r="AR39" s="1"/>
      <c r="AS39" s="1"/>
      <c r="AT39" s="1"/>
      <c r="AU39" s="1"/>
      <c r="AV39" s="1"/>
      <c r="AY39" s="1"/>
      <c r="AZ39" s="3"/>
      <c r="BA39" s="3"/>
      <c r="BB39" s="3"/>
      <c r="BC39" s="4"/>
      <c r="BD39" s="3"/>
      <c r="BE39" s="3"/>
      <c r="BF39" s="3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</row>
    <row r="40" ht="16" customHeight="1" spans="1:169" x14ac:dyDescent="0.25">
      <c r="A40" s="1"/>
      <c r="B40" s="2"/>
      <c r="C40" s="2"/>
      <c r="J40" s="1"/>
      <c r="M40" s="1"/>
      <c r="P40" s="1"/>
      <c r="S40" s="1"/>
      <c r="T40" s="1"/>
      <c r="U40" s="86" t="s">
        <v>224</v>
      </c>
      <c r="V40" s="1"/>
      <c r="Y40" s="1"/>
      <c r="AB40" s="1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P40" s="1"/>
      <c r="AQ40" s="1"/>
      <c r="AR40" s="1"/>
      <c r="AS40" s="1"/>
      <c r="AT40" s="1"/>
      <c r="AU40" s="1"/>
      <c r="AV40" s="1"/>
      <c r="AY40" s="1"/>
      <c r="AZ40" s="3"/>
      <c r="BA40" s="3"/>
      <c r="BB40" s="3"/>
      <c r="BC40" s="4"/>
      <c r="BD40" s="3"/>
      <c r="BE40" s="3"/>
      <c r="BF40" s="3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</row>
  </sheetData>
  <mergeCells count="1">
    <mergeCell ref="A1:BW6"/>
  </mergeCells>
  <conditionalFormatting sqref="B8"/>
  <conditionalFormatting sqref="AF8"/>
  <pageMargins left="0.2" right="0.2" top="0.75" bottom="0.25" header="0.3" footer="0.3"/>
  <pageSetup orientation="landscape" horizontalDpi="4294967293" verticalDpi="0" scale="67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A1" sqref="A1"/>
    </sheetView>
  </sheetViews>
  <sheetFormatPr defaultRowHeight="15" outlineLevelRow="0" outlineLevelCol="0" x14ac:dyDescent="0" defaultColWidth="8.83203125"/>
  <cols>
    <col min="1" max="1" width="4.1640625" customWidth="1"/>
    <col min="2" max="2" width="12.5" customWidth="1"/>
    <col min="3" max="3" width="5.1640625" customWidth="1"/>
    <col min="4" max="4" width="12.83203125" customWidth="1"/>
    <col min="5" max="5" width="14.5" customWidth="1"/>
    <col min="6" max="6" width="12.1640625" customWidth="1"/>
    <col min="7" max="7" width="23.33203125" customWidth="1"/>
    <col min="8" max="9" width="6.6640625" customWidth="1"/>
    <col min="10" max="11" width="6.5" customWidth="1"/>
    <col min="12" max="12" width="7.5" customWidth="1"/>
    <col min="13" max="13" width="6.83203125" customWidth="1"/>
    <col min="14" max="14" width="10.33203125" customWidth="1"/>
  </cols>
  <sheetData>
    <row r="1" ht="28.5" customHeight="1" spans="1:14" x14ac:dyDescent="0.25">
      <c r="A1" s="122" t="s">
        <v>318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</row>
    <row r="2" ht="16" customHeight="1" spans="1:14" x14ac:dyDescent="0.25">
      <c r="A2" s="8" t="s">
        <v>2</v>
      </c>
      <c r="B2" s="123" t="s">
        <v>3</v>
      </c>
      <c r="C2" s="123" t="s">
        <v>4</v>
      </c>
      <c r="D2" s="124" t="s">
        <v>226</v>
      </c>
      <c r="E2" s="125" t="s">
        <v>227</v>
      </c>
      <c r="F2" s="125" t="s">
        <v>7</v>
      </c>
      <c r="G2" s="125" t="s">
        <v>8</v>
      </c>
      <c r="H2" s="91" t="s">
        <v>228</v>
      </c>
      <c r="I2" s="91" t="s">
        <v>229</v>
      </c>
      <c r="J2" s="91" t="s">
        <v>319</v>
      </c>
      <c r="K2" s="91" t="s">
        <v>320</v>
      </c>
      <c r="L2" s="91" t="s">
        <v>321</v>
      </c>
      <c r="M2" s="91" t="s">
        <v>20</v>
      </c>
      <c r="N2" s="92" t="s">
        <v>21</v>
      </c>
    </row>
    <row r="3" ht="20" customHeight="1" spans="1:14" x14ac:dyDescent="0.25">
      <c r="A3" s="126">
        <v>1</v>
      </c>
      <c r="B3" s="127">
        <f>'Sem1-2'!B7</f>
      </c>
      <c r="C3" s="40">
        <f>'Sem1-2'!C7</f>
      </c>
      <c r="D3" s="40">
        <f>'Sem1-2'!D7</f>
      </c>
      <c r="E3" s="40">
        <f>'Sem1-2'!E7</f>
      </c>
      <c r="F3" s="40" t="s">
        <v>261</v>
      </c>
      <c r="G3" s="40" t="s">
        <v>47</v>
      </c>
      <c r="H3" s="43">
        <f>'Sem1-2'!AL7</f>
      </c>
      <c r="I3" s="43">
        <f>'Sem1-2'!BQ7</f>
      </c>
      <c r="J3" s="43">
        <f>'Sem3-4 '!AL7</f>
      </c>
      <c r="K3" s="128">
        <f>'Sem3-4 '!BN7</f>
      </c>
      <c r="L3" s="40">
        <f>ROUND((H3+I3+J3+K3)/4, 2)</f>
      </c>
      <c r="M3" s="129">
        <f>RANK(L3,$L$3:$L$32)</f>
        <v>1</v>
      </c>
      <c r="N3" s="130"/>
    </row>
    <row r="4" ht="20" customHeight="1" spans="1:14" x14ac:dyDescent="0.25">
      <c r="A4" s="126">
        <v>2</v>
      </c>
      <c r="B4" s="40">
        <f>'Sem1-2'!B8</f>
      </c>
      <c r="C4" s="40">
        <f>'Sem1-2'!C8</f>
      </c>
      <c r="D4" s="40">
        <f>'Sem1-2'!D8</f>
      </c>
      <c r="E4" s="40">
        <f>'Sem1-2'!E8</f>
      </c>
      <c r="F4" s="40" t="s">
        <v>264</v>
      </c>
      <c r="G4" s="40" t="s">
        <v>55</v>
      </c>
      <c r="H4" s="43">
        <f>'Sem1-2'!AL8</f>
      </c>
      <c r="I4" s="43">
        <f>'Sem1-2'!BQ8</f>
      </c>
      <c r="J4" s="43">
        <f>'Sem3-4 '!AL8</f>
      </c>
      <c r="K4" s="128">
        <f>'Sem3-4 '!BN8</f>
      </c>
      <c r="L4" s="40">
        <f>ROUND((H4+I4+J4+K4)/4, 2)</f>
      </c>
      <c r="M4" s="129">
        <f>RANK(L4,$L$3:$L$32)</f>
        <v>15</v>
      </c>
      <c r="N4" s="130"/>
    </row>
    <row r="5" ht="20" customHeight="1" spans="1:14" x14ac:dyDescent="0.25">
      <c r="A5" s="126">
        <v>3</v>
      </c>
      <c r="B5" s="40">
        <f>'Sem1-2'!B9</f>
      </c>
      <c r="C5" s="40">
        <f>'Sem1-2'!C9</f>
      </c>
      <c r="D5" s="40">
        <f>'Sem1-2'!D9</f>
      </c>
      <c r="E5" s="40">
        <f>'Sem1-2'!E9</f>
      </c>
      <c r="F5" s="40" t="s">
        <v>266</v>
      </c>
      <c r="G5" s="40" t="s">
        <v>61</v>
      </c>
      <c r="H5" s="43">
        <f>'Sem1-2'!AL9</f>
      </c>
      <c r="I5" s="43">
        <f>'Sem1-2'!BQ9</f>
      </c>
      <c r="J5" s="43">
        <f>'Sem3-4 '!AL9</f>
      </c>
      <c r="K5" s="128">
        <f>'Sem3-4 '!BN9</f>
      </c>
      <c r="L5" s="40">
        <f>ROUND((H5+I5+J5+K5)/4, 2)</f>
      </c>
      <c r="M5" s="129">
        <f>RANK(L5,$L$3:$L$32)</f>
        <v>30</v>
      </c>
      <c r="N5" s="130"/>
    </row>
    <row r="6" ht="20" customHeight="1" spans="1:14" x14ac:dyDescent="0.25">
      <c r="A6" s="126">
        <v>4</v>
      </c>
      <c r="B6" s="40">
        <f>'Sem1-2'!B10</f>
      </c>
      <c r="C6" s="40">
        <f>'Sem1-2'!C10</f>
      </c>
      <c r="D6" s="40">
        <f>'Sem1-2'!D10</f>
      </c>
      <c r="E6" s="40">
        <f>'Sem1-2'!E10</f>
      </c>
      <c r="F6" s="40"/>
      <c r="G6" s="40"/>
      <c r="H6" s="43">
        <f>'Sem1-2'!AL10</f>
      </c>
      <c r="I6" s="43">
        <f>'Sem1-2'!BQ10</f>
      </c>
      <c r="J6" s="43">
        <f>'Sem3-4 '!AL10</f>
      </c>
      <c r="K6" s="128">
        <f>'Sem3-4 '!BN10</f>
      </c>
      <c r="L6" s="40">
        <f>ROUND((H6+I6+J6+K6)/4, 2)</f>
      </c>
      <c r="M6" s="129">
        <f>RANK(L6,$L$3:$L$32)</f>
        <v>19</v>
      </c>
      <c r="N6" s="130"/>
    </row>
    <row r="7" ht="20" customHeight="1" spans="1:14" x14ac:dyDescent="0.25">
      <c r="A7" s="126">
        <v>5</v>
      </c>
      <c r="B7" s="40">
        <f>'Sem1-2'!B11</f>
      </c>
      <c r="C7" s="40">
        <f>'Sem1-2'!C11</f>
      </c>
      <c r="D7" s="40">
        <f>'Sem1-2'!D11</f>
      </c>
      <c r="E7" s="40">
        <f>'Sem1-2'!E11</f>
      </c>
      <c r="F7" s="40"/>
      <c r="G7" s="40"/>
      <c r="H7" s="43">
        <f>'Sem1-2'!AL11</f>
      </c>
      <c r="I7" s="43">
        <f>'Sem1-2'!BQ11</f>
      </c>
      <c r="J7" s="43">
        <f>'Sem3-4 '!AL11</f>
      </c>
      <c r="K7" s="128">
        <f>'Sem3-4 '!BN11</f>
      </c>
      <c r="L7" s="40">
        <f>ROUND((H7+I7+J7+K7)/4, 2)</f>
      </c>
      <c r="M7" s="129">
        <f>RANK(L7,$L$3:$L$32)</f>
        <v>28</v>
      </c>
      <c r="N7" s="130"/>
    </row>
    <row r="8" ht="20" customHeight="1" spans="1:14" x14ac:dyDescent="0.25">
      <c r="A8" s="126">
        <v>6</v>
      </c>
      <c r="B8" s="40">
        <f>'Sem1-2'!B12</f>
      </c>
      <c r="C8" s="40">
        <f>'Sem1-2'!C12</f>
      </c>
      <c r="D8" s="40">
        <f>'Sem1-2'!D12</f>
      </c>
      <c r="E8" s="40">
        <f>'Sem1-2'!E12</f>
      </c>
      <c r="F8" s="40" t="s">
        <v>271</v>
      </c>
      <c r="G8" s="40" t="s">
        <v>78</v>
      </c>
      <c r="H8" s="43">
        <f>'Sem1-2'!AL12</f>
      </c>
      <c r="I8" s="43">
        <f>'Sem1-2'!BQ12</f>
      </c>
      <c r="J8" s="43">
        <f>'Sem3-4 '!AL12</f>
      </c>
      <c r="K8" s="128">
        <f>'Sem3-4 '!BN12</f>
      </c>
      <c r="L8" s="40">
        <f>ROUND((H8+I8+J8+K8)/4, 2)</f>
      </c>
      <c r="M8" s="129">
        <f>RANK(L8,$L$3:$L$32)</f>
        <v>3</v>
      </c>
      <c r="N8" s="130"/>
    </row>
    <row r="9" ht="20" customHeight="1" spans="1:14" x14ac:dyDescent="0.25">
      <c r="A9" s="126">
        <v>7</v>
      </c>
      <c r="B9" s="40">
        <f>'Sem1-2'!B13</f>
      </c>
      <c r="C9" s="40">
        <f>'Sem1-2'!C13</f>
      </c>
      <c r="D9" s="40">
        <f>'Sem1-2'!D13</f>
      </c>
      <c r="E9" s="40">
        <f>'Sem1-2'!E13</f>
      </c>
      <c r="F9" s="40" t="s">
        <v>273</v>
      </c>
      <c r="G9" s="40" t="s">
        <v>83</v>
      </c>
      <c r="H9" s="43">
        <f>'Sem1-2'!AL13</f>
      </c>
      <c r="I9" s="43">
        <f>'Sem1-2'!BQ13</f>
      </c>
      <c r="J9" s="43">
        <f>'Sem3-4 '!AL13</f>
      </c>
      <c r="K9" s="128">
        <f>'Sem3-4 '!BN13</f>
      </c>
      <c r="L9" s="40">
        <f>ROUND((H9+I9+J9+K9)/4, 2)</f>
      </c>
      <c r="M9" s="129">
        <f>RANK(L9,$L$3:$L$32)</f>
        <v>7</v>
      </c>
      <c r="N9" s="130"/>
    </row>
    <row r="10" ht="20" customHeight="1" spans="1:14" x14ac:dyDescent="0.25">
      <c r="A10" s="126">
        <v>8</v>
      </c>
      <c r="B10" s="40">
        <f>'Sem1-2'!B14</f>
      </c>
      <c r="C10" s="40">
        <f>'Sem1-2'!C14</f>
      </c>
      <c r="D10" s="40">
        <f>'Sem1-2'!D14</f>
      </c>
      <c r="E10" s="40">
        <f>'Sem1-2'!E14</f>
      </c>
      <c r="F10" s="40" t="s">
        <v>277</v>
      </c>
      <c r="G10" s="40" t="s">
        <v>90</v>
      </c>
      <c r="H10" s="43">
        <f>'Sem1-2'!AL14</f>
      </c>
      <c r="I10" s="43">
        <f>'Sem1-2'!BQ14</f>
      </c>
      <c r="J10" s="43">
        <f>'Sem3-4 '!AL14</f>
      </c>
      <c r="K10" s="128">
        <f>'Sem3-4 '!BN14</f>
      </c>
      <c r="L10" s="40">
        <f>ROUND((H10+I10+J10+K10)/4, 2)</f>
      </c>
      <c r="M10" s="129">
        <f>RANK(L10,$L$3:$L$32)</f>
        <v>4</v>
      </c>
      <c r="N10" s="130"/>
    </row>
    <row r="11" ht="20" customHeight="1" spans="1:14" x14ac:dyDescent="0.25">
      <c r="A11" s="126">
        <v>9</v>
      </c>
      <c r="B11" s="40">
        <f>'Sem1-2'!B15</f>
      </c>
      <c r="C11" s="40">
        <f>'Sem1-2'!C15</f>
      </c>
      <c r="D11" s="40">
        <f>'Sem1-2'!D15</f>
      </c>
      <c r="E11" s="40">
        <f>'Sem1-2'!E15</f>
      </c>
      <c r="F11" s="40" t="s">
        <v>279</v>
      </c>
      <c r="G11" s="40" t="s">
        <v>96</v>
      </c>
      <c r="H11" s="43">
        <f>'Sem1-2'!AL15</f>
      </c>
      <c r="I11" s="43">
        <f>'Sem1-2'!BQ15</f>
      </c>
      <c r="J11" s="43">
        <f>'Sem3-4 '!AL15</f>
      </c>
      <c r="K11" s="128">
        <f>'Sem3-4 '!BN15</f>
      </c>
      <c r="L11" s="40">
        <f>ROUND((H11+I11+J11+K11)/4, 2)</f>
      </c>
      <c r="M11" s="129">
        <f>RANK(L11,$L$3:$L$32)</f>
        <v>14</v>
      </c>
      <c r="N11" s="130"/>
    </row>
    <row r="12" ht="20" customHeight="1" spans="1:14" x14ac:dyDescent="0.25">
      <c r="A12" s="126">
        <v>10</v>
      </c>
      <c r="B12" s="40">
        <f>'Sem1-2'!B16</f>
      </c>
      <c r="C12" s="40">
        <f>'Sem1-2'!C16</f>
      </c>
      <c r="D12" s="40">
        <f>'Sem1-2'!D16</f>
      </c>
      <c r="E12" s="40">
        <f>'Sem1-2'!E16</f>
      </c>
      <c r="F12" s="40" t="s">
        <v>281</v>
      </c>
      <c r="G12" s="40" t="s">
        <v>102</v>
      </c>
      <c r="H12" s="43">
        <f>'Sem1-2'!AL16</f>
      </c>
      <c r="I12" s="43">
        <f>'Sem1-2'!BQ16</f>
      </c>
      <c r="J12" s="43">
        <f>'Sem3-4 '!AL16</f>
      </c>
      <c r="K12" s="128">
        <f>'Sem3-4 '!BN16</f>
      </c>
      <c r="L12" s="40">
        <f>ROUND((H12+I12+J12+K12)/4, 2)</f>
      </c>
      <c r="M12" s="129">
        <f>RANK(L12,$L$3:$L$32)</f>
        <v>12</v>
      </c>
      <c r="N12" s="130"/>
    </row>
    <row r="13" ht="20" customHeight="1" spans="1:14" x14ac:dyDescent="0.25">
      <c r="A13" s="126">
        <v>11</v>
      </c>
      <c r="B13" s="40">
        <f>'Sem1-2'!B17</f>
      </c>
      <c r="C13" s="40">
        <f>'Sem1-2'!C17</f>
      </c>
      <c r="D13" s="40">
        <f>'Sem1-2'!D17</f>
      </c>
      <c r="E13" s="40">
        <f>'Sem1-2'!E17</f>
      </c>
      <c r="F13" s="40" t="s">
        <v>283</v>
      </c>
      <c r="G13" s="40" t="s">
        <v>284</v>
      </c>
      <c r="H13" s="43">
        <f>'Sem1-2'!AL17</f>
      </c>
      <c r="I13" s="43">
        <f>'Sem1-2'!BQ17</f>
      </c>
      <c r="J13" s="43">
        <f>'Sem3-4 '!AL17</f>
      </c>
      <c r="K13" s="128">
        <f>'Sem3-4 '!BN17</f>
      </c>
      <c r="L13" s="40">
        <f>ROUND((H13+I13+J13+K13)/4, 2)</f>
      </c>
      <c r="M13" s="129">
        <f>RANK(L13,$L$3:$L$32)</f>
        <v>21</v>
      </c>
      <c r="N13" s="130"/>
    </row>
    <row r="14" ht="20" customHeight="1" spans="1:14" x14ac:dyDescent="0.25">
      <c r="A14" s="126">
        <v>12</v>
      </c>
      <c r="B14" s="40">
        <f>'Sem1-2'!B18</f>
      </c>
      <c r="C14" s="40">
        <f>'Sem1-2'!C18</f>
      </c>
      <c r="D14" s="40">
        <f>'Sem1-2'!D18</f>
      </c>
      <c r="E14" s="40">
        <f>'Sem1-2'!E18</f>
      </c>
      <c r="F14" s="40" t="s">
        <v>286</v>
      </c>
      <c r="G14" s="40" t="s">
        <v>114</v>
      </c>
      <c r="H14" s="43">
        <f>'Sem1-2'!AL18</f>
      </c>
      <c r="I14" s="43">
        <f>'Sem1-2'!BQ18</f>
      </c>
      <c r="J14" s="43">
        <f>'Sem3-4 '!AL18</f>
      </c>
      <c r="K14" s="128">
        <f>'Sem3-4 '!BN18</f>
      </c>
      <c r="L14" s="40">
        <f>ROUND((H14+I14+J14+K14)/4, 2)</f>
      </c>
      <c r="M14" s="129">
        <f>RANK(L14,$L$3:$L$32)</f>
        <v>16</v>
      </c>
      <c r="N14" s="130"/>
    </row>
    <row r="15" ht="20" customHeight="1" spans="1:14" x14ac:dyDescent="0.25">
      <c r="A15" s="126">
        <v>13</v>
      </c>
      <c r="B15" s="40">
        <f>'Sem1-2'!B19</f>
      </c>
      <c r="C15" s="40">
        <f>'Sem1-2'!C19</f>
      </c>
      <c r="D15" s="40">
        <f>'Sem1-2'!D19</f>
      </c>
      <c r="E15" s="40">
        <f>'Sem1-2'!E19</f>
      </c>
      <c r="F15" s="40" t="s">
        <v>288</v>
      </c>
      <c r="G15" s="40" t="s">
        <v>121</v>
      </c>
      <c r="H15" s="43">
        <f>'Sem1-2'!AL19</f>
      </c>
      <c r="I15" s="43">
        <f>'Sem1-2'!BQ19</f>
      </c>
      <c r="J15" s="43">
        <f>'Sem3-4 '!AL19</f>
      </c>
      <c r="K15" s="128">
        <f>'Sem3-4 '!BN19</f>
      </c>
      <c r="L15" s="40">
        <f>ROUND((H15+I15+J15+K15)/4, 2)</f>
      </c>
      <c r="M15" s="129">
        <f>RANK(L15,$L$3:$L$32)</f>
        <v>9</v>
      </c>
      <c r="N15" s="130"/>
    </row>
    <row r="16" ht="20" customHeight="1" spans="1:14" x14ac:dyDescent="0.25">
      <c r="A16" s="126">
        <v>14</v>
      </c>
      <c r="B16" s="40">
        <f>'Sem1-2'!B20</f>
      </c>
      <c r="C16" s="40">
        <f>'Sem1-2'!C20</f>
      </c>
      <c r="D16" s="40">
        <f>'Sem1-2'!D20</f>
      </c>
      <c r="E16" s="40">
        <f>'Sem1-2'!E20</f>
      </c>
      <c r="F16" s="40" t="s">
        <v>290</v>
      </c>
      <c r="G16" s="40" t="s">
        <v>127</v>
      </c>
      <c r="H16" s="43">
        <f>'Sem1-2'!AL20</f>
      </c>
      <c r="I16" s="43">
        <f>'Sem1-2'!BQ20</f>
      </c>
      <c r="J16" s="43">
        <f>'Sem3-4 '!AL20</f>
      </c>
      <c r="K16" s="128">
        <f>'Sem3-4 '!BN20</f>
      </c>
      <c r="L16" s="40">
        <f>ROUND((H16+I16+J16+K16)/4, 2)</f>
      </c>
      <c r="M16" s="129">
        <f>RANK(L16,$L$3:$L$32)</f>
        <v>25</v>
      </c>
      <c r="N16" s="130"/>
    </row>
    <row r="17" ht="20" customHeight="1" spans="1:14" x14ac:dyDescent="0.25">
      <c r="A17" s="126">
        <v>15</v>
      </c>
      <c r="B17" s="40">
        <f>'Sem1-2'!B21</f>
      </c>
      <c r="C17" s="40">
        <f>'Sem1-2'!C21</f>
      </c>
      <c r="D17" s="40">
        <f>'Sem1-2'!D21</f>
      </c>
      <c r="E17" s="40">
        <f>'Sem1-2'!E21</f>
      </c>
      <c r="F17" s="40" t="s">
        <v>291</v>
      </c>
      <c r="G17" s="40" t="s">
        <v>133</v>
      </c>
      <c r="H17" s="43">
        <f>'Sem1-2'!AL21</f>
      </c>
      <c r="I17" s="43">
        <f>'Sem1-2'!BQ21</f>
      </c>
      <c r="J17" s="43">
        <f>'Sem3-4 '!AL21</f>
      </c>
      <c r="K17" s="128">
        <f>'Sem3-4 '!BN21</f>
      </c>
      <c r="L17" s="40">
        <f>ROUND((H17+I17+J17+K17)/4, 2)</f>
      </c>
      <c r="M17" s="129">
        <f>RANK(L17,$L$3:$L$32)</f>
        <v>13</v>
      </c>
      <c r="N17" s="130"/>
    </row>
    <row r="18" ht="20" customHeight="1" spans="1:14" x14ac:dyDescent="0.25">
      <c r="A18" s="126">
        <v>16</v>
      </c>
      <c r="B18" s="40">
        <f>'Sem1-2'!B22</f>
      </c>
      <c r="C18" s="40">
        <f>'Sem1-2'!C22</f>
      </c>
      <c r="D18" s="40">
        <f>'Sem1-2'!D22</f>
      </c>
      <c r="E18" s="40">
        <f>'Sem1-2'!E22</f>
      </c>
      <c r="F18" s="40" t="s">
        <v>292</v>
      </c>
      <c r="G18" s="40" t="s">
        <v>139</v>
      </c>
      <c r="H18" s="43">
        <f>'Sem1-2'!AL22</f>
      </c>
      <c r="I18" s="43">
        <f>'Sem1-2'!BQ22</f>
      </c>
      <c r="J18" s="43">
        <f>'Sem3-4 '!AL22</f>
      </c>
      <c r="K18" s="128">
        <f>'Sem3-4 '!BN22</f>
      </c>
      <c r="L18" s="40">
        <f>ROUND((H18+I18+J18+K18)/4, 2)</f>
      </c>
      <c r="M18" s="129">
        <f>RANK(L18,$L$3:$L$32)</f>
        <v>2</v>
      </c>
      <c r="N18" s="130"/>
    </row>
    <row r="19" ht="20" customHeight="1" spans="1:14" x14ac:dyDescent="0.25">
      <c r="A19" s="126">
        <v>17</v>
      </c>
      <c r="B19" s="40">
        <f>'Sem1-2'!B23</f>
      </c>
      <c r="C19" s="40">
        <f>'Sem1-2'!C23</f>
      </c>
      <c r="D19" s="40">
        <f>'Sem1-2'!D23</f>
      </c>
      <c r="E19" s="40">
        <f>'Sem1-2'!E23</f>
      </c>
      <c r="F19" s="40" t="s">
        <v>293</v>
      </c>
      <c r="G19" s="40" t="s">
        <v>145</v>
      </c>
      <c r="H19" s="43">
        <f>'Sem1-2'!AL23</f>
      </c>
      <c r="I19" s="43">
        <f>'Sem1-2'!BQ23</f>
      </c>
      <c r="J19" s="43">
        <f>'Sem3-4 '!AL23</f>
      </c>
      <c r="K19" s="128">
        <f>'Sem3-4 '!BN23</f>
      </c>
      <c r="L19" s="40">
        <f>ROUND((H19+I19+J19+K19)/4, 2)</f>
      </c>
      <c r="M19" s="129">
        <f>RANK(L19,$L$3:$L$32)</f>
        <v>26</v>
      </c>
      <c r="N19" s="130"/>
    </row>
    <row r="20" ht="20" customHeight="1" spans="1:14" x14ac:dyDescent="0.25">
      <c r="A20" s="126">
        <v>18</v>
      </c>
      <c r="B20" s="40">
        <f>'Sem1-2'!B24</f>
      </c>
      <c r="C20" s="40">
        <f>'Sem1-2'!C24</f>
      </c>
      <c r="D20" s="40">
        <f>'Sem1-2'!D24</f>
      </c>
      <c r="E20" s="40">
        <f>'Sem1-2'!E24</f>
      </c>
      <c r="F20" s="40" t="s">
        <v>294</v>
      </c>
      <c r="G20" s="40" t="s">
        <v>150</v>
      </c>
      <c r="H20" s="43">
        <f>'Sem1-2'!AL24</f>
      </c>
      <c r="I20" s="43">
        <f>'Sem1-2'!BQ24</f>
      </c>
      <c r="J20" s="43">
        <f>'Sem3-4 '!AL24</f>
      </c>
      <c r="K20" s="128">
        <f>'Sem3-4 '!BN24</f>
      </c>
      <c r="L20" s="40">
        <f>ROUND((H20+I20+J20+K20)/4, 2)</f>
      </c>
      <c r="M20" s="129">
        <f>RANK(L20,$L$3:$L$32)</f>
        <v>11</v>
      </c>
      <c r="N20" s="130"/>
    </row>
    <row r="21" ht="20" customHeight="1" spans="1:14" x14ac:dyDescent="0.25">
      <c r="A21" s="126">
        <v>19</v>
      </c>
      <c r="B21" s="40">
        <f>'Sem1-2'!B25</f>
      </c>
      <c r="C21" s="40">
        <f>'Sem1-2'!C25</f>
      </c>
      <c r="D21" s="40">
        <f>'Sem1-2'!D25</f>
      </c>
      <c r="E21" s="40">
        <f>'Sem1-2'!E25</f>
      </c>
      <c r="F21" s="40" t="s">
        <v>295</v>
      </c>
      <c r="G21" s="40" t="s">
        <v>296</v>
      </c>
      <c r="H21" s="43">
        <f>'Sem1-2'!AL25</f>
      </c>
      <c r="I21" s="43">
        <f>'Sem1-2'!BQ25</f>
      </c>
      <c r="J21" s="43">
        <f>'Sem3-4 '!AL25</f>
      </c>
      <c r="K21" s="128">
        <f>'Sem3-4 '!BN25</f>
      </c>
      <c r="L21" s="40">
        <f>ROUND((H21+I21+J21+K21)/4, 2)</f>
      </c>
      <c r="M21" s="129">
        <f>RANK(L21,$L$3:$L$32)</f>
        <v>5</v>
      </c>
      <c r="N21" s="130"/>
    </row>
    <row r="22" ht="20" customHeight="1" spans="1:14" x14ac:dyDescent="0.25">
      <c r="A22" s="126">
        <v>20</v>
      </c>
      <c r="B22" s="40">
        <f>'Sem1-2'!B26</f>
      </c>
      <c r="C22" s="40">
        <f>'Sem1-2'!C26</f>
      </c>
      <c r="D22" s="40">
        <f>'Sem1-2'!D26</f>
      </c>
      <c r="E22" s="40">
        <f>'Sem1-2'!E26</f>
      </c>
      <c r="F22" s="40" t="s">
        <v>297</v>
      </c>
      <c r="G22" s="40" t="s">
        <v>163</v>
      </c>
      <c r="H22" s="43">
        <f>'Sem1-2'!AL26</f>
      </c>
      <c r="I22" s="43">
        <f>'Sem1-2'!BQ26</f>
      </c>
      <c r="J22" s="43">
        <f>'Sem3-4 '!AL26</f>
      </c>
      <c r="K22" s="128">
        <f>'Sem3-4 '!BN26</f>
      </c>
      <c r="L22" s="40">
        <f>ROUND((H22+I22+J22+K22)/4, 2)</f>
      </c>
      <c r="M22" s="129">
        <f>RANK(L22,$L$3:$L$32)</f>
        <v>6</v>
      </c>
      <c r="N22" s="130"/>
    </row>
    <row r="23" ht="20" customHeight="1" spans="1:14" x14ac:dyDescent="0.25">
      <c r="A23" s="126">
        <v>21</v>
      </c>
      <c r="B23" s="40">
        <f>'Sem1-2'!B27</f>
      </c>
      <c r="C23" s="40">
        <f>'Sem1-2'!C27</f>
      </c>
      <c r="D23" s="40">
        <f>'Sem1-2'!D27</f>
      </c>
      <c r="E23" s="40">
        <f>'Sem1-2'!E27</f>
      </c>
      <c r="F23" s="40" t="s">
        <v>298</v>
      </c>
      <c r="G23" s="40" t="s">
        <v>299</v>
      </c>
      <c r="H23" s="43">
        <f>'Sem1-2'!AL27</f>
      </c>
      <c r="I23" s="43">
        <f>'Sem1-2'!BQ27</f>
      </c>
      <c r="J23" s="43">
        <f>'Sem3-4 '!AL27</f>
      </c>
      <c r="K23" s="128">
        <f>'Sem3-4 '!BN27</f>
      </c>
      <c r="L23" s="40">
        <f>ROUND((H23+I23+J23+K23)/4, 2)</f>
      </c>
      <c r="M23" s="129">
        <f>RANK(L23,$L$3:$L$32)</f>
        <v>18</v>
      </c>
      <c r="N23" s="130"/>
    </row>
    <row r="24" ht="20" customHeight="1" spans="1:14" x14ac:dyDescent="0.25">
      <c r="A24" s="126">
        <v>22</v>
      </c>
      <c r="B24" s="40">
        <f>'Sem1-2'!B28</f>
      </c>
      <c r="C24" s="40">
        <f>'Sem1-2'!C28</f>
      </c>
      <c r="D24" s="40">
        <f>'Sem1-2'!D28</f>
      </c>
      <c r="E24" s="40">
        <f>'Sem1-2'!E28</f>
      </c>
      <c r="F24" s="40" t="s">
        <v>300</v>
      </c>
      <c r="G24" s="40" t="s">
        <v>174</v>
      </c>
      <c r="H24" s="43">
        <f>'Sem1-2'!AL28</f>
      </c>
      <c r="I24" s="43">
        <f>'Sem1-2'!BQ28</f>
      </c>
      <c r="J24" s="43">
        <f>'Sem3-4 '!AL28</f>
      </c>
      <c r="K24" s="128">
        <f>'Sem3-4 '!BN28</f>
      </c>
      <c r="L24" s="40">
        <f>ROUND((H24+I24+J24+K24)/4, 2)</f>
      </c>
      <c r="M24" s="129">
        <f>RANK(L24,$L$3:$L$32)</f>
        <v>17</v>
      </c>
      <c r="N24" s="130"/>
    </row>
    <row r="25" ht="20" customHeight="1" spans="1:14" x14ac:dyDescent="0.25">
      <c r="A25" s="126">
        <v>23</v>
      </c>
      <c r="B25" s="40">
        <f>'Sem1-2'!B29</f>
      </c>
      <c r="C25" s="40">
        <f>'Sem1-2'!C29</f>
      </c>
      <c r="D25" s="40">
        <f>'Sem1-2'!D29</f>
      </c>
      <c r="E25" s="40">
        <f>'Sem1-2'!E29</f>
      </c>
      <c r="F25" s="40" t="s">
        <v>301</v>
      </c>
      <c r="G25" s="40" t="s">
        <v>179</v>
      </c>
      <c r="H25" s="43">
        <f>'Sem1-2'!AL29</f>
      </c>
      <c r="I25" s="43">
        <f>'Sem1-2'!BQ29</f>
      </c>
      <c r="J25" s="43">
        <f>'Sem3-4 '!AL29</f>
      </c>
      <c r="K25" s="128">
        <f>'Sem3-4 '!BN29</f>
      </c>
      <c r="L25" s="40">
        <f>ROUND((H25+I25+J25+K25)/4, 2)</f>
      </c>
      <c r="M25" s="129">
        <f>RANK(L25,$L$3:$L$32)</f>
        <v>10</v>
      </c>
      <c r="N25" s="130"/>
    </row>
    <row r="26" ht="20" customHeight="1" spans="1:14" x14ac:dyDescent="0.25">
      <c r="A26" s="126">
        <v>24</v>
      </c>
      <c r="B26" s="40">
        <f>'Sem1-2'!B30</f>
      </c>
      <c r="C26" s="40">
        <f>'Sem1-2'!C30</f>
      </c>
      <c r="D26" s="40">
        <f>'Sem1-2'!D30</f>
      </c>
      <c r="E26" s="40">
        <f>'Sem1-2'!E30</f>
      </c>
      <c r="F26" s="40" t="s">
        <v>303</v>
      </c>
      <c r="G26" s="40" t="s">
        <v>185</v>
      </c>
      <c r="H26" s="43">
        <f>'Sem1-2'!AL30</f>
      </c>
      <c r="I26" s="43">
        <f>'Sem1-2'!BQ30</f>
      </c>
      <c r="J26" s="43">
        <f>'Sem3-4 '!AL30</f>
      </c>
      <c r="K26" s="128">
        <f>'Sem3-4 '!BN30</f>
      </c>
      <c r="L26" s="40">
        <f>ROUND((H26+I26+J26+K26)/4, 2)</f>
      </c>
      <c r="M26" s="129">
        <f>RANK(L26,$L$3:$L$32)</f>
        <v>29</v>
      </c>
      <c r="N26" s="130"/>
    </row>
    <row r="27" ht="20" customHeight="1" spans="1:14" x14ac:dyDescent="0.25">
      <c r="A27" s="126">
        <v>25</v>
      </c>
      <c r="B27" s="40">
        <f>'Sem1-2'!B31</f>
      </c>
      <c r="C27" s="40">
        <f>'Sem1-2'!C31</f>
      </c>
      <c r="D27" s="40">
        <f>'Sem1-2'!D31</f>
      </c>
      <c r="E27" s="40">
        <f>'Sem1-2'!E31</f>
      </c>
      <c r="F27" s="40" t="s">
        <v>306</v>
      </c>
      <c r="G27" s="40" t="s">
        <v>191</v>
      </c>
      <c r="H27" s="43">
        <f>'Sem1-2'!AL31</f>
      </c>
      <c r="I27" s="43">
        <f>'Sem1-2'!BQ31</f>
      </c>
      <c r="J27" s="43">
        <f>'Sem3-4 '!AL31</f>
      </c>
      <c r="K27" s="128">
        <f>'Sem3-4 '!BN31</f>
      </c>
      <c r="L27" s="40">
        <f>ROUND((H27+I27+J27+K27)/4, 2)</f>
      </c>
      <c r="M27" s="129">
        <f>RANK(L27,$L$3:$L$32)</f>
        <v>8</v>
      </c>
      <c r="N27" s="130"/>
    </row>
    <row r="28" ht="20" customHeight="1" spans="1:14" x14ac:dyDescent="0.25">
      <c r="A28" s="126">
        <v>26</v>
      </c>
      <c r="B28" s="40">
        <f>'Sem1-2'!B32</f>
      </c>
      <c r="C28" s="40">
        <f>'Sem1-2'!C32</f>
      </c>
      <c r="D28" s="40">
        <f>'Sem1-2'!D32</f>
      </c>
      <c r="E28" s="40">
        <f>'Sem1-2'!E32</f>
      </c>
      <c r="F28" s="40" t="s">
        <v>308</v>
      </c>
      <c r="G28" s="40" t="s">
        <v>196</v>
      </c>
      <c r="H28" s="43">
        <f>'Sem1-2'!AL32</f>
      </c>
      <c r="I28" s="43">
        <f>'Sem1-2'!BQ32</f>
      </c>
      <c r="J28" s="43">
        <f>'Sem3-4 '!AL32</f>
      </c>
      <c r="K28" s="128">
        <f>'Sem3-4 '!BN32</f>
      </c>
      <c r="L28" s="40">
        <f>ROUND((H28+I28+J28+K28)/4, 2)</f>
      </c>
      <c r="M28" s="129">
        <f>RANK(L28,$L$3:$L$32)</f>
        <v>24</v>
      </c>
      <c r="N28" s="130"/>
    </row>
    <row r="29" ht="20" customHeight="1" spans="1:14" x14ac:dyDescent="0.25">
      <c r="A29" s="126">
        <v>27</v>
      </c>
      <c r="B29" s="40">
        <f>'Sem1-2'!B33</f>
      </c>
      <c r="C29" s="40">
        <f>'Sem1-2'!C33</f>
      </c>
      <c r="D29" s="40">
        <f>'Sem1-2'!D33</f>
      </c>
      <c r="E29" s="40">
        <f>'Sem1-2'!E33</f>
      </c>
      <c r="F29" s="40" t="s">
        <v>310</v>
      </c>
      <c r="G29" s="40" t="s">
        <v>202</v>
      </c>
      <c r="H29" s="43">
        <f>'Sem1-2'!AL33</f>
      </c>
      <c r="I29" s="43">
        <f>'Sem1-2'!BQ33</f>
      </c>
      <c r="J29" s="43">
        <f>'Sem3-4 '!AL33</f>
      </c>
      <c r="K29" s="128">
        <f>'Sem3-4 '!BN33</f>
      </c>
      <c r="L29" s="40">
        <f>ROUND((H29+I29+J29+K29)/4, 2)</f>
      </c>
      <c r="M29" s="129">
        <f>RANK(L29,$L$3:$L$32)</f>
        <v>27</v>
      </c>
      <c r="N29" s="130"/>
    </row>
    <row r="30" ht="20" customHeight="1" spans="1:14" x14ac:dyDescent="0.25">
      <c r="A30" s="126">
        <v>28</v>
      </c>
      <c r="B30" s="40">
        <f>'Sem1-2'!B34</f>
      </c>
      <c r="C30" s="40">
        <f>'Sem1-2'!C34</f>
      </c>
      <c r="D30" s="40">
        <f>'Sem1-2'!D34</f>
      </c>
      <c r="E30" s="40">
        <f>'Sem1-2'!E34</f>
      </c>
      <c r="F30" s="40" t="s">
        <v>312</v>
      </c>
      <c r="G30" s="40" t="s">
        <v>207</v>
      </c>
      <c r="H30" s="43">
        <f>'Sem1-2'!AL34</f>
      </c>
      <c r="I30" s="43">
        <f>'Sem1-2'!BQ34</f>
      </c>
      <c r="J30" s="43">
        <f>'Sem3-4 '!AL34</f>
      </c>
      <c r="K30" s="128">
        <f>'Sem3-4 '!BN34</f>
      </c>
      <c r="L30" s="40">
        <f>ROUND((H30+I30+J30+K30)/4, 2)</f>
      </c>
      <c r="M30" s="129">
        <f>RANK(L30,$L$3:$L$32)</f>
        <v>20</v>
      </c>
      <c r="N30" s="130"/>
    </row>
    <row r="31" ht="20" customHeight="1" spans="1:14" x14ac:dyDescent="0.25">
      <c r="A31" s="126">
        <v>29</v>
      </c>
      <c r="B31" s="40">
        <f>'Sem1-2'!B35</f>
      </c>
      <c r="C31" s="40">
        <f>'Sem1-2'!C35</f>
      </c>
      <c r="D31" s="40">
        <f>'Sem1-2'!D35</f>
      </c>
      <c r="E31" s="40">
        <f>'Sem1-2'!E35</f>
      </c>
      <c r="F31" s="40" t="s">
        <v>314</v>
      </c>
      <c r="G31" s="40" t="s">
        <v>214</v>
      </c>
      <c r="H31" s="43">
        <f>'Sem1-2'!AL35</f>
      </c>
      <c r="I31" s="43">
        <f>'Sem1-2'!BQ35</f>
      </c>
      <c r="J31" s="43">
        <f>'Sem3-4 '!AL35</f>
      </c>
      <c r="K31" s="128">
        <f>'Sem3-4 '!BN35</f>
      </c>
      <c r="L31" s="40">
        <f>ROUND((H31+I31+J31+K31)/4, 2)</f>
      </c>
      <c r="M31" s="129">
        <f>RANK(L31,$L$3:$L$32)</f>
        <v>23</v>
      </c>
      <c r="N31" s="130"/>
    </row>
    <row r="32" ht="20" customHeight="1" spans="1:14" x14ac:dyDescent="0.25">
      <c r="A32" s="126">
        <v>30</v>
      </c>
      <c r="B32" s="40">
        <f>'Sem1-2'!B36</f>
      </c>
      <c r="C32" s="40">
        <f>'Sem1-2'!C36</f>
      </c>
      <c r="D32" s="40">
        <f>'Sem1-2'!D36</f>
      </c>
      <c r="E32" s="40">
        <f>'Sem1-2'!E36</f>
      </c>
      <c r="F32" s="40" t="s">
        <v>315</v>
      </c>
      <c r="G32" s="40" t="s">
        <v>221</v>
      </c>
      <c r="H32" s="43">
        <f>'Sem1-2'!AL36</f>
      </c>
      <c r="I32" s="43">
        <f>'Sem1-2'!BQ36</f>
      </c>
      <c r="J32" s="43">
        <f>'Sem3-4 '!AL36</f>
      </c>
      <c r="K32" s="128">
        <f>'Sem3-4 '!BN36</f>
      </c>
      <c r="L32" s="40">
        <f>ROUND((H32+I32+J32+K32)/4, 2)</f>
      </c>
      <c r="M32" s="129">
        <f>RANK(L32,$L$3:$L$32)</f>
        <v>22</v>
      </c>
      <c r="N32" s="130"/>
    </row>
    <row r="33" ht="20" customHeight="1" spans="1:12" x14ac:dyDescent="0.25">
      <c r="A33" s="96">
        <v>31</v>
      </c>
      <c r="B33" s="96">
        <f>'Sem1-2'!B37</f>
      </c>
      <c r="C33" s="96">
        <f>'Sem1-2'!C37</f>
      </c>
      <c r="D33">
        <f>'Sem1-2'!D37</f>
      </c>
      <c r="E33">
        <f>'Sem1-2'!E37</f>
      </c>
      <c r="H33" s="78">
        <f>'Sem1-2'!AL37</f>
      </c>
      <c r="I33" s="78">
        <f>'Sem1-2'!BQ37</f>
      </c>
      <c r="J33" s="78">
        <f>'Sem3-4 '!AL37</f>
      </c>
      <c r="K33" s="78">
        <f>'Sem3-4 '!BN37</f>
      </c>
      <c r="L33" s="84">
        <f>ROUND((H33+I33+J33+K33)/4, 2)</f>
      </c>
    </row>
  </sheetData>
  <mergeCells count="1">
    <mergeCell ref="C1:N1"/>
  </mergeCells>
  <conditionalFormatting sqref="B4"/>
  <pageMargins left="0.45" right="0.2" top="0.5" bottom="0.5" header="0.3" footer="0.3"/>
  <pageSetup orientation="portrait" horizontalDpi="4294967293" verticalDpi="0" scale="8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A1" sqref="A1"/>
    </sheetView>
  </sheetViews>
  <sheetFormatPr defaultRowHeight="15" outlineLevelRow="0" outlineLevelCol="0" x14ac:dyDescent="0" defaultColWidth="8.83203125"/>
  <cols>
    <col min="1" max="1" width="4.1640625" customWidth="1"/>
    <col min="2" max="2" width="12.5" customWidth="1"/>
    <col min="3" max="3" width="5.1640625" customWidth="1"/>
    <col min="4" max="4" width="12.83203125" customWidth="1"/>
    <col min="5" max="5" width="14.5" customWidth="1"/>
    <col min="6" max="6" width="12.1640625" customWidth="1"/>
    <col min="7" max="7" width="23.33203125" customWidth="1"/>
    <col min="8" max="9" width="6.6640625" customWidth="1"/>
    <col min="10" max="13" width="6.5" customWidth="1"/>
    <col min="14" max="14" width="7.5" customWidth="1"/>
    <col min="15" max="15" width="6.83203125" customWidth="1"/>
    <col min="16" max="16" width="10.33203125" customWidth="1"/>
  </cols>
  <sheetData>
    <row r="1" ht="28.5" customHeight="1" spans="1:16" x14ac:dyDescent="0.25">
      <c r="A1" s="122" t="s">
        <v>350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</row>
    <row r="2" ht="16" customHeight="1" spans="1:16" x14ac:dyDescent="0.25">
      <c r="A2" s="8" t="s">
        <v>2</v>
      </c>
      <c r="B2" s="123" t="s">
        <v>3</v>
      </c>
      <c r="C2" s="123" t="s">
        <v>4</v>
      </c>
      <c r="D2" s="124" t="s">
        <v>226</v>
      </c>
      <c r="E2" s="125" t="s">
        <v>227</v>
      </c>
      <c r="F2" s="125" t="s">
        <v>7</v>
      </c>
      <c r="G2" s="125" t="s">
        <v>8</v>
      </c>
      <c r="H2" s="91" t="s">
        <v>228</v>
      </c>
      <c r="I2" s="91" t="s">
        <v>229</v>
      </c>
      <c r="J2" s="91" t="s">
        <v>319</v>
      </c>
      <c r="K2" s="91" t="s">
        <v>320</v>
      </c>
      <c r="L2" s="91" t="s">
        <v>351</v>
      </c>
      <c r="M2" s="91" t="s">
        <v>352</v>
      </c>
      <c r="N2" s="91" t="s">
        <v>353</v>
      </c>
      <c r="O2" s="91" t="s">
        <v>20</v>
      </c>
      <c r="P2" s="92" t="s">
        <v>21</v>
      </c>
    </row>
    <row r="3" ht="20" customHeight="1" spans="1:16" x14ac:dyDescent="0.25">
      <c r="A3" s="126">
        <v>1</v>
      </c>
      <c r="B3" s="127">
        <f>'Sem1-2'!B7</f>
      </c>
      <c r="C3" s="40">
        <f>'Sem1-2'!C7</f>
      </c>
      <c r="D3" s="40">
        <f>'Sem1-2'!D7</f>
      </c>
      <c r="E3" s="40">
        <f>'Sem1-2'!E7</f>
      </c>
      <c r="F3" s="40" t="s">
        <v>261</v>
      </c>
      <c r="G3" s="40" t="s">
        <v>47</v>
      </c>
      <c r="H3" s="43">
        <f>'Sem1-2'!AL7</f>
      </c>
      <c r="I3" s="43">
        <f>'Sem1-2'!BQ7</f>
      </c>
      <c r="J3" s="43">
        <f>'Sem3-4 '!AL7</f>
      </c>
      <c r="K3" s="128">
        <f>'Sem3-4 '!BN7</f>
      </c>
      <c r="L3" s="43">
        <f>'Sem5-6'!AR7</f>
      </c>
      <c r="M3" s="128">
        <f>'Sem5-6'!BW7</f>
      </c>
      <c r="N3" s="40">
        <f>ROUND((H3+I3+J3+K3+L3+M3)/6, 2)</f>
      </c>
      <c r="O3" s="129">
        <f>RANK(N3,$N$3:$N$32)</f>
        <v>1</v>
      </c>
      <c r="P3" s="130"/>
    </row>
    <row r="4" ht="20" customHeight="1" spans="1:16" x14ac:dyDescent="0.25">
      <c r="A4" s="126">
        <v>2</v>
      </c>
      <c r="B4" s="40">
        <f>'Sem1-2'!B8</f>
      </c>
      <c r="C4" s="40">
        <f>'Sem1-2'!C8</f>
      </c>
      <c r="D4" s="40">
        <f>'Sem1-2'!D8</f>
      </c>
      <c r="E4" s="40">
        <f>'Sem1-2'!E8</f>
      </c>
      <c r="F4" s="40" t="s">
        <v>264</v>
      </c>
      <c r="G4" s="40" t="s">
        <v>55</v>
      </c>
      <c r="H4" s="43">
        <f>'Sem1-2'!AL8</f>
      </c>
      <c r="I4" s="43">
        <f>'Sem1-2'!BQ8</f>
      </c>
      <c r="J4" s="43">
        <f>'Sem3-4 '!AL8</f>
      </c>
      <c r="K4" s="128">
        <f>'Sem3-4 '!BN8</f>
      </c>
      <c r="L4" s="43">
        <f>'Sem5-6'!AR8</f>
      </c>
      <c r="M4" s="128">
        <f>'Sem5-6'!BW8</f>
      </c>
      <c r="N4" s="40">
        <f>ROUND((H4+I4+J4+K4+L4+M4)/6, 2)</f>
      </c>
      <c r="O4" s="129">
        <f>RANK(N4,$N$3:$N$32)</f>
        <v>15</v>
      </c>
      <c r="P4" s="130"/>
    </row>
    <row r="5" ht="20" customHeight="1" spans="1:16" x14ac:dyDescent="0.25">
      <c r="A5" s="126">
        <v>3</v>
      </c>
      <c r="B5" s="40">
        <f>'Sem1-2'!B9</f>
      </c>
      <c r="C5" s="40">
        <f>'Sem1-2'!C9</f>
      </c>
      <c r="D5" s="40">
        <f>'Sem1-2'!D9</f>
      </c>
      <c r="E5" s="40">
        <f>'Sem1-2'!E9</f>
      </c>
      <c r="F5" s="40" t="s">
        <v>266</v>
      </c>
      <c r="G5" s="40" t="s">
        <v>61</v>
      </c>
      <c r="H5" s="43">
        <f>'Sem1-2'!AL9</f>
      </c>
      <c r="I5" s="43">
        <f>'Sem1-2'!BQ9</f>
      </c>
      <c r="J5" s="43">
        <f>'Sem3-4 '!AL9</f>
      </c>
      <c r="K5" s="128">
        <f>'Sem3-4 '!BN9</f>
      </c>
      <c r="L5" s="43">
        <f>'Sem5-6'!AR9</f>
      </c>
      <c r="M5" s="128">
        <f>'Sem5-6'!BW9</f>
      </c>
      <c r="N5" s="40">
        <f>ROUND((H5+I5+J5+K5+L5+M5)/6, 2)</f>
      </c>
      <c r="O5" s="129">
        <f>RANK(N5,$N$3:$N$32)</f>
        <v>30</v>
      </c>
      <c r="P5" s="130"/>
    </row>
    <row r="6" ht="20" customHeight="1" spans="1:16" x14ac:dyDescent="0.25">
      <c r="A6" s="126">
        <v>4</v>
      </c>
      <c r="B6" s="40">
        <f>'Sem1-2'!B10</f>
      </c>
      <c r="C6" s="40">
        <f>'Sem1-2'!C10</f>
      </c>
      <c r="D6" s="40">
        <f>'Sem1-2'!D10</f>
      </c>
      <c r="E6" s="40">
        <f>'Sem1-2'!E10</f>
      </c>
      <c r="F6" s="40"/>
      <c r="G6" s="40"/>
      <c r="H6" s="43">
        <f>'Sem1-2'!AL10</f>
      </c>
      <c r="I6" s="43">
        <f>'Sem1-2'!BQ10</f>
      </c>
      <c r="J6" s="43">
        <f>'Sem3-4 '!AL10</f>
      </c>
      <c r="K6" s="128">
        <f>'Sem3-4 '!BN10</f>
      </c>
      <c r="L6" s="43">
        <f>'Sem5-6'!AR10</f>
      </c>
      <c r="M6" s="128">
        <f>'Sem5-6'!BW10</f>
      </c>
      <c r="N6" s="40">
        <f>ROUND((H6+I6+J6+K6+L6+M6)/6, 2)</f>
      </c>
      <c r="O6" s="129">
        <f>RANK(N6,$N$3:$N$32)</f>
        <v>19</v>
      </c>
      <c r="P6" s="130"/>
    </row>
    <row r="7" ht="20" customHeight="1" spans="1:16" x14ac:dyDescent="0.25">
      <c r="A7" s="126">
        <v>5</v>
      </c>
      <c r="B7" s="40">
        <f>'Sem1-2'!B11</f>
      </c>
      <c r="C7" s="40">
        <f>'Sem1-2'!C11</f>
      </c>
      <c r="D7" s="40">
        <f>'Sem1-2'!D11</f>
      </c>
      <c r="E7" s="40">
        <f>'Sem1-2'!E11</f>
      </c>
      <c r="F7" s="40"/>
      <c r="G7" s="40"/>
      <c r="H7" s="43">
        <f>'Sem1-2'!AL11</f>
      </c>
      <c r="I7" s="43">
        <f>'Sem1-2'!BQ11</f>
      </c>
      <c r="J7" s="43">
        <f>'Sem3-4 '!AL11</f>
      </c>
      <c r="K7" s="128">
        <f>'Sem3-4 '!BN11</f>
      </c>
      <c r="L7" s="43">
        <f>'Sem5-6'!AR11</f>
      </c>
      <c r="M7" s="128">
        <f>'Sem5-6'!BW11</f>
      </c>
      <c r="N7" s="40">
        <f>ROUND((H7+I7+J7+K7+L7+M7)/6, 2)</f>
      </c>
      <c r="O7" s="129">
        <f>RANK(N7,$N$3:$N$32)</f>
        <v>28</v>
      </c>
      <c r="P7" s="130"/>
    </row>
    <row r="8" ht="20" customHeight="1" spans="1:16" x14ac:dyDescent="0.25">
      <c r="A8" s="126">
        <v>6</v>
      </c>
      <c r="B8" s="40">
        <f>'Sem1-2'!B12</f>
      </c>
      <c r="C8" s="40">
        <f>'Sem1-2'!C12</f>
      </c>
      <c r="D8" s="40">
        <f>'Sem1-2'!D12</f>
      </c>
      <c r="E8" s="40">
        <f>'Sem1-2'!E12</f>
      </c>
      <c r="F8" s="40" t="s">
        <v>271</v>
      </c>
      <c r="G8" s="40" t="s">
        <v>78</v>
      </c>
      <c r="H8" s="43">
        <f>'Sem1-2'!AL12</f>
      </c>
      <c r="I8" s="43">
        <f>'Sem1-2'!BQ12</f>
      </c>
      <c r="J8" s="43">
        <f>'Sem3-4 '!AL12</f>
      </c>
      <c r="K8" s="128">
        <f>'Sem3-4 '!BN12</f>
      </c>
      <c r="L8" s="43">
        <f>'Sem5-6'!AR12</f>
      </c>
      <c r="M8" s="128">
        <f>'Sem5-6'!BW12</f>
      </c>
      <c r="N8" s="40">
        <f>ROUND((H8+I8+J8+K8+L8+M8)/6, 2)</f>
      </c>
      <c r="O8" s="129">
        <f>RANK(N8,$N$3:$N$32)</f>
        <v>3</v>
      </c>
      <c r="P8" s="130"/>
    </row>
    <row r="9" ht="20" customHeight="1" spans="1:16" x14ac:dyDescent="0.25">
      <c r="A9" s="126">
        <v>7</v>
      </c>
      <c r="B9" s="40">
        <f>'Sem1-2'!B13</f>
      </c>
      <c r="C9" s="40">
        <f>'Sem1-2'!C13</f>
      </c>
      <c r="D9" s="40">
        <f>'Sem1-2'!D13</f>
      </c>
      <c r="E9" s="40">
        <f>'Sem1-2'!E13</f>
      </c>
      <c r="F9" s="40" t="s">
        <v>273</v>
      </c>
      <c r="G9" s="40" t="s">
        <v>83</v>
      </c>
      <c r="H9" s="43">
        <f>'Sem1-2'!AL13</f>
      </c>
      <c r="I9" s="43">
        <f>'Sem1-2'!BQ13</f>
      </c>
      <c r="J9" s="43">
        <f>'Sem3-4 '!AL13</f>
      </c>
      <c r="K9" s="128">
        <f>'Sem3-4 '!BN13</f>
      </c>
      <c r="L9" s="43">
        <f>'Sem5-6'!AR13</f>
      </c>
      <c r="M9" s="128">
        <f>'Sem5-6'!BW13</f>
      </c>
      <c r="N9" s="40">
        <f>ROUND((H9+I9+J9+K9+L9+M9)/6, 2)</f>
      </c>
      <c r="O9" s="129">
        <f>RANK(N9,$N$3:$N$32)</f>
        <v>7</v>
      </c>
      <c r="P9" s="130"/>
    </row>
    <row r="10" ht="20" customHeight="1" spans="1:16" x14ac:dyDescent="0.25">
      <c r="A10" s="126">
        <v>8</v>
      </c>
      <c r="B10" s="40">
        <f>'Sem1-2'!B14</f>
      </c>
      <c r="C10" s="40">
        <f>'Sem1-2'!C14</f>
      </c>
      <c r="D10" s="40">
        <f>'Sem1-2'!D14</f>
      </c>
      <c r="E10" s="40">
        <f>'Sem1-2'!E14</f>
      </c>
      <c r="F10" s="40" t="s">
        <v>277</v>
      </c>
      <c r="G10" s="40" t="s">
        <v>90</v>
      </c>
      <c r="H10" s="43">
        <f>'Sem1-2'!AL14</f>
      </c>
      <c r="I10" s="43">
        <f>'Sem1-2'!BQ14</f>
      </c>
      <c r="J10" s="43">
        <f>'Sem3-4 '!AL14</f>
      </c>
      <c r="K10" s="128">
        <f>'Sem3-4 '!BN14</f>
      </c>
      <c r="L10" s="43">
        <f>'Sem5-6'!AR14</f>
      </c>
      <c r="M10" s="128">
        <f>'Sem5-6'!BW14</f>
      </c>
      <c r="N10" s="40">
        <f>ROUND((H10+I10+J10+K10+L10+M10)/6, 2)</f>
      </c>
      <c r="O10" s="129">
        <f>RANK(N10,$N$3:$N$32)</f>
        <v>4</v>
      </c>
      <c r="P10" s="130"/>
    </row>
    <row r="11" ht="20" customHeight="1" spans="1:16" x14ac:dyDescent="0.25">
      <c r="A11" s="126">
        <v>9</v>
      </c>
      <c r="B11" s="40">
        <f>'Sem1-2'!B15</f>
      </c>
      <c r="C11" s="40">
        <f>'Sem1-2'!C15</f>
      </c>
      <c r="D11" s="40">
        <f>'Sem1-2'!D15</f>
      </c>
      <c r="E11" s="40">
        <f>'Sem1-2'!E15</f>
      </c>
      <c r="F11" s="40" t="s">
        <v>279</v>
      </c>
      <c r="G11" s="40" t="s">
        <v>96</v>
      </c>
      <c r="H11" s="43">
        <f>'Sem1-2'!AL15</f>
      </c>
      <c r="I11" s="43">
        <f>'Sem1-2'!BQ15</f>
      </c>
      <c r="J11" s="43">
        <f>'Sem3-4 '!AL15</f>
      </c>
      <c r="K11" s="128">
        <f>'Sem3-4 '!BN15</f>
      </c>
      <c r="L11" s="43">
        <f>'Sem5-6'!AR15</f>
      </c>
      <c r="M11" s="128">
        <f>'Sem5-6'!BW15</f>
      </c>
      <c r="N11" s="40">
        <f>ROUND((H11+I11+J11+K11+L11+M11)/6, 2)</f>
      </c>
      <c r="O11" s="129">
        <f>RANK(N11,$N$3:$N$32)</f>
        <v>14</v>
      </c>
      <c r="P11" s="130"/>
    </row>
    <row r="12" ht="20" customHeight="1" spans="1:16" x14ac:dyDescent="0.25">
      <c r="A12" s="126">
        <v>10</v>
      </c>
      <c r="B12" s="40">
        <f>'Sem1-2'!B16</f>
      </c>
      <c r="C12" s="40">
        <f>'Sem1-2'!C16</f>
      </c>
      <c r="D12" s="40">
        <f>'Sem1-2'!D16</f>
      </c>
      <c r="E12" s="40">
        <f>'Sem1-2'!E16</f>
      </c>
      <c r="F12" s="40" t="s">
        <v>281</v>
      </c>
      <c r="G12" s="40" t="s">
        <v>102</v>
      </c>
      <c r="H12" s="43">
        <f>'Sem1-2'!AL16</f>
      </c>
      <c r="I12" s="43">
        <f>'Sem1-2'!BQ16</f>
      </c>
      <c r="J12" s="43">
        <f>'Sem3-4 '!AL16</f>
      </c>
      <c r="K12" s="128">
        <f>'Sem3-4 '!BN16</f>
      </c>
      <c r="L12" s="43">
        <f>'Sem5-6'!AR16</f>
      </c>
      <c r="M12" s="128">
        <f>'Sem5-6'!BW16</f>
      </c>
      <c r="N12" s="40">
        <f>ROUND((H12+I12+J12+K12+L12+M12)/6, 2)</f>
      </c>
      <c r="O12" s="129">
        <f>RANK(N12,$N$3:$N$32)</f>
        <v>12</v>
      </c>
      <c r="P12" s="130"/>
    </row>
    <row r="13" ht="20" customHeight="1" spans="1:16" x14ac:dyDescent="0.25">
      <c r="A13" s="126">
        <v>11</v>
      </c>
      <c r="B13" s="40">
        <f>'Sem1-2'!B17</f>
      </c>
      <c r="C13" s="40">
        <f>'Sem1-2'!C17</f>
      </c>
      <c r="D13" s="40">
        <f>'Sem1-2'!D17</f>
      </c>
      <c r="E13" s="40">
        <f>'Sem1-2'!E17</f>
      </c>
      <c r="F13" s="40" t="s">
        <v>283</v>
      </c>
      <c r="G13" s="40" t="s">
        <v>284</v>
      </c>
      <c r="H13" s="43">
        <f>'Sem1-2'!AL17</f>
      </c>
      <c r="I13" s="43">
        <f>'Sem1-2'!BQ17</f>
      </c>
      <c r="J13" s="43">
        <f>'Sem3-4 '!AL17</f>
      </c>
      <c r="K13" s="128">
        <f>'Sem3-4 '!BN17</f>
      </c>
      <c r="L13" s="43">
        <f>'Sem5-6'!AR17</f>
      </c>
      <c r="M13" s="128">
        <f>'Sem5-6'!BW17</f>
      </c>
      <c r="N13" s="40">
        <f>ROUND((H13+I13+J13+K13+L13+M13)/6, 2)</f>
      </c>
      <c r="O13" s="129">
        <f>RANK(N13,$N$3:$N$32)</f>
        <v>21</v>
      </c>
      <c r="P13" s="130"/>
    </row>
    <row r="14" ht="20" customHeight="1" spans="1:16" x14ac:dyDescent="0.25">
      <c r="A14" s="126">
        <v>12</v>
      </c>
      <c r="B14" s="40">
        <f>'Sem1-2'!B18</f>
      </c>
      <c r="C14" s="40">
        <f>'Sem1-2'!C18</f>
      </c>
      <c r="D14" s="40">
        <f>'Sem1-2'!D18</f>
      </c>
      <c r="E14" s="40">
        <f>'Sem1-2'!E18</f>
      </c>
      <c r="F14" s="40" t="s">
        <v>286</v>
      </c>
      <c r="G14" s="40" t="s">
        <v>114</v>
      </c>
      <c r="H14" s="43">
        <f>'Sem1-2'!AL18</f>
      </c>
      <c r="I14" s="43">
        <f>'Sem1-2'!BQ18</f>
      </c>
      <c r="J14" s="43">
        <f>'Sem3-4 '!AL18</f>
      </c>
      <c r="K14" s="128">
        <f>'Sem3-4 '!BN18</f>
      </c>
      <c r="L14" s="43">
        <f>'Sem5-6'!AR18</f>
      </c>
      <c r="M14" s="128">
        <f>'Sem5-6'!BW18</f>
      </c>
      <c r="N14" s="40">
        <f>ROUND((H14+I14+J14+K14+L14+M14)/6, 2)</f>
      </c>
      <c r="O14" s="129">
        <f>RANK(N14,$N$3:$N$32)</f>
        <v>16</v>
      </c>
      <c r="P14" s="130"/>
    </row>
    <row r="15" ht="20" customHeight="1" spans="1:16" x14ac:dyDescent="0.25">
      <c r="A15" s="126">
        <v>13</v>
      </c>
      <c r="B15" s="40">
        <f>'Sem1-2'!B19</f>
      </c>
      <c r="C15" s="40">
        <f>'Sem1-2'!C19</f>
      </c>
      <c r="D15" s="40">
        <f>'Sem1-2'!D19</f>
      </c>
      <c r="E15" s="40">
        <f>'Sem1-2'!E19</f>
      </c>
      <c r="F15" s="40" t="s">
        <v>288</v>
      </c>
      <c r="G15" s="40" t="s">
        <v>121</v>
      </c>
      <c r="H15" s="43">
        <f>'Sem1-2'!AL19</f>
      </c>
      <c r="I15" s="43">
        <f>'Sem1-2'!BQ19</f>
      </c>
      <c r="J15" s="43">
        <f>'Sem3-4 '!AL19</f>
      </c>
      <c r="K15" s="128">
        <f>'Sem3-4 '!BN19</f>
      </c>
      <c r="L15" s="43">
        <f>'Sem5-6'!AR19</f>
      </c>
      <c r="M15" s="128">
        <f>'Sem5-6'!BW19</f>
      </c>
      <c r="N15" s="40">
        <f>ROUND((H15+I15+J15+K15+L15+M15)/6, 2)</f>
      </c>
      <c r="O15" s="129">
        <f>RANK(N15,$N$3:$N$32)</f>
        <v>9</v>
      </c>
      <c r="P15" s="130"/>
    </row>
    <row r="16" ht="20" customHeight="1" spans="1:16" x14ac:dyDescent="0.25">
      <c r="A16" s="126">
        <v>14</v>
      </c>
      <c r="B16" s="40">
        <f>'Sem1-2'!B20</f>
      </c>
      <c r="C16" s="40">
        <f>'Sem1-2'!C20</f>
      </c>
      <c r="D16" s="40">
        <f>'Sem1-2'!D20</f>
      </c>
      <c r="E16" s="40">
        <f>'Sem1-2'!E20</f>
      </c>
      <c r="F16" s="40" t="s">
        <v>290</v>
      </c>
      <c r="G16" s="40" t="s">
        <v>127</v>
      </c>
      <c r="H16" s="43">
        <f>'Sem1-2'!AL20</f>
      </c>
      <c r="I16" s="43">
        <f>'Sem1-2'!BQ20</f>
      </c>
      <c r="J16" s="43">
        <f>'Sem3-4 '!AL20</f>
      </c>
      <c r="K16" s="128">
        <f>'Sem3-4 '!BN20</f>
      </c>
      <c r="L16" s="43">
        <f>'Sem5-6'!AR20</f>
      </c>
      <c r="M16" s="128">
        <f>'Sem5-6'!BW20</f>
      </c>
      <c r="N16" s="40">
        <f>ROUND((H16+I16+J16+K16+L16+M16)/6, 2)</f>
      </c>
      <c r="O16" s="129">
        <f>RANK(N16,$N$3:$N$32)</f>
        <v>25</v>
      </c>
      <c r="P16" s="130"/>
    </row>
    <row r="17" ht="20" customHeight="1" spans="1:16" x14ac:dyDescent="0.25">
      <c r="A17" s="126">
        <v>15</v>
      </c>
      <c r="B17" s="40">
        <f>'Sem1-2'!B21</f>
      </c>
      <c r="C17" s="40">
        <f>'Sem1-2'!C21</f>
      </c>
      <c r="D17" s="40">
        <f>'Sem1-2'!D21</f>
      </c>
      <c r="E17" s="40">
        <f>'Sem1-2'!E21</f>
      </c>
      <c r="F17" s="40" t="s">
        <v>291</v>
      </c>
      <c r="G17" s="40" t="s">
        <v>133</v>
      </c>
      <c r="H17" s="43">
        <f>'Sem1-2'!AL21</f>
      </c>
      <c r="I17" s="43">
        <f>'Sem1-2'!BQ21</f>
      </c>
      <c r="J17" s="43">
        <f>'Sem3-4 '!AL21</f>
      </c>
      <c r="K17" s="128">
        <f>'Sem3-4 '!BN21</f>
      </c>
      <c r="L17" s="43">
        <f>'Sem5-6'!AR21</f>
      </c>
      <c r="M17" s="128">
        <f>'Sem5-6'!BW21</f>
      </c>
      <c r="N17" s="40">
        <f>ROUND((H17+I17+J17+K17+L17+M17)/6, 2)</f>
      </c>
      <c r="O17" s="129">
        <f>RANK(N17,$N$3:$N$32)</f>
        <v>13</v>
      </c>
      <c r="P17" s="130"/>
    </row>
    <row r="18" ht="20" customHeight="1" spans="1:16" x14ac:dyDescent="0.25">
      <c r="A18" s="126">
        <v>16</v>
      </c>
      <c r="B18" s="40">
        <f>'Sem1-2'!B22</f>
      </c>
      <c r="C18" s="40">
        <f>'Sem1-2'!C22</f>
      </c>
      <c r="D18" s="40">
        <f>'Sem1-2'!D22</f>
      </c>
      <c r="E18" s="40">
        <f>'Sem1-2'!E22</f>
      </c>
      <c r="F18" s="40" t="s">
        <v>292</v>
      </c>
      <c r="G18" s="40" t="s">
        <v>139</v>
      </c>
      <c r="H18" s="43">
        <f>'Sem1-2'!AL22</f>
      </c>
      <c r="I18" s="43">
        <f>'Sem1-2'!BQ22</f>
      </c>
      <c r="J18" s="43">
        <f>'Sem3-4 '!AL22</f>
      </c>
      <c r="K18" s="128">
        <f>'Sem3-4 '!BN22</f>
      </c>
      <c r="L18" s="43">
        <f>'Sem5-6'!AR22</f>
      </c>
      <c r="M18" s="128">
        <f>'Sem5-6'!BW22</f>
      </c>
      <c r="N18" s="40">
        <f>ROUND((H18+I18+J18+K18+L18+M18)/6, 2)</f>
      </c>
      <c r="O18" s="129">
        <f>RANK(N18,$N$3:$N$32)</f>
        <v>2</v>
      </c>
      <c r="P18" s="130"/>
    </row>
    <row r="19" ht="20" customHeight="1" spans="1:16" x14ac:dyDescent="0.25">
      <c r="A19" s="126">
        <v>17</v>
      </c>
      <c r="B19" s="40">
        <f>'Sem1-2'!B23</f>
      </c>
      <c r="C19" s="40">
        <f>'Sem1-2'!C23</f>
      </c>
      <c r="D19" s="40">
        <f>'Sem1-2'!D23</f>
      </c>
      <c r="E19" s="40">
        <f>'Sem1-2'!E23</f>
      </c>
      <c r="F19" s="40" t="s">
        <v>293</v>
      </c>
      <c r="G19" s="40" t="s">
        <v>145</v>
      </c>
      <c r="H19" s="43">
        <f>'Sem1-2'!AL23</f>
      </c>
      <c r="I19" s="43">
        <f>'Sem1-2'!BQ23</f>
      </c>
      <c r="J19" s="43">
        <f>'Sem3-4 '!AL23</f>
      </c>
      <c r="K19" s="128">
        <f>'Sem3-4 '!BN23</f>
      </c>
      <c r="L19" s="43">
        <f>'Sem5-6'!AR23</f>
      </c>
      <c r="M19" s="128">
        <f>'Sem5-6'!BW23</f>
      </c>
      <c r="N19" s="40">
        <f>ROUND((H19+I19+J19+K19+L19+M19)/6, 2)</f>
      </c>
      <c r="O19" s="129">
        <f>RANK(N19,$N$3:$N$32)</f>
        <v>26</v>
      </c>
      <c r="P19" s="130"/>
    </row>
    <row r="20" ht="20" customHeight="1" spans="1:16" x14ac:dyDescent="0.25">
      <c r="A20" s="126">
        <v>18</v>
      </c>
      <c r="B20" s="40">
        <f>'Sem1-2'!B24</f>
      </c>
      <c r="C20" s="40">
        <f>'Sem1-2'!C24</f>
      </c>
      <c r="D20" s="40">
        <f>'Sem1-2'!D24</f>
      </c>
      <c r="E20" s="40">
        <f>'Sem1-2'!E24</f>
      </c>
      <c r="F20" s="40" t="s">
        <v>294</v>
      </c>
      <c r="G20" s="40" t="s">
        <v>150</v>
      </c>
      <c r="H20" s="43">
        <f>'Sem1-2'!AL24</f>
      </c>
      <c r="I20" s="43">
        <f>'Sem1-2'!BQ24</f>
      </c>
      <c r="J20" s="43">
        <f>'Sem3-4 '!AL24</f>
      </c>
      <c r="K20" s="128">
        <f>'Sem3-4 '!BN24</f>
      </c>
      <c r="L20" s="43">
        <f>'Sem5-6'!AR24</f>
      </c>
      <c r="M20" s="128">
        <f>'Sem5-6'!BW24</f>
      </c>
      <c r="N20" s="40">
        <f>ROUND((H20+I20+J20+K20+L20+M20)/6, 2)</f>
      </c>
      <c r="O20" s="129">
        <f>RANK(N20,$N$3:$N$32)</f>
        <v>11</v>
      </c>
      <c r="P20" s="130"/>
    </row>
    <row r="21" ht="20" customHeight="1" spans="1:16" x14ac:dyDescent="0.25">
      <c r="A21" s="126">
        <v>19</v>
      </c>
      <c r="B21" s="40">
        <f>'Sem1-2'!B25</f>
      </c>
      <c r="C21" s="40">
        <f>'Sem1-2'!C25</f>
      </c>
      <c r="D21" s="40">
        <f>'Sem1-2'!D25</f>
      </c>
      <c r="E21" s="40">
        <f>'Sem1-2'!E25</f>
      </c>
      <c r="F21" s="40" t="s">
        <v>295</v>
      </c>
      <c r="G21" s="40" t="s">
        <v>296</v>
      </c>
      <c r="H21" s="43">
        <f>'Sem1-2'!AL25</f>
      </c>
      <c r="I21" s="43">
        <f>'Sem1-2'!BQ25</f>
      </c>
      <c r="J21" s="43">
        <f>'Sem3-4 '!AL25</f>
      </c>
      <c r="K21" s="128">
        <f>'Sem3-4 '!BN25</f>
      </c>
      <c r="L21" s="43">
        <f>'Sem5-6'!AR25</f>
      </c>
      <c r="M21" s="128">
        <f>'Sem5-6'!BW25</f>
      </c>
      <c r="N21" s="40">
        <f>ROUND((H21+I21+J21+K21+L21+M21)/6, 2)</f>
      </c>
      <c r="O21" s="129">
        <f>RANK(N21,$N$3:$N$32)</f>
        <v>5</v>
      </c>
      <c r="P21" s="130"/>
    </row>
    <row r="22" ht="20" customHeight="1" spans="1:16" x14ac:dyDescent="0.25">
      <c r="A22" s="126">
        <v>20</v>
      </c>
      <c r="B22" s="40">
        <f>'Sem1-2'!B26</f>
      </c>
      <c r="C22" s="40">
        <f>'Sem1-2'!C26</f>
      </c>
      <c r="D22" s="40">
        <f>'Sem1-2'!D26</f>
      </c>
      <c r="E22" s="40">
        <f>'Sem1-2'!E26</f>
      </c>
      <c r="F22" s="40" t="s">
        <v>297</v>
      </c>
      <c r="G22" s="40" t="s">
        <v>163</v>
      </c>
      <c r="H22" s="43">
        <f>'Sem1-2'!AL26</f>
      </c>
      <c r="I22" s="43">
        <f>'Sem1-2'!BQ26</f>
      </c>
      <c r="J22" s="43">
        <f>'Sem3-4 '!AL26</f>
      </c>
      <c r="K22" s="128">
        <f>'Sem3-4 '!BN26</f>
      </c>
      <c r="L22" s="43">
        <f>'Sem5-6'!AR26</f>
      </c>
      <c r="M22" s="128">
        <f>'Sem5-6'!BW26</f>
      </c>
      <c r="N22" s="40">
        <f>ROUND((H22+I22+J22+K22+L22+M22)/6, 2)</f>
      </c>
      <c r="O22" s="129">
        <f>RANK(N22,$N$3:$N$32)</f>
        <v>6</v>
      </c>
      <c r="P22" s="130"/>
    </row>
    <row r="23" ht="20" customHeight="1" spans="1:16" x14ac:dyDescent="0.25">
      <c r="A23" s="126">
        <v>21</v>
      </c>
      <c r="B23" s="40">
        <f>'Sem1-2'!B27</f>
      </c>
      <c r="C23" s="40">
        <f>'Sem1-2'!C27</f>
      </c>
      <c r="D23" s="40">
        <f>'Sem1-2'!D27</f>
      </c>
      <c r="E23" s="40">
        <f>'Sem1-2'!E27</f>
      </c>
      <c r="F23" s="40" t="s">
        <v>298</v>
      </c>
      <c r="G23" s="40" t="s">
        <v>299</v>
      </c>
      <c r="H23" s="43">
        <f>'Sem1-2'!AL27</f>
      </c>
      <c r="I23" s="43">
        <f>'Sem1-2'!BQ27</f>
      </c>
      <c r="J23" s="43">
        <f>'Sem3-4 '!AL27</f>
      </c>
      <c r="K23" s="128">
        <f>'Sem3-4 '!BN27</f>
      </c>
      <c r="L23" s="43">
        <f>'Sem5-6'!AR27</f>
      </c>
      <c r="M23" s="128">
        <f>'Sem5-6'!BW27</f>
      </c>
      <c r="N23" s="40">
        <f>ROUND((H23+I23+J23+K23+L23+M23)/6, 2)</f>
      </c>
      <c r="O23" s="129">
        <f>RANK(N23,$N$3:$N$32)</f>
        <v>18</v>
      </c>
      <c r="P23" s="130"/>
    </row>
    <row r="24" ht="20" customHeight="1" spans="1:16" x14ac:dyDescent="0.25">
      <c r="A24" s="126">
        <v>22</v>
      </c>
      <c r="B24" s="40">
        <f>'Sem1-2'!B28</f>
      </c>
      <c r="C24" s="40">
        <f>'Sem1-2'!C28</f>
      </c>
      <c r="D24" s="40">
        <f>'Sem1-2'!D28</f>
      </c>
      <c r="E24" s="40">
        <f>'Sem1-2'!E28</f>
      </c>
      <c r="F24" s="40" t="s">
        <v>300</v>
      </c>
      <c r="G24" s="40" t="s">
        <v>174</v>
      </c>
      <c r="H24" s="43">
        <f>'Sem1-2'!AL28</f>
      </c>
      <c r="I24" s="43">
        <f>'Sem1-2'!BQ28</f>
      </c>
      <c r="J24" s="43">
        <f>'Sem3-4 '!AL28</f>
      </c>
      <c r="K24" s="128">
        <f>'Sem3-4 '!BN28</f>
      </c>
      <c r="L24" s="43">
        <f>'Sem5-6'!AR28</f>
      </c>
      <c r="M24" s="128">
        <f>'Sem5-6'!BW28</f>
      </c>
      <c r="N24" s="40">
        <f>ROUND((H24+I24+J24+K24+L24+M24)/6, 2)</f>
      </c>
      <c r="O24" s="129">
        <f>RANK(N24,$N$3:$N$32)</f>
        <v>17</v>
      </c>
      <c r="P24" s="130"/>
    </row>
    <row r="25" ht="20" customHeight="1" spans="1:16" x14ac:dyDescent="0.25">
      <c r="A25" s="126">
        <v>23</v>
      </c>
      <c r="B25" s="40">
        <f>'Sem1-2'!B29</f>
      </c>
      <c r="C25" s="40">
        <f>'Sem1-2'!C29</f>
      </c>
      <c r="D25" s="40">
        <f>'Sem1-2'!D29</f>
      </c>
      <c r="E25" s="40">
        <f>'Sem1-2'!E29</f>
      </c>
      <c r="F25" s="40" t="s">
        <v>301</v>
      </c>
      <c r="G25" s="40" t="s">
        <v>179</v>
      </c>
      <c r="H25" s="43">
        <f>'Sem1-2'!AL29</f>
      </c>
      <c r="I25" s="43">
        <f>'Sem1-2'!BQ29</f>
      </c>
      <c r="J25" s="43">
        <f>'Sem3-4 '!AL29</f>
      </c>
      <c r="K25" s="128">
        <f>'Sem3-4 '!BN29</f>
      </c>
      <c r="L25" s="43">
        <f>'Sem5-6'!AR29</f>
      </c>
      <c r="M25" s="128">
        <f>'Sem5-6'!BW29</f>
      </c>
      <c r="N25" s="40">
        <f>ROUND((H25+I25+J25+K25+L25+M25)/6, 2)</f>
      </c>
      <c r="O25" s="129">
        <f>RANK(N25,$N$3:$N$32)</f>
        <v>10</v>
      </c>
      <c r="P25" s="130"/>
    </row>
    <row r="26" ht="20" customHeight="1" spans="1:16" x14ac:dyDescent="0.25">
      <c r="A26" s="126">
        <v>24</v>
      </c>
      <c r="B26" s="40">
        <f>'Sem1-2'!B30</f>
      </c>
      <c r="C26" s="40">
        <f>'Sem1-2'!C30</f>
      </c>
      <c r="D26" s="40">
        <f>'Sem1-2'!D30</f>
      </c>
      <c r="E26" s="40">
        <f>'Sem1-2'!E30</f>
      </c>
      <c r="F26" s="40" t="s">
        <v>303</v>
      </c>
      <c r="G26" s="40" t="s">
        <v>185</v>
      </c>
      <c r="H26" s="43">
        <f>'Sem1-2'!AL30</f>
      </c>
      <c r="I26" s="43">
        <f>'Sem1-2'!BQ30</f>
      </c>
      <c r="J26" s="43">
        <f>'Sem3-4 '!AL30</f>
      </c>
      <c r="K26" s="128">
        <f>'Sem3-4 '!BN30</f>
      </c>
      <c r="L26" s="43">
        <f>'Sem5-6'!AR30</f>
      </c>
      <c r="M26" s="128">
        <f>'Sem5-6'!BW30</f>
      </c>
      <c r="N26" s="40">
        <f>ROUND((H26+I26+J26+K26+L26+M26)/6, 2)</f>
      </c>
      <c r="O26" s="129">
        <f>RANK(N26,$N$3:$N$32)</f>
        <v>29</v>
      </c>
      <c r="P26" s="130"/>
    </row>
    <row r="27" ht="20" customHeight="1" spans="1:16" x14ac:dyDescent="0.25">
      <c r="A27" s="126">
        <v>25</v>
      </c>
      <c r="B27" s="40">
        <f>'Sem1-2'!B31</f>
      </c>
      <c r="C27" s="40">
        <f>'Sem1-2'!C31</f>
      </c>
      <c r="D27" s="40">
        <f>'Sem1-2'!D31</f>
      </c>
      <c r="E27" s="40">
        <f>'Sem1-2'!E31</f>
      </c>
      <c r="F27" s="40" t="s">
        <v>306</v>
      </c>
      <c r="G27" s="40" t="s">
        <v>191</v>
      </c>
      <c r="H27" s="43">
        <f>'Sem1-2'!AL31</f>
      </c>
      <c r="I27" s="43">
        <f>'Sem1-2'!BQ31</f>
      </c>
      <c r="J27" s="43">
        <f>'Sem3-4 '!AL31</f>
      </c>
      <c r="K27" s="128">
        <f>'Sem3-4 '!BN31</f>
      </c>
      <c r="L27" s="43">
        <f>'Sem5-6'!AR31</f>
      </c>
      <c r="M27" s="128">
        <f>'Sem5-6'!BW31</f>
      </c>
      <c r="N27" s="40">
        <f>ROUND((H27+I27+J27+K27+L27+M27)/6, 2)</f>
      </c>
      <c r="O27" s="129">
        <f>RANK(N27,$N$3:$N$32)</f>
        <v>8</v>
      </c>
      <c r="P27" s="130"/>
    </row>
    <row r="28" ht="20" customHeight="1" spans="1:16" x14ac:dyDescent="0.25">
      <c r="A28" s="126">
        <v>26</v>
      </c>
      <c r="B28" s="40">
        <f>'Sem1-2'!B32</f>
      </c>
      <c r="C28" s="40">
        <f>'Sem1-2'!C32</f>
      </c>
      <c r="D28" s="40">
        <f>'Sem1-2'!D32</f>
      </c>
      <c r="E28" s="40">
        <f>'Sem1-2'!E32</f>
      </c>
      <c r="F28" s="40" t="s">
        <v>308</v>
      </c>
      <c r="G28" s="40" t="s">
        <v>196</v>
      </c>
      <c r="H28" s="43">
        <f>'Sem1-2'!AL32</f>
      </c>
      <c r="I28" s="43">
        <f>'Sem1-2'!BQ32</f>
      </c>
      <c r="J28" s="43">
        <f>'Sem3-4 '!AL32</f>
      </c>
      <c r="K28" s="128">
        <f>'Sem3-4 '!BN32</f>
      </c>
      <c r="L28" s="43">
        <f>'Sem5-6'!AR32</f>
      </c>
      <c r="M28" s="128">
        <f>'Sem5-6'!BW32</f>
      </c>
      <c r="N28" s="40">
        <f>ROUND((H28+I28+J28+K28+L28+M28)/6, 2)</f>
      </c>
      <c r="O28" s="129">
        <f>RANK(N28,$N$3:$N$32)</f>
        <v>24</v>
      </c>
      <c r="P28" s="130"/>
    </row>
    <row r="29" ht="20" customHeight="1" spans="1:16" x14ac:dyDescent="0.25">
      <c r="A29" s="126">
        <v>27</v>
      </c>
      <c r="B29" s="40">
        <f>'Sem1-2'!B33</f>
      </c>
      <c r="C29" s="40">
        <f>'Sem1-2'!C33</f>
      </c>
      <c r="D29" s="40">
        <f>'Sem1-2'!D33</f>
      </c>
      <c r="E29" s="40">
        <f>'Sem1-2'!E33</f>
      </c>
      <c r="F29" s="40" t="s">
        <v>310</v>
      </c>
      <c r="G29" s="40" t="s">
        <v>202</v>
      </c>
      <c r="H29" s="43">
        <f>'Sem1-2'!AL33</f>
      </c>
      <c r="I29" s="43">
        <f>'Sem1-2'!BQ33</f>
      </c>
      <c r="J29" s="43">
        <f>'Sem3-4 '!AL33</f>
      </c>
      <c r="K29" s="128">
        <f>'Sem3-4 '!BN33</f>
      </c>
      <c r="L29" s="43">
        <f>'Sem5-6'!AR33</f>
      </c>
      <c r="M29" s="128">
        <f>'Sem5-6'!BW33</f>
      </c>
      <c r="N29" s="40">
        <f>ROUND((H29+I29+J29+K29+L29+M29)/6, 2)</f>
      </c>
      <c r="O29" s="129">
        <f>RANK(N29,$N$3:$N$32)</f>
        <v>27</v>
      </c>
      <c r="P29" s="130"/>
    </row>
    <row r="30" ht="20" customHeight="1" spans="1:16" x14ac:dyDescent="0.25">
      <c r="A30" s="126">
        <v>28</v>
      </c>
      <c r="B30" s="40">
        <f>'Sem1-2'!B34</f>
      </c>
      <c r="C30" s="40">
        <f>'Sem1-2'!C34</f>
      </c>
      <c r="D30" s="40">
        <f>'Sem1-2'!D34</f>
      </c>
      <c r="E30" s="40">
        <f>'Sem1-2'!E34</f>
      </c>
      <c r="F30" s="40" t="s">
        <v>312</v>
      </c>
      <c r="G30" s="40" t="s">
        <v>207</v>
      </c>
      <c r="H30" s="43">
        <f>'Sem1-2'!AL34</f>
      </c>
      <c r="I30" s="43">
        <f>'Sem1-2'!BQ34</f>
      </c>
      <c r="J30" s="43">
        <f>'Sem3-4 '!AL34</f>
      </c>
      <c r="K30" s="128">
        <f>'Sem3-4 '!BN34</f>
      </c>
      <c r="L30" s="43">
        <f>'Sem5-6'!AR34</f>
      </c>
      <c r="M30" s="128">
        <f>'Sem5-6'!BW34</f>
      </c>
      <c r="N30" s="40">
        <f>ROUND((H30+I30+J30+K30+L30+M30)/6, 2)</f>
      </c>
      <c r="O30" s="129">
        <f>RANK(N30,$N$3:$N$32)</f>
        <v>20</v>
      </c>
      <c r="P30" s="130"/>
    </row>
    <row r="31" ht="20" customHeight="1" spans="1:16" x14ac:dyDescent="0.25">
      <c r="A31" s="126">
        <v>29</v>
      </c>
      <c r="B31" s="40">
        <f>'Sem1-2'!B35</f>
      </c>
      <c r="C31" s="40">
        <f>'Sem1-2'!C35</f>
      </c>
      <c r="D31" s="40">
        <f>'Sem1-2'!D35</f>
      </c>
      <c r="E31" s="40">
        <f>'Sem1-2'!E35</f>
      </c>
      <c r="F31" s="40" t="s">
        <v>314</v>
      </c>
      <c r="G31" s="40" t="s">
        <v>214</v>
      </c>
      <c r="H31" s="43">
        <f>'Sem1-2'!AL35</f>
      </c>
      <c r="I31" s="43">
        <f>'Sem1-2'!BQ35</f>
      </c>
      <c r="J31" s="43">
        <f>'Sem3-4 '!AL35</f>
      </c>
      <c r="K31" s="128">
        <f>'Sem3-4 '!BN35</f>
      </c>
      <c r="L31" s="43">
        <f>'Sem5-6'!AR35</f>
      </c>
      <c r="M31" s="128">
        <f>'Sem5-6'!BW35</f>
      </c>
      <c r="N31" s="40">
        <f>ROUND((H31+I31+J31+K31+L31+M31)/6, 2)</f>
      </c>
      <c r="O31" s="129">
        <f>RANK(N31,$N$3:$N$32)</f>
        <v>23</v>
      </c>
      <c r="P31" s="130"/>
    </row>
    <row r="32" ht="20" customHeight="1" spans="1:16" x14ac:dyDescent="0.25">
      <c r="A32" s="126">
        <v>30</v>
      </c>
      <c r="B32" s="40">
        <f>'Sem1-2'!B36</f>
      </c>
      <c r="C32" s="40">
        <f>'Sem1-2'!C36</f>
      </c>
      <c r="D32" s="40">
        <f>'Sem1-2'!D36</f>
      </c>
      <c r="E32" s="40">
        <f>'Sem1-2'!E36</f>
      </c>
      <c r="F32" s="40" t="s">
        <v>315</v>
      </c>
      <c r="G32" s="40" t="s">
        <v>221</v>
      </c>
      <c r="H32" s="43">
        <f>'Sem1-2'!AL36</f>
      </c>
      <c r="I32" s="43">
        <f>'Sem1-2'!BQ36</f>
      </c>
      <c r="J32" s="43">
        <f>'Sem3-4 '!AL36</f>
      </c>
      <c r="K32" s="128">
        <f>'Sem3-4 '!BN36</f>
      </c>
      <c r="L32" s="43">
        <f>'Sem5-6'!AR36</f>
      </c>
      <c r="M32" s="128">
        <f>'Sem5-6'!BW36</f>
      </c>
      <c r="N32" s="40">
        <f>ROUND((H32+I32+J32+K32+L32+M32)/6, 2)</f>
      </c>
      <c r="O32" s="129">
        <f>RANK(N32,$N$3:$N$32)</f>
        <v>22</v>
      </c>
      <c r="P32" s="130"/>
    </row>
    <row r="33" ht="20" customHeight="1" spans="1:14" x14ac:dyDescent="0.25">
      <c r="A33" s="96">
        <v>31</v>
      </c>
      <c r="B33" s="96">
        <f>'Sem1-2'!B37</f>
      </c>
      <c r="C33" s="96">
        <f>'Sem1-2'!C37</f>
      </c>
      <c r="D33">
        <f>'Sem1-2'!D37</f>
      </c>
      <c r="E33">
        <f>'Sem1-2'!E37</f>
      </c>
      <c r="H33" s="78">
        <f>'Sem1-2'!AL37</f>
      </c>
      <c r="I33" s="78">
        <f>'Sem1-2'!BQ37</f>
      </c>
      <c r="J33" s="78">
        <f>'Sem3-4 '!AL37</f>
      </c>
      <c r="K33" s="78">
        <f>'Sem3-4 '!BN37</f>
      </c>
      <c r="L33" s="78">
        <f>'Sem5-6'!AR37</f>
      </c>
      <c r="M33" s="78">
        <f>'Sem5-6'!BW37</f>
      </c>
      <c r="N33" s="84">
        <f>ROUND((H33+I33+J33+K33+L33+M33)/6, 2)</f>
      </c>
    </row>
  </sheetData>
  <mergeCells count="1">
    <mergeCell ref="C1:P1"/>
  </mergeCells>
  <conditionalFormatting sqref="B4"/>
  <pageMargins left="0.45" right="0.2" top="0.5" bottom="0.5" header="0.3" footer="0.3"/>
  <pageSetup orientation="portrait" horizontalDpi="4294967293" verticalDpi="0" scale="8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workbookViewId="0">
      <selection activeCell="A1" sqref="A1"/>
    </sheetView>
  </sheetViews>
  <sheetFormatPr defaultRowHeight="15" outlineLevelRow="0" outlineLevelCol="0" x14ac:dyDescent="0" defaultColWidth="8.83203125"/>
  <cols>
    <col min="1" max="1" width="4.1640625" customWidth="1"/>
    <col min="2" max="2" width="12.5" customWidth="1"/>
    <col min="3" max="3" width="5.1640625" customWidth="1"/>
    <col min="4" max="4" width="12.83203125" customWidth="1"/>
    <col min="5" max="6" width="14.5" customWidth="1"/>
    <col min="7" max="7" width="23.33203125" customWidth="1"/>
    <col min="8" max="9" width="6.6640625" customWidth="1"/>
    <col min="10" max="15" width="6.5" customWidth="1"/>
    <col min="16" max="16" width="7.5" customWidth="1"/>
    <col min="17" max="17" width="6.83203125" customWidth="1"/>
    <col min="18" max="18" width="10.33203125" customWidth="1"/>
  </cols>
  <sheetData>
    <row r="1" ht="28.5" customHeight="1" spans="1:18" x14ac:dyDescent="0.25">
      <c r="A1" s="122" t="s">
        <v>370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  <c r="N1" s="122"/>
      <c r="O1" s="122"/>
      <c r="P1" s="122"/>
      <c r="Q1" s="122"/>
      <c r="R1" s="122"/>
    </row>
    <row r="2" ht="16" customHeight="1" spans="1:18" x14ac:dyDescent="0.25">
      <c r="A2" s="8" t="s">
        <v>2</v>
      </c>
      <c r="B2" s="123" t="s">
        <v>3</v>
      </c>
      <c r="C2" s="123" t="s">
        <v>4</v>
      </c>
      <c r="D2" s="124" t="s">
        <v>226</v>
      </c>
      <c r="E2" s="125" t="s">
        <v>227</v>
      </c>
      <c r="F2" s="125" t="s">
        <v>7</v>
      </c>
      <c r="G2" s="125" t="s">
        <v>8</v>
      </c>
      <c r="H2" s="91" t="s">
        <v>228</v>
      </c>
      <c r="I2" s="91" t="s">
        <v>229</v>
      </c>
      <c r="J2" s="91" t="s">
        <v>319</v>
      </c>
      <c r="K2" s="91" t="s">
        <v>320</v>
      </c>
      <c r="L2" s="91" t="s">
        <v>351</v>
      </c>
      <c r="M2" s="91" t="s">
        <v>352</v>
      </c>
      <c r="N2" s="91" t="s">
        <v>371</v>
      </c>
      <c r="O2" s="91" t="s">
        <v>372</v>
      </c>
      <c r="P2" s="91" t="s">
        <v>373</v>
      </c>
      <c r="Q2" s="91" t="s">
        <v>20</v>
      </c>
      <c r="R2" s="92" t="s">
        <v>21</v>
      </c>
    </row>
    <row r="3" ht="20" customHeight="1" spans="1:18" x14ac:dyDescent="0.25">
      <c r="A3" s="126">
        <v>1</v>
      </c>
      <c r="B3" s="127">
        <f>'Sem1-2'!B7</f>
      </c>
      <c r="C3" s="40">
        <f>'Sem1-2'!C7</f>
      </c>
      <c r="D3" s="40">
        <f>'Sem1-2'!D7</f>
      </c>
      <c r="E3" s="40">
        <f>'Sem1-2'!E7</f>
      </c>
      <c r="F3" s="40" t="s">
        <v>261</v>
      </c>
      <c r="G3" s="40" t="s">
        <v>47</v>
      </c>
      <c r="H3" s="43">
        <f>'Sem1-2'!AL7</f>
      </c>
      <c r="I3" s="43">
        <f>'Sem1-2'!BQ7</f>
      </c>
      <c r="J3" s="43">
        <f>'Sem3-4 '!AL7</f>
      </c>
      <c r="K3" s="128">
        <f>'Sem3-4 '!BN7</f>
      </c>
      <c r="L3" s="43">
        <f>'Sem5-6'!AR7</f>
      </c>
      <c r="M3" s="128">
        <f>'Sem5-6'!BW7</f>
      </c>
      <c r="N3" s="43">
        <f>'Sem7-8'!AC7</f>
      </c>
      <c r="O3" s="128">
        <f>'Sem7-8'!AP7</f>
      </c>
      <c r="P3" s="40">
        <f>ROUND((H3+I3+J3+K3+L3+M3+N3+O3)/8, 2)</f>
      </c>
      <c r="Q3" s="129">
        <f>RANK(P3,$P$3:$P$32)</f>
        <v>1</v>
      </c>
      <c r="R3" s="130"/>
    </row>
    <row r="4" ht="20" customHeight="1" spans="1:18" x14ac:dyDescent="0.25">
      <c r="A4" s="126">
        <v>2</v>
      </c>
      <c r="B4" s="40">
        <f>'Sem1-2'!B8</f>
      </c>
      <c r="C4" s="40">
        <f>'Sem1-2'!C8</f>
      </c>
      <c r="D4" s="40">
        <f>'Sem1-2'!D8</f>
      </c>
      <c r="E4" s="40">
        <f>'Sem1-2'!E8</f>
      </c>
      <c r="F4" s="40" t="s">
        <v>264</v>
      </c>
      <c r="G4" s="40" t="s">
        <v>55</v>
      </c>
      <c r="H4" s="43">
        <f>'Sem1-2'!AL8</f>
      </c>
      <c r="I4" s="43">
        <f>'Sem1-2'!BQ8</f>
      </c>
      <c r="J4" s="43">
        <f>'Sem3-4 '!AL8</f>
      </c>
      <c r="K4" s="128">
        <f>'Sem3-4 '!BN8</f>
      </c>
      <c r="L4" s="43">
        <f>'Sem5-6'!AR8</f>
      </c>
      <c r="M4" s="128">
        <f>'Sem5-6'!BW8</f>
      </c>
      <c r="N4" s="43">
        <f>'Sem7-8'!AC8</f>
      </c>
      <c r="O4" s="128">
        <f>'Sem7-8'!AP8</f>
      </c>
      <c r="P4" s="40">
        <f>ROUND((H4+I4+J4+K4+L4+M4+N4+O4)/8, 2)</f>
      </c>
      <c r="Q4" s="129">
        <f>RANK(P4,$P$3:$P$32)</f>
        <v>15</v>
      </c>
      <c r="R4" s="130"/>
    </row>
    <row r="5" ht="20" customHeight="1" spans="1:18" x14ac:dyDescent="0.25">
      <c r="A5" s="126">
        <v>3</v>
      </c>
      <c r="B5" s="40">
        <f>'Sem1-2'!B9</f>
      </c>
      <c r="C5" s="40">
        <f>'Sem1-2'!C9</f>
      </c>
      <c r="D5" s="40">
        <f>'Sem1-2'!D9</f>
      </c>
      <c r="E5" s="40">
        <f>'Sem1-2'!E9</f>
      </c>
      <c r="F5" s="40" t="s">
        <v>266</v>
      </c>
      <c r="G5" s="40" t="s">
        <v>61</v>
      </c>
      <c r="H5" s="43">
        <f>'Sem1-2'!AL9</f>
      </c>
      <c r="I5" s="43">
        <f>'Sem1-2'!BQ9</f>
      </c>
      <c r="J5" s="43">
        <f>'Sem3-4 '!AL9</f>
      </c>
      <c r="K5" s="128">
        <f>'Sem3-4 '!BN9</f>
      </c>
      <c r="L5" s="43">
        <f>'Sem5-6'!AR9</f>
      </c>
      <c r="M5" s="128">
        <f>'Sem5-6'!BW9</f>
      </c>
      <c r="N5" s="43">
        <f>'Sem7-8'!AC9</f>
      </c>
      <c r="O5" s="128">
        <f>'Sem7-8'!AP9</f>
      </c>
      <c r="P5" s="40">
        <f>ROUND((H5+I5+J5+K5+L5+M5+N5+O5)/8, 2)</f>
      </c>
      <c r="Q5" s="129">
        <f>RANK(P5,$P$3:$P$32)</f>
        <v>30</v>
      </c>
      <c r="R5" s="130"/>
    </row>
    <row r="6" ht="20" customHeight="1" spans="1:18" x14ac:dyDescent="0.25">
      <c r="A6" s="126">
        <v>4</v>
      </c>
      <c r="B6" s="40">
        <f>'Sem1-2'!B10</f>
      </c>
      <c r="C6" s="40">
        <f>'Sem1-2'!C10</f>
      </c>
      <c r="D6" s="40">
        <f>'Sem1-2'!D10</f>
      </c>
      <c r="E6" s="40">
        <f>'Sem1-2'!E10</f>
      </c>
      <c r="F6" s="40"/>
      <c r="G6" s="40"/>
      <c r="H6" s="43">
        <f>'Sem1-2'!AL10</f>
      </c>
      <c r="I6" s="43">
        <f>'Sem1-2'!BQ10</f>
      </c>
      <c r="J6" s="43">
        <f>'Sem3-4 '!AL10</f>
      </c>
      <c r="K6" s="128">
        <f>'Sem3-4 '!BN10</f>
      </c>
      <c r="L6" s="43">
        <f>'Sem5-6'!AR10</f>
      </c>
      <c r="M6" s="128">
        <f>'Sem5-6'!BW10</f>
      </c>
      <c r="N6" s="43">
        <f>'Sem7-8'!AC10</f>
      </c>
      <c r="O6" s="128">
        <f>'Sem7-8'!AP10</f>
      </c>
      <c r="P6" s="40">
        <f>ROUND((H6+I6+J6+K6+L6+M6+N6+O6)/8, 2)</f>
      </c>
      <c r="Q6" s="129">
        <f>RANK(P6,$P$3:$P$32)</f>
        <v>19</v>
      </c>
      <c r="R6" s="130"/>
    </row>
    <row r="7" ht="20" customHeight="1" spans="1:18" x14ac:dyDescent="0.25">
      <c r="A7" s="126">
        <v>5</v>
      </c>
      <c r="B7" s="40">
        <f>'Sem1-2'!B11</f>
      </c>
      <c r="C7" s="40">
        <f>'Sem1-2'!C11</f>
      </c>
      <c r="D7" s="40">
        <f>'Sem1-2'!D11</f>
      </c>
      <c r="E7" s="40">
        <f>'Sem1-2'!E11</f>
      </c>
      <c r="F7" s="40"/>
      <c r="G7" s="40"/>
      <c r="H7" s="43">
        <f>'Sem1-2'!AL11</f>
      </c>
      <c r="I7" s="43">
        <f>'Sem1-2'!BQ11</f>
      </c>
      <c r="J7" s="43">
        <f>'Sem3-4 '!AL11</f>
      </c>
      <c r="K7" s="128">
        <f>'Sem3-4 '!BN11</f>
      </c>
      <c r="L7" s="43">
        <f>'Sem5-6'!AR11</f>
      </c>
      <c r="M7" s="128">
        <f>'Sem5-6'!BW11</f>
      </c>
      <c r="N7" s="43">
        <f>'Sem7-8'!AC11</f>
      </c>
      <c r="O7" s="128">
        <f>'Sem7-8'!AP11</f>
      </c>
      <c r="P7" s="40">
        <f>ROUND((H7+I7+J7+K7+L7+M7+N7+O7)/8, 2)</f>
      </c>
      <c r="Q7" s="129">
        <f>RANK(P7,$P$3:$P$32)</f>
        <v>28</v>
      </c>
      <c r="R7" s="130"/>
    </row>
    <row r="8" ht="20" customHeight="1" spans="1:18" x14ac:dyDescent="0.25">
      <c r="A8" s="126">
        <v>6</v>
      </c>
      <c r="B8" s="40">
        <f>'Sem1-2'!B12</f>
      </c>
      <c r="C8" s="40">
        <f>'Sem1-2'!C12</f>
      </c>
      <c r="D8" s="40">
        <f>'Sem1-2'!D12</f>
      </c>
      <c r="E8" s="40">
        <f>'Sem1-2'!E12</f>
      </c>
      <c r="F8" s="40" t="s">
        <v>271</v>
      </c>
      <c r="G8" s="40" t="s">
        <v>78</v>
      </c>
      <c r="H8" s="43">
        <f>'Sem1-2'!AL12</f>
      </c>
      <c r="I8" s="43">
        <f>'Sem1-2'!BQ12</f>
      </c>
      <c r="J8" s="43">
        <f>'Sem3-4 '!AL12</f>
      </c>
      <c r="K8" s="128">
        <f>'Sem3-4 '!BN12</f>
      </c>
      <c r="L8" s="43">
        <f>'Sem5-6'!AR12</f>
      </c>
      <c r="M8" s="128">
        <f>'Sem5-6'!BW12</f>
      </c>
      <c r="N8" s="43">
        <f>'Sem7-8'!AC12</f>
      </c>
      <c r="O8" s="128">
        <f>'Sem7-8'!AP12</f>
      </c>
      <c r="P8" s="40">
        <f>ROUND((H8+I8+J8+K8+L8+M8+N8+O8)/8, 2)</f>
      </c>
      <c r="Q8" s="129">
        <f>RANK(P8,$P$3:$P$32)</f>
        <v>3</v>
      </c>
      <c r="R8" s="130"/>
    </row>
    <row r="9" ht="20" customHeight="1" spans="1:18" x14ac:dyDescent="0.25">
      <c r="A9" s="126">
        <v>7</v>
      </c>
      <c r="B9" s="40">
        <f>'Sem1-2'!B13</f>
      </c>
      <c r="C9" s="40">
        <f>'Sem1-2'!C13</f>
      </c>
      <c r="D9" s="40">
        <f>'Sem1-2'!D13</f>
      </c>
      <c r="E9" s="40">
        <f>'Sem1-2'!E13</f>
      </c>
      <c r="F9" s="40" t="s">
        <v>273</v>
      </c>
      <c r="G9" s="40" t="s">
        <v>83</v>
      </c>
      <c r="H9" s="43">
        <f>'Sem1-2'!AL13</f>
      </c>
      <c r="I9" s="43">
        <f>'Sem1-2'!BQ13</f>
      </c>
      <c r="J9" s="43">
        <f>'Sem3-4 '!AL13</f>
      </c>
      <c r="K9" s="128">
        <f>'Sem3-4 '!BN13</f>
      </c>
      <c r="L9" s="43">
        <f>'Sem5-6'!AR13</f>
      </c>
      <c r="M9" s="128">
        <f>'Sem5-6'!BW13</f>
      </c>
      <c r="N9" s="43">
        <f>'Sem7-8'!AC13</f>
      </c>
      <c r="O9" s="128">
        <f>'Sem7-8'!AP13</f>
      </c>
      <c r="P9" s="40">
        <f>ROUND((H9+I9+J9+K9+L9+M9+N9+O9)/8, 2)</f>
      </c>
      <c r="Q9" s="129">
        <f>RANK(P9,$P$3:$P$32)</f>
        <v>7</v>
      </c>
      <c r="R9" s="130"/>
    </row>
    <row r="10" ht="20" customHeight="1" spans="1:18" x14ac:dyDescent="0.25">
      <c r="A10" s="126">
        <v>8</v>
      </c>
      <c r="B10" s="40">
        <f>'Sem1-2'!B14</f>
      </c>
      <c r="C10" s="40">
        <f>'Sem1-2'!C14</f>
      </c>
      <c r="D10" s="40">
        <f>'Sem1-2'!D14</f>
      </c>
      <c r="E10" s="40">
        <f>'Sem1-2'!E14</f>
      </c>
      <c r="F10" s="40" t="s">
        <v>277</v>
      </c>
      <c r="G10" s="40" t="s">
        <v>90</v>
      </c>
      <c r="H10" s="43">
        <f>'Sem1-2'!AL14</f>
      </c>
      <c r="I10" s="43">
        <f>'Sem1-2'!BQ14</f>
      </c>
      <c r="J10" s="43">
        <f>'Sem3-4 '!AL14</f>
      </c>
      <c r="K10" s="128">
        <f>'Sem3-4 '!BN14</f>
      </c>
      <c r="L10" s="43">
        <f>'Sem5-6'!AR14</f>
      </c>
      <c r="M10" s="128">
        <f>'Sem5-6'!BW14</f>
      </c>
      <c r="N10" s="43">
        <f>'Sem7-8'!AC14</f>
      </c>
      <c r="O10" s="128">
        <f>'Sem7-8'!AP14</f>
      </c>
      <c r="P10" s="40">
        <f>ROUND((H10+I10+J10+K10+L10+M10+N10+O10)/8, 2)</f>
      </c>
      <c r="Q10" s="129">
        <f>RANK(P10,$P$3:$P$32)</f>
        <v>4</v>
      </c>
      <c r="R10" s="130"/>
    </row>
    <row r="11" ht="20" customHeight="1" spans="1:18" x14ac:dyDescent="0.25">
      <c r="A11" s="126">
        <v>9</v>
      </c>
      <c r="B11" s="40">
        <f>'Sem1-2'!B15</f>
      </c>
      <c r="C11" s="40">
        <f>'Sem1-2'!C15</f>
      </c>
      <c r="D11" s="40">
        <f>'Sem1-2'!D15</f>
      </c>
      <c r="E11" s="40">
        <f>'Sem1-2'!E15</f>
      </c>
      <c r="F11" s="40" t="s">
        <v>279</v>
      </c>
      <c r="G11" s="40" t="s">
        <v>96</v>
      </c>
      <c r="H11" s="43">
        <f>'Sem1-2'!AL15</f>
      </c>
      <c r="I11" s="43">
        <f>'Sem1-2'!BQ15</f>
      </c>
      <c r="J11" s="43">
        <f>'Sem3-4 '!AL15</f>
      </c>
      <c r="K11" s="128">
        <f>'Sem3-4 '!BN15</f>
      </c>
      <c r="L11" s="43">
        <f>'Sem5-6'!AR15</f>
      </c>
      <c r="M11" s="128">
        <f>'Sem5-6'!BW15</f>
      </c>
      <c r="N11" s="43">
        <f>'Sem7-8'!AC15</f>
      </c>
      <c r="O11" s="128">
        <f>'Sem7-8'!AP15</f>
      </c>
      <c r="P11" s="40">
        <f>ROUND((H11+I11+J11+K11+L11+M11+N11+O11)/8, 2)</f>
      </c>
      <c r="Q11" s="129">
        <f>RANK(P11,$P$3:$P$32)</f>
        <v>14</v>
      </c>
      <c r="R11" s="130"/>
    </row>
    <row r="12" ht="20" customHeight="1" spans="1:18" x14ac:dyDescent="0.25">
      <c r="A12" s="126">
        <v>10</v>
      </c>
      <c r="B12" s="40">
        <f>'Sem1-2'!B16</f>
      </c>
      <c r="C12" s="40">
        <f>'Sem1-2'!C16</f>
      </c>
      <c r="D12" s="40">
        <f>'Sem1-2'!D16</f>
      </c>
      <c r="E12" s="40">
        <f>'Sem1-2'!E16</f>
      </c>
      <c r="F12" s="40" t="s">
        <v>281</v>
      </c>
      <c r="G12" s="40" t="s">
        <v>102</v>
      </c>
      <c r="H12" s="43">
        <f>'Sem1-2'!AL16</f>
      </c>
      <c r="I12" s="43">
        <f>'Sem1-2'!BQ16</f>
      </c>
      <c r="J12" s="43">
        <f>'Sem3-4 '!AL16</f>
      </c>
      <c r="K12" s="128">
        <f>'Sem3-4 '!BN16</f>
      </c>
      <c r="L12" s="43">
        <f>'Sem5-6'!AR16</f>
      </c>
      <c r="M12" s="128">
        <f>'Sem5-6'!BW16</f>
      </c>
      <c r="N12" s="43">
        <f>'Sem7-8'!AC16</f>
      </c>
      <c r="O12" s="128">
        <f>'Sem7-8'!AP16</f>
      </c>
      <c r="P12" s="40">
        <f>ROUND((H12+I12+J12+K12+L12+M12+N12+O12)/8, 2)</f>
      </c>
      <c r="Q12" s="129">
        <f>RANK(P12,$P$3:$P$32)</f>
        <v>12</v>
      </c>
      <c r="R12" s="130"/>
    </row>
    <row r="13" ht="20" customHeight="1" spans="1:18" x14ac:dyDescent="0.25">
      <c r="A13" s="126">
        <v>11</v>
      </c>
      <c r="B13" s="40">
        <f>'Sem1-2'!B17</f>
      </c>
      <c r="C13" s="40">
        <f>'Sem1-2'!C17</f>
      </c>
      <c r="D13" s="40">
        <f>'Sem1-2'!D17</f>
      </c>
      <c r="E13" s="40">
        <f>'Sem1-2'!E17</f>
      </c>
      <c r="F13" s="40" t="s">
        <v>283</v>
      </c>
      <c r="G13" s="40" t="s">
        <v>284</v>
      </c>
      <c r="H13" s="43">
        <f>'Sem1-2'!AL17</f>
      </c>
      <c r="I13" s="43">
        <f>'Sem1-2'!BQ17</f>
      </c>
      <c r="J13" s="43">
        <f>'Sem3-4 '!AL17</f>
      </c>
      <c r="K13" s="128">
        <f>'Sem3-4 '!BN17</f>
      </c>
      <c r="L13" s="43">
        <f>'Sem5-6'!AR17</f>
      </c>
      <c r="M13" s="128">
        <f>'Sem5-6'!BW17</f>
      </c>
      <c r="N13" s="43">
        <f>'Sem7-8'!AC17</f>
      </c>
      <c r="O13" s="128">
        <f>'Sem7-8'!AP17</f>
      </c>
      <c r="P13" s="40">
        <f>ROUND((H13+I13+J13+K13+L13+M13+N13+O13)/8, 2)</f>
      </c>
      <c r="Q13" s="129">
        <f>RANK(P13,$P$3:$P$32)</f>
        <v>21</v>
      </c>
      <c r="R13" s="130"/>
    </row>
    <row r="14" ht="20" customHeight="1" spans="1:18" x14ac:dyDescent="0.25">
      <c r="A14" s="126">
        <v>12</v>
      </c>
      <c r="B14" s="40">
        <f>'Sem1-2'!B18</f>
      </c>
      <c r="C14" s="40">
        <f>'Sem1-2'!C18</f>
      </c>
      <c r="D14" s="40">
        <f>'Sem1-2'!D18</f>
      </c>
      <c r="E14" s="40">
        <f>'Sem1-2'!E18</f>
      </c>
      <c r="F14" s="40" t="s">
        <v>286</v>
      </c>
      <c r="G14" s="40" t="s">
        <v>114</v>
      </c>
      <c r="H14" s="43">
        <f>'Sem1-2'!AL18</f>
      </c>
      <c r="I14" s="43">
        <f>'Sem1-2'!BQ18</f>
      </c>
      <c r="J14" s="43">
        <f>'Sem3-4 '!AL18</f>
      </c>
      <c r="K14" s="128">
        <f>'Sem3-4 '!BN18</f>
      </c>
      <c r="L14" s="43">
        <f>'Sem5-6'!AR18</f>
      </c>
      <c r="M14" s="128">
        <f>'Sem5-6'!BW18</f>
      </c>
      <c r="N14" s="43">
        <f>'Sem7-8'!AC18</f>
      </c>
      <c r="O14" s="128">
        <f>'Sem7-8'!AP18</f>
      </c>
      <c r="P14" s="40">
        <f>ROUND((H14+I14+J14+K14+L14+M14+N14+O14)/8, 2)</f>
      </c>
      <c r="Q14" s="129">
        <f>RANK(P14,$P$3:$P$32)</f>
        <v>16</v>
      </c>
      <c r="R14" s="130"/>
    </row>
    <row r="15" ht="20" customHeight="1" spans="1:18" x14ac:dyDescent="0.25">
      <c r="A15" s="126">
        <v>13</v>
      </c>
      <c r="B15" s="40">
        <f>'Sem1-2'!B19</f>
      </c>
      <c r="C15" s="40">
        <f>'Sem1-2'!C19</f>
      </c>
      <c r="D15" s="40">
        <f>'Sem1-2'!D19</f>
      </c>
      <c r="E15" s="40">
        <f>'Sem1-2'!E19</f>
      </c>
      <c r="F15" s="40" t="s">
        <v>288</v>
      </c>
      <c r="G15" s="40" t="s">
        <v>121</v>
      </c>
      <c r="H15" s="43">
        <f>'Sem1-2'!AL19</f>
      </c>
      <c r="I15" s="43">
        <f>'Sem1-2'!BQ19</f>
      </c>
      <c r="J15" s="43">
        <f>'Sem3-4 '!AL19</f>
      </c>
      <c r="K15" s="128">
        <f>'Sem3-4 '!BN19</f>
      </c>
      <c r="L15" s="43">
        <f>'Sem5-6'!AR19</f>
      </c>
      <c r="M15" s="128">
        <f>'Sem5-6'!BW19</f>
      </c>
      <c r="N15" s="43">
        <f>'Sem7-8'!AC19</f>
      </c>
      <c r="O15" s="128">
        <f>'Sem7-8'!AP19</f>
      </c>
      <c r="P15" s="40">
        <f>ROUND((H15+I15+J15+K15+L15+M15+N15+O15)/8, 2)</f>
      </c>
      <c r="Q15" s="129">
        <f>RANK(P15,$P$3:$P$32)</f>
        <v>9</v>
      </c>
      <c r="R15" s="130"/>
    </row>
    <row r="16" ht="20" customHeight="1" spans="1:18" x14ac:dyDescent="0.25">
      <c r="A16" s="126">
        <v>14</v>
      </c>
      <c r="B16" s="40">
        <f>'Sem1-2'!B20</f>
      </c>
      <c r="C16" s="40">
        <f>'Sem1-2'!C20</f>
      </c>
      <c r="D16" s="40">
        <f>'Sem1-2'!D20</f>
      </c>
      <c r="E16" s="40">
        <f>'Sem1-2'!E20</f>
      </c>
      <c r="F16" s="40" t="s">
        <v>290</v>
      </c>
      <c r="G16" s="40" t="s">
        <v>127</v>
      </c>
      <c r="H16" s="43">
        <f>'Sem1-2'!AL20</f>
      </c>
      <c r="I16" s="43">
        <f>'Sem1-2'!BQ20</f>
      </c>
      <c r="J16" s="43">
        <f>'Sem3-4 '!AL20</f>
      </c>
      <c r="K16" s="128">
        <f>'Sem3-4 '!BN20</f>
      </c>
      <c r="L16" s="43">
        <f>'Sem5-6'!AR20</f>
      </c>
      <c r="M16" s="128">
        <f>'Sem5-6'!BW20</f>
      </c>
      <c r="N16" s="43">
        <f>'Sem7-8'!AC20</f>
      </c>
      <c r="O16" s="128">
        <f>'Sem7-8'!AP20</f>
      </c>
      <c r="P16" s="40">
        <f>ROUND((H16+I16+J16+K16+L16+M16+N16+O16)/8, 2)</f>
      </c>
      <c r="Q16" s="129">
        <f>RANK(P16,$P$3:$P$32)</f>
        <v>25</v>
      </c>
      <c r="R16" s="130"/>
    </row>
    <row r="17" ht="20" customHeight="1" spans="1:18" x14ac:dyDescent="0.25">
      <c r="A17" s="126">
        <v>15</v>
      </c>
      <c r="B17" s="40">
        <f>'Sem1-2'!B21</f>
      </c>
      <c r="C17" s="40">
        <f>'Sem1-2'!C21</f>
      </c>
      <c r="D17" s="40">
        <f>'Sem1-2'!D21</f>
      </c>
      <c r="E17" s="40">
        <f>'Sem1-2'!E21</f>
      </c>
      <c r="F17" s="40" t="s">
        <v>291</v>
      </c>
      <c r="G17" s="40" t="s">
        <v>133</v>
      </c>
      <c r="H17" s="43">
        <f>'Sem1-2'!AL21</f>
      </c>
      <c r="I17" s="43">
        <f>'Sem1-2'!BQ21</f>
      </c>
      <c r="J17" s="43">
        <f>'Sem3-4 '!AL21</f>
      </c>
      <c r="K17" s="128">
        <f>'Sem3-4 '!BN21</f>
      </c>
      <c r="L17" s="43">
        <f>'Sem5-6'!AR21</f>
      </c>
      <c r="M17" s="128">
        <f>'Sem5-6'!BW21</f>
      </c>
      <c r="N17" s="43">
        <f>'Sem7-8'!AC21</f>
      </c>
      <c r="O17" s="128">
        <f>'Sem7-8'!AP21</f>
      </c>
      <c r="P17" s="40">
        <f>ROUND((H17+I17+J17+K17+L17+M17+N17+O17)/8, 2)</f>
      </c>
      <c r="Q17" s="129">
        <f>RANK(P17,$P$3:$P$32)</f>
        <v>13</v>
      </c>
      <c r="R17" s="130"/>
    </row>
    <row r="18" ht="20" customHeight="1" spans="1:18" x14ac:dyDescent="0.25">
      <c r="A18" s="126">
        <v>16</v>
      </c>
      <c r="B18" s="40">
        <f>'Sem1-2'!B22</f>
      </c>
      <c r="C18" s="40">
        <f>'Sem1-2'!C22</f>
      </c>
      <c r="D18" s="40">
        <f>'Sem1-2'!D22</f>
      </c>
      <c r="E18" s="40">
        <f>'Sem1-2'!E22</f>
      </c>
      <c r="F18" s="40" t="s">
        <v>292</v>
      </c>
      <c r="G18" s="40" t="s">
        <v>139</v>
      </c>
      <c r="H18" s="43">
        <f>'Sem1-2'!AL22</f>
      </c>
      <c r="I18" s="43">
        <f>'Sem1-2'!BQ22</f>
      </c>
      <c r="J18" s="43">
        <f>'Sem3-4 '!AL22</f>
      </c>
      <c r="K18" s="128">
        <f>'Sem3-4 '!BN22</f>
      </c>
      <c r="L18" s="43">
        <f>'Sem5-6'!AR22</f>
      </c>
      <c r="M18" s="128">
        <f>'Sem5-6'!BW22</f>
      </c>
      <c r="N18" s="43">
        <f>'Sem7-8'!AC22</f>
      </c>
      <c r="O18" s="128">
        <f>'Sem7-8'!AP22</f>
      </c>
      <c r="P18" s="40">
        <f>ROUND((H18+I18+J18+K18+L18+M18+N18+O18)/8, 2)</f>
      </c>
      <c r="Q18" s="129">
        <f>RANK(P18,$P$3:$P$32)</f>
        <v>2</v>
      </c>
      <c r="R18" s="130"/>
    </row>
    <row r="19" ht="20" customHeight="1" spans="1:18" x14ac:dyDescent="0.25">
      <c r="A19" s="126">
        <v>17</v>
      </c>
      <c r="B19" s="40">
        <f>'Sem1-2'!B23</f>
      </c>
      <c r="C19" s="40">
        <f>'Sem1-2'!C23</f>
      </c>
      <c r="D19" s="40">
        <f>'Sem1-2'!D23</f>
      </c>
      <c r="E19" s="40">
        <f>'Sem1-2'!E23</f>
      </c>
      <c r="F19" s="40" t="s">
        <v>293</v>
      </c>
      <c r="G19" s="40" t="s">
        <v>145</v>
      </c>
      <c r="H19" s="43">
        <f>'Sem1-2'!AL23</f>
      </c>
      <c r="I19" s="43">
        <f>'Sem1-2'!BQ23</f>
      </c>
      <c r="J19" s="43">
        <f>'Sem3-4 '!AL23</f>
      </c>
      <c r="K19" s="128">
        <f>'Sem3-4 '!BN23</f>
      </c>
      <c r="L19" s="43">
        <f>'Sem5-6'!AR23</f>
      </c>
      <c r="M19" s="128">
        <f>'Sem5-6'!BW23</f>
      </c>
      <c r="N19" s="43">
        <f>'Sem7-8'!AC23</f>
      </c>
      <c r="O19" s="128">
        <f>'Sem7-8'!AP23</f>
      </c>
      <c r="P19" s="40">
        <f>ROUND((H19+I19+J19+K19+L19+M19+N19+O19)/8, 2)</f>
      </c>
      <c r="Q19" s="129">
        <f>RANK(P19,$P$3:$P$32)</f>
        <v>26</v>
      </c>
      <c r="R19" s="130"/>
    </row>
    <row r="20" ht="20" customHeight="1" spans="1:18" x14ac:dyDescent="0.25">
      <c r="A20" s="126">
        <v>18</v>
      </c>
      <c r="B20" s="40">
        <f>'Sem1-2'!B24</f>
      </c>
      <c r="C20" s="40">
        <f>'Sem1-2'!C24</f>
      </c>
      <c r="D20" s="40">
        <f>'Sem1-2'!D24</f>
      </c>
      <c r="E20" s="40">
        <f>'Sem1-2'!E24</f>
      </c>
      <c r="F20" s="40" t="s">
        <v>294</v>
      </c>
      <c r="G20" s="40" t="s">
        <v>150</v>
      </c>
      <c r="H20" s="43">
        <f>'Sem1-2'!AL24</f>
      </c>
      <c r="I20" s="43">
        <f>'Sem1-2'!BQ24</f>
      </c>
      <c r="J20" s="43">
        <f>'Sem3-4 '!AL24</f>
      </c>
      <c r="K20" s="128">
        <f>'Sem3-4 '!BN24</f>
      </c>
      <c r="L20" s="43">
        <f>'Sem5-6'!AR24</f>
      </c>
      <c r="M20" s="128">
        <f>'Sem5-6'!BW24</f>
      </c>
      <c r="N20" s="43">
        <f>'Sem7-8'!AC24</f>
      </c>
      <c r="O20" s="128">
        <f>'Sem7-8'!AP24</f>
      </c>
      <c r="P20" s="40">
        <f>ROUND((H20+I20+J20+K20+L20+M20+N20+O20)/8, 2)</f>
      </c>
      <c r="Q20" s="129">
        <f>RANK(P20,$P$3:$P$32)</f>
        <v>11</v>
      </c>
      <c r="R20" s="130"/>
    </row>
    <row r="21" ht="20" customHeight="1" spans="1:18" x14ac:dyDescent="0.25">
      <c r="A21" s="126">
        <v>19</v>
      </c>
      <c r="B21" s="40">
        <f>'Sem1-2'!B25</f>
      </c>
      <c r="C21" s="40">
        <f>'Sem1-2'!C25</f>
      </c>
      <c r="D21" s="40">
        <f>'Sem1-2'!D25</f>
      </c>
      <c r="E21" s="40">
        <f>'Sem1-2'!E25</f>
      </c>
      <c r="F21" s="40" t="s">
        <v>295</v>
      </c>
      <c r="G21" s="40" t="s">
        <v>296</v>
      </c>
      <c r="H21" s="43">
        <f>'Sem1-2'!AL25</f>
      </c>
      <c r="I21" s="43">
        <f>'Sem1-2'!BQ25</f>
      </c>
      <c r="J21" s="43">
        <f>'Sem3-4 '!AL25</f>
      </c>
      <c r="K21" s="128">
        <f>'Sem3-4 '!BN25</f>
      </c>
      <c r="L21" s="43">
        <f>'Sem5-6'!AR25</f>
      </c>
      <c r="M21" s="128">
        <f>'Sem5-6'!BW25</f>
      </c>
      <c r="N21" s="43">
        <f>'Sem7-8'!AC25</f>
      </c>
      <c r="O21" s="128">
        <f>'Sem7-8'!AP25</f>
      </c>
      <c r="P21" s="40">
        <f>ROUND((H21+I21+J21+K21+L21+M21+N21+O21)/8, 2)</f>
      </c>
      <c r="Q21" s="129">
        <f>RANK(P21,$P$3:$P$32)</f>
        <v>5</v>
      </c>
      <c r="R21" s="130"/>
    </row>
    <row r="22" ht="20" customHeight="1" spans="1:18" x14ac:dyDescent="0.25">
      <c r="A22" s="126">
        <v>20</v>
      </c>
      <c r="B22" s="40">
        <f>'Sem1-2'!B26</f>
      </c>
      <c r="C22" s="40">
        <f>'Sem1-2'!C26</f>
      </c>
      <c r="D22" s="40">
        <f>'Sem1-2'!D26</f>
      </c>
      <c r="E22" s="40">
        <f>'Sem1-2'!E26</f>
      </c>
      <c r="F22" s="40" t="s">
        <v>297</v>
      </c>
      <c r="G22" s="40" t="s">
        <v>163</v>
      </c>
      <c r="H22" s="43">
        <f>'Sem1-2'!AL26</f>
      </c>
      <c r="I22" s="43">
        <f>'Sem1-2'!BQ26</f>
      </c>
      <c r="J22" s="43">
        <f>'Sem3-4 '!AL26</f>
      </c>
      <c r="K22" s="128">
        <f>'Sem3-4 '!BN26</f>
      </c>
      <c r="L22" s="43">
        <f>'Sem5-6'!AR26</f>
      </c>
      <c r="M22" s="128">
        <f>'Sem5-6'!BW26</f>
      </c>
      <c r="N22" s="43">
        <f>'Sem7-8'!AC26</f>
      </c>
      <c r="O22" s="128">
        <f>'Sem7-8'!AP26</f>
      </c>
      <c r="P22" s="40">
        <f>ROUND((H22+I22+J22+K22+L22+M22+N22+O22)/8, 2)</f>
      </c>
      <c r="Q22" s="129">
        <f>RANK(P22,$P$3:$P$32)</f>
        <v>6</v>
      </c>
      <c r="R22" s="130"/>
    </row>
    <row r="23" ht="20" customHeight="1" spans="1:18" x14ac:dyDescent="0.25">
      <c r="A23" s="126">
        <v>21</v>
      </c>
      <c r="B23" s="40">
        <f>'Sem1-2'!B27</f>
      </c>
      <c r="C23" s="40">
        <f>'Sem1-2'!C27</f>
      </c>
      <c r="D23" s="40">
        <f>'Sem1-2'!D27</f>
      </c>
      <c r="E23" s="40">
        <f>'Sem1-2'!E27</f>
      </c>
      <c r="F23" s="40" t="s">
        <v>298</v>
      </c>
      <c r="G23" s="40" t="s">
        <v>299</v>
      </c>
      <c r="H23" s="43">
        <f>'Sem1-2'!AL27</f>
      </c>
      <c r="I23" s="43">
        <f>'Sem1-2'!BQ27</f>
      </c>
      <c r="J23" s="43">
        <f>'Sem3-4 '!AL27</f>
      </c>
      <c r="K23" s="128">
        <f>'Sem3-4 '!BN27</f>
      </c>
      <c r="L23" s="43">
        <f>'Sem5-6'!AR27</f>
      </c>
      <c r="M23" s="128">
        <f>'Sem5-6'!BW27</f>
      </c>
      <c r="N23" s="43">
        <f>'Sem7-8'!AC27</f>
      </c>
      <c r="O23" s="128">
        <f>'Sem7-8'!AP27</f>
      </c>
      <c r="P23" s="40">
        <f>ROUND((H23+I23+J23+K23+L23+M23+N23+O23)/8, 2)</f>
      </c>
      <c r="Q23" s="129">
        <f>RANK(P23,$P$3:$P$32)</f>
        <v>18</v>
      </c>
      <c r="R23" s="130"/>
    </row>
    <row r="24" ht="20" customHeight="1" spans="1:18" x14ac:dyDescent="0.25">
      <c r="A24" s="126">
        <v>22</v>
      </c>
      <c r="B24" s="40">
        <f>'Sem1-2'!B28</f>
      </c>
      <c r="C24" s="40">
        <f>'Sem1-2'!C28</f>
      </c>
      <c r="D24" s="40">
        <f>'Sem1-2'!D28</f>
      </c>
      <c r="E24" s="40">
        <f>'Sem1-2'!E28</f>
      </c>
      <c r="F24" s="40" t="s">
        <v>300</v>
      </c>
      <c r="G24" s="40" t="s">
        <v>174</v>
      </c>
      <c r="H24" s="43">
        <f>'Sem1-2'!AL28</f>
      </c>
      <c r="I24" s="43">
        <f>'Sem1-2'!BQ28</f>
      </c>
      <c r="J24" s="43">
        <f>'Sem3-4 '!AL28</f>
      </c>
      <c r="K24" s="128">
        <f>'Sem3-4 '!BN28</f>
      </c>
      <c r="L24" s="43">
        <f>'Sem5-6'!AR28</f>
      </c>
      <c r="M24" s="128">
        <f>'Sem5-6'!BW28</f>
      </c>
      <c r="N24" s="43">
        <f>'Sem7-8'!AC28</f>
      </c>
      <c r="O24" s="128">
        <f>'Sem7-8'!AP28</f>
      </c>
      <c r="P24" s="40">
        <f>ROUND((H24+I24+J24+K24+L24+M24+N24+O24)/8, 2)</f>
      </c>
      <c r="Q24" s="129">
        <f>RANK(P24,$P$3:$P$32)</f>
        <v>17</v>
      </c>
      <c r="R24" s="130"/>
    </row>
    <row r="25" ht="20" customHeight="1" spans="1:18" x14ac:dyDescent="0.25">
      <c r="A25" s="126">
        <v>23</v>
      </c>
      <c r="B25" s="40">
        <f>'Sem1-2'!B29</f>
      </c>
      <c r="C25" s="40">
        <f>'Sem1-2'!C29</f>
      </c>
      <c r="D25" s="40">
        <f>'Sem1-2'!D29</f>
      </c>
      <c r="E25" s="40">
        <f>'Sem1-2'!E29</f>
      </c>
      <c r="F25" s="40" t="s">
        <v>301</v>
      </c>
      <c r="G25" s="40" t="s">
        <v>179</v>
      </c>
      <c r="H25" s="43">
        <f>'Sem1-2'!AL29</f>
      </c>
      <c r="I25" s="43">
        <f>'Sem1-2'!BQ29</f>
      </c>
      <c r="J25" s="43">
        <f>'Sem3-4 '!AL29</f>
      </c>
      <c r="K25" s="128">
        <f>'Sem3-4 '!BN29</f>
      </c>
      <c r="L25" s="43">
        <f>'Sem5-6'!AR29</f>
      </c>
      <c r="M25" s="128">
        <f>'Sem5-6'!BW29</f>
      </c>
      <c r="N25" s="43">
        <f>'Sem7-8'!AC29</f>
      </c>
      <c r="O25" s="128">
        <f>'Sem7-8'!AP29</f>
      </c>
      <c r="P25" s="40">
        <f>ROUND((H25+I25+J25+K25+L25+M25+N25+O25)/8, 2)</f>
      </c>
      <c r="Q25" s="129">
        <f>RANK(P25,$P$3:$P$32)</f>
        <v>10</v>
      </c>
      <c r="R25" s="130"/>
    </row>
    <row r="26" ht="20" customHeight="1" spans="1:18" x14ac:dyDescent="0.25">
      <c r="A26" s="126">
        <v>24</v>
      </c>
      <c r="B26" s="40">
        <f>'Sem1-2'!B30</f>
      </c>
      <c r="C26" s="40">
        <f>'Sem1-2'!C30</f>
      </c>
      <c r="D26" s="40">
        <f>'Sem1-2'!D30</f>
      </c>
      <c r="E26" s="40">
        <f>'Sem1-2'!E30</f>
      </c>
      <c r="F26" s="40" t="s">
        <v>303</v>
      </c>
      <c r="G26" s="40" t="s">
        <v>185</v>
      </c>
      <c r="H26" s="43">
        <f>'Sem1-2'!AL30</f>
      </c>
      <c r="I26" s="43">
        <f>'Sem1-2'!BQ30</f>
      </c>
      <c r="J26" s="43">
        <f>'Sem3-4 '!AL30</f>
      </c>
      <c r="K26" s="128">
        <f>'Sem3-4 '!BN30</f>
      </c>
      <c r="L26" s="43">
        <f>'Sem5-6'!AR30</f>
      </c>
      <c r="M26" s="128">
        <f>'Sem5-6'!BW30</f>
      </c>
      <c r="N26" s="43">
        <f>'Sem7-8'!AC30</f>
      </c>
      <c r="O26" s="128">
        <f>'Sem7-8'!AP30</f>
      </c>
      <c r="P26" s="40">
        <f>ROUND((H26+I26+J26+K26+L26+M26+N26+O26)/8, 2)</f>
      </c>
      <c r="Q26" s="129">
        <f>RANK(P26,$P$3:$P$32)</f>
        <v>29</v>
      </c>
      <c r="R26" s="130"/>
    </row>
    <row r="27" ht="20" customHeight="1" spans="1:18" x14ac:dyDescent="0.25">
      <c r="A27" s="126">
        <v>25</v>
      </c>
      <c r="B27" s="40">
        <f>'Sem1-2'!B31</f>
      </c>
      <c r="C27" s="40">
        <f>'Sem1-2'!C31</f>
      </c>
      <c r="D27" s="40">
        <f>'Sem1-2'!D31</f>
      </c>
      <c r="E27" s="40">
        <f>'Sem1-2'!E31</f>
      </c>
      <c r="F27" s="40" t="s">
        <v>306</v>
      </c>
      <c r="G27" s="40" t="s">
        <v>191</v>
      </c>
      <c r="H27" s="43">
        <f>'Sem1-2'!AL31</f>
      </c>
      <c r="I27" s="43">
        <f>'Sem1-2'!BQ31</f>
      </c>
      <c r="J27" s="43">
        <f>'Sem3-4 '!AL31</f>
      </c>
      <c r="K27" s="128">
        <f>'Sem3-4 '!BN31</f>
      </c>
      <c r="L27" s="43">
        <f>'Sem5-6'!AR31</f>
      </c>
      <c r="M27" s="128">
        <f>'Sem5-6'!BW31</f>
      </c>
      <c r="N27" s="43">
        <f>'Sem7-8'!AC31</f>
      </c>
      <c r="O27" s="128">
        <f>'Sem7-8'!AP31</f>
      </c>
      <c r="P27" s="40">
        <f>ROUND((H27+I27+J27+K27+L27+M27+N27+O27)/8, 2)</f>
      </c>
      <c r="Q27" s="129">
        <f>RANK(P27,$P$3:$P$32)</f>
        <v>8</v>
      </c>
      <c r="R27" s="130"/>
    </row>
    <row r="28" ht="20" customHeight="1" spans="1:18" x14ac:dyDescent="0.25">
      <c r="A28" s="126">
        <v>26</v>
      </c>
      <c r="B28" s="40">
        <f>'Sem1-2'!B32</f>
      </c>
      <c r="C28" s="40">
        <f>'Sem1-2'!C32</f>
      </c>
      <c r="D28" s="40">
        <f>'Sem1-2'!D32</f>
      </c>
      <c r="E28" s="40">
        <f>'Sem1-2'!E32</f>
      </c>
      <c r="F28" s="40" t="s">
        <v>308</v>
      </c>
      <c r="G28" s="40" t="s">
        <v>196</v>
      </c>
      <c r="H28" s="43">
        <f>'Sem1-2'!AL32</f>
      </c>
      <c r="I28" s="43">
        <f>'Sem1-2'!BQ32</f>
      </c>
      <c r="J28" s="43">
        <f>'Sem3-4 '!AL32</f>
      </c>
      <c r="K28" s="128">
        <f>'Sem3-4 '!BN32</f>
      </c>
      <c r="L28" s="43">
        <f>'Sem5-6'!AR32</f>
      </c>
      <c r="M28" s="128">
        <f>'Sem5-6'!BW32</f>
      </c>
      <c r="N28" s="43">
        <f>'Sem7-8'!AC32</f>
      </c>
      <c r="O28" s="128">
        <f>'Sem7-8'!AP32</f>
      </c>
      <c r="P28" s="40">
        <f>ROUND((H28+I28+J28+K28+L28+M28+N28+O28)/8, 2)</f>
      </c>
      <c r="Q28" s="129">
        <f>RANK(P28,$P$3:$P$32)</f>
        <v>24</v>
      </c>
      <c r="R28" s="130"/>
    </row>
    <row r="29" ht="20" customHeight="1" spans="1:18" x14ac:dyDescent="0.25">
      <c r="A29" s="126">
        <v>27</v>
      </c>
      <c r="B29" s="40">
        <f>'Sem1-2'!B33</f>
      </c>
      <c r="C29" s="40">
        <f>'Sem1-2'!C33</f>
      </c>
      <c r="D29" s="40">
        <f>'Sem1-2'!D33</f>
      </c>
      <c r="E29" s="40">
        <f>'Sem1-2'!E33</f>
      </c>
      <c r="F29" s="40" t="s">
        <v>310</v>
      </c>
      <c r="G29" s="40" t="s">
        <v>202</v>
      </c>
      <c r="H29" s="43">
        <f>'Sem1-2'!AL33</f>
      </c>
      <c r="I29" s="43">
        <f>'Sem1-2'!BQ33</f>
      </c>
      <c r="J29" s="43">
        <f>'Sem3-4 '!AL33</f>
      </c>
      <c r="K29" s="128">
        <f>'Sem3-4 '!BN33</f>
      </c>
      <c r="L29" s="43">
        <f>'Sem5-6'!AR33</f>
      </c>
      <c r="M29" s="128">
        <f>'Sem5-6'!BW33</f>
      </c>
      <c r="N29" s="43">
        <f>'Sem7-8'!AC33</f>
      </c>
      <c r="O29" s="128">
        <f>'Sem7-8'!AP33</f>
      </c>
      <c r="P29" s="40">
        <f>ROUND((H29+I29+J29+K29+L29+M29+N29+O29)/8, 2)</f>
      </c>
      <c r="Q29" s="129">
        <f>RANK(P29,$P$3:$P$32)</f>
        <v>27</v>
      </c>
      <c r="R29" s="130"/>
    </row>
    <row r="30" ht="20" customHeight="1" spans="1:18" x14ac:dyDescent="0.25">
      <c r="A30" s="126">
        <v>28</v>
      </c>
      <c r="B30" s="40">
        <f>'Sem1-2'!B34</f>
      </c>
      <c r="C30" s="40">
        <f>'Sem1-2'!C34</f>
      </c>
      <c r="D30" s="40">
        <f>'Sem1-2'!D34</f>
      </c>
      <c r="E30" s="40">
        <f>'Sem1-2'!E34</f>
      </c>
      <c r="F30" s="40" t="s">
        <v>312</v>
      </c>
      <c r="G30" s="40" t="s">
        <v>207</v>
      </c>
      <c r="H30" s="43">
        <f>'Sem1-2'!AL34</f>
      </c>
      <c r="I30" s="43">
        <f>'Sem1-2'!BQ34</f>
      </c>
      <c r="J30" s="43">
        <f>'Sem3-4 '!AL34</f>
      </c>
      <c r="K30" s="128">
        <f>'Sem3-4 '!BN34</f>
      </c>
      <c r="L30" s="43">
        <f>'Sem5-6'!AR34</f>
      </c>
      <c r="M30" s="128">
        <f>'Sem5-6'!BW34</f>
      </c>
      <c r="N30" s="43">
        <f>'Sem7-8'!AC34</f>
      </c>
      <c r="O30" s="128">
        <f>'Sem7-8'!AP34</f>
      </c>
      <c r="P30" s="40">
        <f>ROUND((H30+I30+J30+K30+L30+M30+N30+O30)/8, 2)</f>
      </c>
      <c r="Q30" s="129">
        <f>RANK(P30,$P$3:$P$32)</f>
        <v>20</v>
      </c>
      <c r="R30" s="130"/>
    </row>
    <row r="31" ht="20" customHeight="1" spans="1:18" x14ac:dyDescent="0.25">
      <c r="A31" s="126">
        <v>29</v>
      </c>
      <c r="B31" s="40">
        <f>'Sem1-2'!B35</f>
      </c>
      <c r="C31" s="40">
        <f>'Sem1-2'!C35</f>
      </c>
      <c r="D31" s="40">
        <f>'Sem1-2'!D35</f>
      </c>
      <c r="E31" s="40">
        <f>'Sem1-2'!E35</f>
      </c>
      <c r="F31" s="40" t="s">
        <v>314</v>
      </c>
      <c r="G31" s="40" t="s">
        <v>214</v>
      </c>
      <c r="H31" s="43">
        <f>'Sem1-2'!AL35</f>
      </c>
      <c r="I31" s="43">
        <f>'Sem1-2'!BQ35</f>
      </c>
      <c r="J31" s="43">
        <f>'Sem3-4 '!AL35</f>
      </c>
      <c r="K31" s="128">
        <f>'Sem3-4 '!BN35</f>
      </c>
      <c r="L31" s="43">
        <f>'Sem5-6'!AR35</f>
      </c>
      <c r="M31" s="128">
        <f>'Sem5-6'!BW35</f>
      </c>
      <c r="N31" s="43">
        <f>'Sem7-8'!AC35</f>
      </c>
      <c r="O31" s="128">
        <f>'Sem7-8'!AP35</f>
      </c>
      <c r="P31" s="40">
        <f>ROUND((H31+I31+J31+K31+L31+M31+N31+O31)/8, 2)</f>
      </c>
      <c r="Q31" s="129">
        <f>RANK(P31,$P$3:$P$32)</f>
        <v>23</v>
      </c>
      <c r="R31" s="130"/>
    </row>
    <row r="32" ht="20" customHeight="1" spans="1:18" x14ac:dyDescent="0.25">
      <c r="A32" s="126">
        <v>30</v>
      </c>
      <c r="B32" s="40">
        <f>'Sem1-2'!B36</f>
      </c>
      <c r="C32" s="40">
        <f>'Sem1-2'!C36</f>
      </c>
      <c r="D32" s="40">
        <f>'Sem1-2'!D36</f>
      </c>
      <c r="E32" s="40">
        <f>'Sem1-2'!E36</f>
      </c>
      <c r="F32" s="40" t="s">
        <v>315</v>
      </c>
      <c r="G32" s="40" t="s">
        <v>221</v>
      </c>
      <c r="H32" s="43">
        <f>'Sem1-2'!AL36</f>
      </c>
      <c r="I32" s="43">
        <f>'Sem1-2'!BQ36</f>
      </c>
      <c r="J32" s="43">
        <f>'Sem3-4 '!AL36</f>
      </c>
      <c r="K32" s="128">
        <f>'Sem3-4 '!BN36</f>
      </c>
      <c r="L32" s="43">
        <f>'Sem5-6'!AR36</f>
      </c>
      <c r="M32" s="128">
        <f>'Sem5-6'!BW36</f>
      </c>
      <c r="N32" s="43">
        <f>'Sem7-8'!AC36</f>
      </c>
      <c r="O32" s="128">
        <f>'Sem7-8'!AP36</f>
      </c>
      <c r="P32" s="40">
        <f>ROUND((H32+I32+J32+K32+L32+M32+N32+O32)/8, 2)</f>
      </c>
      <c r="Q32" s="129">
        <f>RANK(P32,$P$3:$P$32)</f>
        <v>22</v>
      </c>
      <c r="R32" s="130"/>
    </row>
    <row r="33" ht="20" customHeight="1" spans="1:16" x14ac:dyDescent="0.25">
      <c r="A33" s="96">
        <v>31</v>
      </c>
      <c r="B33" s="96">
        <f>'Sem1-2'!B37</f>
      </c>
      <c r="C33" s="96">
        <f>'Sem1-2'!C37</f>
      </c>
      <c r="D33">
        <f>'Sem1-2'!D37</f>
      </c>
      <c r="E33">
        <f>'Sem1-2'!E37</f>
      </c>
      <c r="H33" s="78">
        <f>'Sem1-2'!AL37</f>
      </c>
      <c r="I33" s="78">
        <f>'Sem1-2'!BQ37</f>
      </c>
      <c r="J33" s="78">
        <f>'Sem3-4 '!AL37</f>
      </c>
      <c r="K33" s="78">
        <f>'Sem3-4 '!BN37</f>
      </c>
      <c r="L33" s="78">
        <f>'Sem5-6'!AR37</f>
      </c>
      <c r="M33" s="78">
        <f>'Sem5-6'!BW37</f>
      </c>
      <c r="N33" s="78">
        <f>'Sem7-8'!AC37</f>
      </c>
      <c r="O33" s="78">
        <f>'Sem7-8'!AP37</f>
      </c>
      <c r="P33" s="84">
        <f>ROUND((H33+I33+J33+K33+L33+M33+N33+O33)/8, 2)</f>
      </c>
    </row>
  </sheetData>
  <mergeCells count="1">
    <mergeCell ref="C1:R1"/>
  </mergeCells>
  <conditionalFormatting sqref="B4"/>
  <pageMargins left="0.45" right="0.2" top="0.5" bottom="0.5" header="0.3" footer="0.3"/>
  <pageSetup orientation="portrait" horizontalDpi="4294967293" verticalDpi="0" scale="8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49"/>
  <sheetViews>
    <sheetView workbookViewId="0">
      <selection activeCell="A1" sqref="A1"/>
    </sheetView>
  </sheetViews>
  <sheetFormatPr defaultRowHeight="14" outlineLevelRow="0" outlineLevelCol="0" x14ac:dyDescent="0" defaultColWidth="8.83203125" customHeight="1"/>
  <cols>
    <col min="1" max="2" width="3.6640625" style="136" customWidth="1"/>
    <col min="3" max="3" width="3.5" style="136" customWidth="1"/>
    <col min="4" max="4" width="10.6640625" style="136" customWidth="1"/>
    <col min="5" max="5" width="1.33203125" style="136" customWidth="1"/>
    <col min="6" max="6" width="21" style="137" customWidth="1"/>
    <col min="7" max="10" width="8.6640625" style="136" customWidth="1"/>
    <col min="11" max="11" width="5.83203125" style="136" customWidth="1"/>
    <col min="12" max="12" width="13.83203125" style="136" customWidth="1"/>
    <col min="13" max="13" width="9.1640625" style="136" customWidth="1"/>
    <col min="14" max="14" width="20.33203125" style="136" customWidth="1"/>
    <col min="15" max="15" width="22.1640625" style="136" customWidth="1"/>
    <col min="16" max="16" width="9.1640625" style="137" customWidth="1"/>
    <col min="17" max="17" width="9.1640625" style="136" customWidth="1"/>
    <col min="18" max="18" width="10.5" style="136" customWidth="1"/>
    <col min="19" max="257" width="9.1640625" style="136" customWidth="1"/>
    <col min="258" max="259" width="4.83203125" style="136" customWidth="1"/>
    <col min="260" max="260" width="4.1640625" style="136" customWidth="1"/>
    <col min="261" max="261" width="11.1640625" style="136" customWidth="1"/>
    <col min="262" max="262" width="25.33203125" style="136" customWidth="1"/>
    <col min="263" max="263" width="9.5" style="136" customWidth="1"/>
    <col min="264" max="264" width="8.1640625" style="136" customWidth="1"/>
    <col min="265" max="265" width="7.83203125" style="136" customWidth="1"/>
    <col min="266" max="266" width="14.5" style="136" customWidth="1"/>
    <col min="267" max="267" width="6.33203125" style="136" customWidth="1"/>
    <col min="268" max="268" width="6.1640625" style="136" customWidth="1"/>
    <col min="269" max="269" width="9.1640625" style="136" customWidth="1"/>
    <col min="270" max="270" width="10.5" style="136" customWidth="1"/>
    <col min="271" max="271" width="22.1640625" style="136" customWidth="1"/>
    <col min="272" max="273" width="9.1640625" style="136" customWidth="1"/>
    <col min="274" max="274" width="10.5" style="136" customWidth="1"/>
    <col min="275" max="513" width="9.1640625" style="136" customWidth="1"/>
    <col min="514" max="515" width="4.83203125" style="136" customWidth="1"/>
    <col min="516" max="516" width="4.1640625" style="136" customWidth="1"/>
    <col min="517" max="517" width="11.1640625" style="136" customWidth="1"/>
    <col min="518" max="518" width="25.33203125" style="136" customWidth="1"/>
    <col min="519" max="519" width="9.5" style="136" customWidth="1"/>
    <col min="520" max="520" width="8.1640625" style="136" customWidth="1"/>
    <col min="521" max="521" width="7.83203125" style="136" customWidth="1"/>
    <col min="522" max="522" width="14.5" style="136" customWidth="1"/>
    <col min="523" max="523" width="6.33203125" style="136" customWidth="1"/>
    <col min="524" max="524" width="6.1640625" style="136" customWidth="1"/>
    <col min="525" max="525" width="9.1640625" style="136" customWidth="1"/>
    <col min="526" max="526" width="10.5" style="136" customWidth="1"/>
    <col min="527" max="527" width="22.1640625" style="136" customWidth="1"/>
    <col min="528" max="529" width="9.1640625" style="136" customWidth="1"/>
    <col min="530" max="530" width="10.5" style="136" customWidth="1"/>
    <col min="531" max="769" width="9.1640625" style="136" customWidth="1"/>
    <col min="770" max="771" width="4.83203125" style="136" customWidth="1"/>
    <col min="772" max="772" width="4.1640625" style="136" customWidth="1"/>
    <col min="773" max="773" width="11.1640625" style="136" customWidth="1"/>
    <col min="774" max="774" width="25.33203125" style="136" customWidth="1"/>
    <col min="775" max="775" width="9.5" style="136" customWidth="1"/>
    <col min="776" max="776" width="8.1640625" style="136" customWidth="1"/>
    <col min="777" max="777" width="7.83203125" style="136" customWidth="1"/>
    <col min="778" max="778" width="14.5" style="136" customWidth="1"/>
    <col min="779" max="779" width="6.33203125" style="136" customWidth="1"/>
    <col min="780" max="780" width="6.1640625" style="136" customWidth="1"/>
    <col min="781" max="781" width="9.1640625" style="136" customWidth="1"/>
    <col min="782" max="782" width="10.5" style="136" customWidth="1"/>
    <col min="783" max="783" width="22.1640625" style="136" customWidth="1"/>
    <col min="784" max="785" width="9.1640625" style="136" customWidth="1"/>
    <col min="786" max="786" width="10.5" style="136" customWidth="1"/>
    <col min="787" max="1025" width="9.1640625" style="136" customWidth="1"/>
    <col min="1026" max="1027" width="4.83203125" style="136" customWidth="1"/>
    <col min="1028" max="1028" width="4.1640625" style="136" customWidth="1"/>
    <col min="1029" max="1029" width="11.1640625" style="136" customWidth="1"/>
    <col min="1030" max="1030" width="25.33203125" style="136" customWidth="1"/>
    <col min="1031" max="1031" width="9.5" style="136" customWidth="1"/>
    <col min="1032" max="1032" width="8.1640625" style="136" customWidth="1"/>
    <col min="1033" max="1033" width="7.83203125" style="136" customWidth="1"/>
    <col min="1034" max="1034" width="14.5" style="136" customWidth="1"/>
    <col min="1035" max="1035" width="6.33203125" style="136" customWidth="1"/>
    <col min="1036" max="1036" width="6.1640625" style="136" customWidth="1"/>
    <col min="1037" max="1037" width="9.1640625" style="136" customWidth="1"/>
    <col min="1038" max="1038" width="10.5" style="136" customWidth="1"/>
    <col min="1039" max="1039" width="22.1640625" style="136" customWidth="1"/>
    <col min="1040" max="1041" width="9.1640625" style="136" customWidth="1"/>
    <col min="1042" max="1042" width="10.5" style="136" customWidth="1"/>
    <col min="1043" max="1281" width="9.1640625" style="136" customWidth="1"/>
    <col min="1282" max="1283" width="4.83203125" style="136" customWidth="1"/>
    <col min="1284" max="1284" width="4.1640625" style="136" customWidth="1"/>
    <col min="1285" max="1285" width="11.1640625" style="136" customWidth="1"/>
    <col min="1286" max="1286" width="25.33203125" style="136" customWidth="1"/>
    <col min="1287" max="1287" width="9.5" style="136" customWidth="1"/>
    <col min="1288" max="1288" width="8.1640625" style="136" customWidth="1"/>
    <col min="1289" max="1289" width="7.83203125" style="136" customWidth="1"/>
    <col min="1290" max="1290" width="14.5" style="136" customWidth="1"/>
    <col min="1291" max="1291" width="6.33203125" style="136" customWidth="1"/>
    <col min="1292" max="1292" width="6.1640625" style="136" customWidth="1"/>
    <col min="1293" max="1293" width="9.1640625" style="136" customWidth="1"/>
    <col min="1294" max="1294" width="10.5" style="136" customWidth="1"/>
    <col min="1295" max="1295" width="22.1640625" style="136" customWidth="1"/>
    <col min="1296" max="1297" width="9.1640625" style="136" customWidth="1"/>
    <col min="1298" max="1298" width="10.5" style="136" customWidth="1"/>
    <col min="1299" max="1537" width="9.1640625" style="136" customWidth="1"/>
    <col min="1538" max="1539" width="4.83203125" style="136" customWidth="1"/>
    <col min="1540" max="1540" width="4.1640625" style="136" customWidth="1"/>
    <col min="1541" max="1541" width="11.1640625" style="136" customWidth="1"/>
    <col min="1542" max="1542" width="25.33203125" style="136" customWidth="1"/>
    <col min="1543" max="1543" width="9.5" style="136" customWidth="1"/>
    <col min="1544" max="1544" width="8.1640625" style="136" customWidth="1"/>
    <col min="1545" max="1545" width="7.83203125" style="136" customWidth="1"/>
    <col min="1546" max="1546" width="14.5" style="136" customWidth="1"/>
    <col min="1547" max="1547" width="6.33203125" style="136" customWidth="1"/>
    <col min="1548" max="1548" width="6.1640625" style="136" customWidth="1"/>
    <col min="1549" max="1549" width="9.1640625" style="136" customWidth="1"/>
    <col min="1550" max="1550" width="10.5" style="136" customWidth="1"/>
    <col min="1551" max="1551" width="22.1640625" style="136" customWidth="1"/>
    <col min="1552" max="1553" width="9.1640625" style="136" customWidth="1"/>
    <col min="1554" max="1554" width="10.5" style="136" customWidth="1"/>
    <col min="1555" max="1793" width="9.1640625" style="136" customWidth="1"/>
    <col min="1794" max="1795" width="4.83203125" style="136" customWidth="1"/>
    <col min="1796" max="1796" width="4.1640625" style="136" customWidth="1"/>
    <col min="1797" max="1797" width="11.1640625" style="136" customWidth="1"/>
    <col min="1798" max="1798" width="25.33203125" style="136" customWidth="1"/>
    <col min="1799" max="1799" width="9.5" style="136" customWidth="1"/>
    <col min="1800" max="1800" width="8.1640625" style="136" customWidth="1"/>
    <col min="1801" max="1801" width="7.83203125" style="136" customWidth="1"/>
    <col min="1802" max="1802" width="14.5" style="136" customWidth="1"/>
    <col min="1803" max="1803" width="6.33203125" style="136" customWidth="1"/>
    <col min="1804" max="1804" width="6.1640625" style="136" customWidth="1"/>
    <col min="1805" max="1805" width="9.1640625" style="136" customWidth="1"/>
    <col min="1806" max="1806" width="10.5" style="136" customWidth="1"/>
    <col min="1807" max="1807" width="22.1640625" style="136" customWidth="1"/>
    <col min="1808" max="1809" width="9.1640625" style="136" customWidth="1"/>
    <col min="1810" max="1810" width="10.5" style="136" customWidth="1"/>
    <col min="1811" max="2049" width="9.1640625" style="136" customWidth="1"/>
    <col min="2050" max="2051" width="4.83203125" style="136" customWidth="1"/>
    <col min="2052" max="2052" width="4.1640625" style="136" customWidth="1"/>
    <col min="2053" max="2053" width="11.1640625" style="136" customWidth="1"/>
    <col min="2054" max="2054" width="25.33203125" style="136" customWidth="1"/>
    <col min="2055" max="2055" width="9.5" style="136" customWidth="1"/>
    <col min="2056" max="2056" width="8.1640625" style="136" customWidth="1"/>
    <col min="2057" max="2057" width="7.83203125" style="136" customWidth="1"/>
    <col min="2058" max="2058" width="14.5" style="136" customWidth="1"/>
    <col min="2059" max="2059" width="6.33203125" style="136" customWidth="1"/>
    <col min="2060" max="2060" width="6.1640625" style="136" customWidth="1"/>
    <col min="2061" max="2061" width="9.1640625" style="136" customWidth="1"/>
    <col min="2062" max="2062" width="10.5" style="136" customWidth="1"/>
    <col min="2063" max="2063" width="22.1640625" style="136" customWidth="1"/>
    <col min="2064" max="2065" width="9.1640625" style="136" customWidth="1"/>
    <col min="2066" max="2066" width="10.5" style="136" customWidth="1"/>
    <col min="2067" max="2305" width="9.1640625" style="136" customWidth="1"/>
    <col min="2306" max="2307" width="4.83203125" style="136" customWidth="1"/>
    <col min="2308" max="2308" width="4.1640625" style="136" customWidth="1"/>
    <col min="2309" max="2309" width="11.1640625" style="136" customWidth="1"/>
    <col min="2310" max="2310" width="25.33203125" style="136" customWidth="1"/>
    <col min="2311" max="2311" width="9.5" style="136" customWidth="1"/>
    <col min="2312" max="2312" width="8.1640625" style="136" customWidth="1"/>
    <col min="2313" max="2313" width="7.83203125" style="136" customWidth="1"/>
    <col min="2314" max="2314" width="14.5" style="136" customWidth="1"/>
    <col min="2315" max="2315" width="6.33203125" style="136" customWidth="1"/>
    <col min="2316" max="2316" width="6.1640625" style="136" customWidth="1"/>
    <col min="2317" max="2317" width="9.1640625" style="136" customWidth="1"/>
    <col min="2318" max="2318" width="10.5" style="136" customWidth="1"/>
    <col min="2319" max="2319" width="22.1640625" style="136" customWidth="1"/>
    <col min="2320" max="2321" width="9.1640625" style="136" customWidth="1"/>
    <col min="2322" max="2322" width="10.5" style="136" customWidth="1"/>
    <col min="2323" max="2561" width="9.1640625" style="136" customWidth="1"/>
    <col min="2562" max="2563" width="4.83203125" style="136" customWidth="1"/>
    <col min="2564" max="2564" width="4.1640625" style="136" customWidth="1"/>
    <col min="2565" max="2565" width="11.1640625" style="136" customWidth="1"/>
    <col min="2566" max="2566" width="25.33203125" style="136" customWidth="1"/>
    <col min="2567" max="2567" width="9.5" style="136" customWidth="1"/>
    <col min="2568" max="2568" width="8.1640625" style="136" customWidth="1"/>
    <col min="2569" max="2569" width="7.83203125" style="136" customWidth="1"/>
    <col min="2570" max="2570" width="14.5" style="136" customWidth="1"/>
    <col min="2571" max="2571" width="6.33203125" style="136" customWidth="1"/>
    <col min="2572" max="2572" width="6.1640625" style="136" customWidth="1"/>
    <col min="2573" max="2573" width="9.1640625" style="136" customWidth="1"/>
    <col min="2574" max="2574" width="10.5" style="136" customWidth="1"/>
    <col min="2575" max="2575" width="22.1640625" style="136" customWidth="1"/>
    <col min="2576" max="2577" width="9.1640625" style="136" customWidth="1"/>
    <col min="2578" max="2578" width="10.5" style="136" customWidth="1"/>
    <col min="2579" max="2817" width="9.1640625" style="136" customWidth="1"/>
    <col min="2818" max="2819" width="4.83203125" style="136" customWidth="1"/>
    <col min="2820" max="2820" width="4.1640625" style="136" customWidth="1"/>
    <col min="2821" max="2821" width="11.1640625" style="136" customWidth="1"/>
    <col min="2822" max="2822" width="25.33203125" style="136" customWidth="1"/>
    <col min="2823" max="2823" width="9.5" style="136" customWidth="1"/>
    <col min="2824" max="2824" width="8.1640625" style="136" customWidth="1"/>
    <col min="2825" max="2825" width="7.83203125" style="136" customWidth="1"/>
    <col min="2826" max="2826" width="14.5" style="136" customWidth="1"/>
    <col min="2827" max="2827" width="6.33203125" style="136" customWidth="1"/>
    <col min="2828" max="2828" width="6.1640625" style="136" customWidth="1"/>
    <col min="2829" max="2829" width="9.1640625" style="136" customWidth="1"/>
    <col min="2830" max="2830" width="10.5" style="136" customWidth="1"/>
    <col min="2831" max="2831" width="22.1640625" style="136" customWidth="1"/>
    <col min="2832" max="2833" width="9.1640625" style="136" customWidth="1"/>
    <col min="2834" max="2834" width="10.5" style="136" customWidth="1"/>
    <col min="2835" max="3073" width="9.1640625" style="136" customWidth="1"/>
    <col min="3074" max="3075" width="4.83203125" style="136" customWidth="1"/>
    <col min="3076" max="3076" width="4.1640625" style="136" customWidth="1"/>
    <col min="3077" max="3077" width="11.1640625" style="136" customWidth="1"/>
    <col min="3078" max="3078" width="25.33203125" style="136" customWidth="1"/>
    <col min="3079" max="3079" width="9.5" style="136" customWidth="1"/>
    <col min="3080" max="3080" width="8.1640625" style="136" customWidth="1"/>
    <col min="3081" max="3081" width="7.83203125" style="136" customWidth="1"/>
    <col min="3082" max="3082" width="14.5" style="136" customWidth="1"/>
    <col min="3083" max="3083" width="6.33203125" style="136" customWidth="1"/>
    <col min="3084" max="3084" width="6.1640625" style="136" customWidth="1"/>
    <col min="3085" max="3085" width="9.1640625" style="136" customWidth="1"/>
    <col min="3086" max="3086" width="10.5" style="136" customWidth="1"/>
    <col min="3087" max="3087" width="22.1640625" style="136" customWidth="1"/>
    <col min="3088" max="3089" width="9.1640625" style="136" customWidth="1"/>
    <col min="3090" max="3090" width="10.5" style="136" customWidth="1"/>
    <col min="3091" max="3329" width="9.1640625" style="136" customWidth="1"/>
    <col min="3330" max="3331" width="4.83203125" style="136" customWidth="1"/>
    <col min="3332" max="3332" width="4.1640625" style="136" customWidth="1"/>
    <col min="3333" max="3333" width="11.1640625" style="136" customWidth="1"/>
    <col min="3334" max="3334" width="25.33203125" style="136" customWidth="1"/>
    <col min="3335" max="3335" width="9.5" style="136" customWidth="1"/>
    <col min="3336" max="3336" width="8.1640625" style="136" customWidth="1"/>
    <col min="3337" max="3337" width="7.83203125" style="136" customWidth="1"/>
    <col min="3338" max="3338" width="14.5" style="136" customWidth="1"/>
    <col min="3339" max="3339" width="6.33203125" style="136" customWidth="1"/>
    <col min="3340" max="3340" width="6.1640625" style="136" customWidth="1"/>
    <col min="3341" max="3341" width="9.1640625" style="136" customWidth="1"/>
    <col min="3342" max="3342" width="10.5" style="136" customWidth="1"/>
    <col min="3343" max="3343" width="22.1640625" style="136" customWidth="1"/>
    <col min="3344" max="3345" width="9.1640625" style="136" customWidth="1"/>
    <col min="3346" max="3346" width="10.5" style="136" customWidth="1"/>
    <col min="3347" max="3585" width="9.1640625" style="136" customWidth="1"/>
    <col min="3586" max="3587" width="4.83203125" style="136" customWidth="1"/>
    <col min="3588" max="3588" width="4.1640625" style="136" customWidth="1"/>
    <col min="3589" max="3589" width="11.1640625" style="136" customWidth="1"/>
    <col min="3590" max="3590" width="25.33203125" style="136" customWidth="1"/>
    <col min="3591" max="3591" width="9.5" style="136" customWidth="1"/>
    <col min="3592" max="3592" width="8.1640625" style="136" customWidth="1"/>
    <col min="3593" max="3593" width="7.83203125" style="136" customWidth="1"/>
    <col min="3594" max="3594" width="14.5" style="136" customWidth="1"/>
    <col min="3595" max="3595" width="6.33203125" style="136" customWidth="1"/>
    <col min="3596" max="3596" width="6.1640625" style="136" customWidth="1"/>
    <col min="3597" max="3597" width="9.1640625" style="136" customWidth="1"/>
    <col min="3598" max="3598" width="10.5" style="136" customWidth="1"/>
    <col min="3599" max="3599" width="22.1640625" style="136" customWidth="1"/>
    <col min="3600" max="3601" width="9.1640625" style="136" customWidth="1"/>
    <col min="3602" max="3602" width="10.5" style="136" customWidth="1"/>
    <col min="3603" max="3841" width="9.1640625" style="136" customWidth="1"/>
    <col min="3842" max="3843" width="4.83203125" style="136" customWidth="1"/>
    <col min="3844" max="3844" width="4.1640625" style="136" customWidth="1"/>
    <col min="3845" max="3845" width="11.1640625" style="136" customWidth="1"/>
    <col min="3846" max="3846" width="25.33203125" style="136" customWidth="1"/>
    <col min="3847" max="3847" width="9.5" style="136" customWidth="1"/>
    <col min="3848" max="3848" width="8.1640625" style="136" customWidth="1"/>
    <col min="3849" max="3849" width="7.83203125" style="136" customWidth="1"/>
    <col min="3850" max="3850" width="14.5" style="136" customWidth="1"/>
    <col min="3851" max="3851" width="6.33203125" style="136" customWidth="1"/>
    <col min="3852" max="3852" width="6.1640625" style="136" customWidth="1"/>
    <col min="3853" max="3853" width="9.1640625" style="136" customWidth="1"/>
    <col min="3854" max="3854" width="10.5" style="136" customWidth="1"/>
    <col min="3855" max="3855" width="22.1640625" style="136" customWidth="1"/>
    <col min="3856" max="3857" width="9.1640625" style="136" customWidth="1"/>
    <col min="3858" max="3858" width="10.5" style="136" customWidth="1"/>
    <col min="3859" max="4097" width="9.1640625" style="136" customWidth="1"/>
    <col min="4098" max="4099" width="4.83203125" style="136" customWidth="1"/>
    <col min="4100" max="4100" width="4.1640625" style="136" customWidth="1"/>
    <col min="4101" max="4101" width="11.1640625" style="136" customWidth="1"/>
    <col min="4102" max="4102" width="25.33203125" style="136" customWidth="1"/>
    <col min="4103" max="4103" width="9.5" style="136" customWidth="1"/>
    <col min="4104" max="4104" width="8.1640625" style="136" customWidth="1"/>
    <col min="4105" max="4105" width="7.83203125" style="136" customWidth="1"/>
    <col min="4106" max="4106" width="14.5" style="136" customWidth="1"/>
    <col min="4107" max="4107" width="6.33203125" style="136" customWidth="1"/>
    <col min="4108" max="4108" width="6.1640625" style="136" customWidth="1"/>
    <col min="4109" max="4109" width="9.1640625" style="136" customWidth="1"/>
    <col min="4110" max="4110" width="10.5" style="136" customWidth="1"/>
    <col min="4111" max="4111" width="22.1640625" style="136" customWidth="1"/>
    <col min="4112" max="4113" width="9.1640625" style="136" customWidth="1"/>
    <col min="4114" max="4114" width="10.5" style="136" customWidth="1"/>
    <col min="4115" max="4353" width="9.1640625" style="136" customWidth="1"/>
    <col min="4354" max="4355" width="4.83203125" style="136" customWidth="1"/>
    <col min="4356" max="4356" width="4.1640625" style="136" customWidth="1"/>
    <col min="4357" max="4357" width="11.1640625" style="136" customWidth="1"/>
    <col min="4358" max="4358" width="25.33203125" style="136" customWidth="1"/>
    <col min="4359" max="4359" width="9.5" style="136" customWidth="1"/>
    <col min="4360" max="4360" width="8.1640625" style="136" customWidth="1"/>
    <col min="4361" max="4361" width="7.83203125" style="136" customWidth="1"/>
    <col min="4362" max="4362" width="14.5" style="136" customWidth="1"/>
    <col min="4363" max="4363" width="6.33203125" style="136" customWidth="1"/>
    <col min="4364" max="4364" width="6.1640625" style="136" customWidth="1"/>
    <col min="4365" max="4365" width="9.1640625" style="136" customWidth="1"/>
    <col min="4366" max="4366" width="10.5" style="136" customWidth="1"/>
    <col min="4367" max="4367" width="22.1640625" style="136" customWidth="1"/>
    <col min="4368" max="4369" width="9.1640625" style="136" customWidth="1"/>
    <col min="4370" max="4370" width="10.5" style="136" customWidth="1"/>
    <col min="4371" max="4609" width="9.1640625" style="136" customWidth="1"/>
    <col min="4610" max="4611" width="4.83203125" style="136" customWidth="1"/>
    <col min="4612" max="4612" width="4.1640625" style="136" customWidth="1"/>
    <col min="4613" max="4613" width="11.1640625" style="136" customWidth="1"/>
    <col min="4614" max="4614" width="25.33203125" style="136" customWidth="1"/>
    <col min="4615" max="4615" width="9.5" style="136" customWidth="1"/>
    <col min="4616" max="4616" width="8.1640625" style="136" customWidth="1"/>
    <col min="4617" max="4617" width="7.83203125" style="136" customWidth="1"/>
    <col min="4618" max="4618" width="14.5" style="136" customWidth="1"/>
    <col min="4619" max="4619" width="6.33203125" style="136" customWidth="1"/>
    <col min="4620" max="4620" width="6.1640625" style="136" customWidth="1"/>
    <col min="4621" max="4621" width="9.1640625" style="136" customWidth="1"/>
    <col min="4622" max="4622" width="10.5" style="136" customWidth="1"/>
    <col min="4623" max="4623" width="22.1640625" style="136" customWidth="1"/>
    <col min="4624" max="4625" width="9.1640625" style="136" customWidth="1"/>
    <col min="4626" max="4626" width="10.5" style="136" customWidth="1"/>
    <col min="4627" max="4865" width="9.1640625" style="136" customWidth="1"/>
    <col min="4866" max="4867" width="4.83203125" style="136" customWidth="1"/>
    <col min="4868" max="4868" width="4.1640625" style="136" customWidth="1"/>
    <col min="4869" max="4869" width="11.1640625" style="136" customWidth="1"/>
    <col min="4870" max="4870" width="25.33203125" style="136" customWidth="1"/>
    <col min="4871" max="4871" width="9.5" style="136" customWidth="1"/>
    <col min="4872" max="4872" width="8.1640625" style="136" customWidth="1"/>
    <col min="4873" max="4873" width="7.83203125" style="136" customWidth="1"/>
    <col min="4874" max="4874" width="14.5" style="136" customWidth="1"/>
    <col min="4875" max="4875" width="6.33203125" style="136" customWidth="1"/>
    <col min="4876" max="4876" width="6.1640625" style="136" customWidth="1"/>
    <col min="4877" max="4877" width="9.1640625" style="136" customWidth="1"/>
    <col min="4878" max="4878" width="10.5" style="136" customWidth="1"/>
    <col min="4879" max="4879" width="22.1640625" style="136" customWidth="1"/>
    <col min="4880" max="4881" width="9.1640625" style="136" customWidth="1"/>
    <col min="4882" max="4882" width="10.5" style="136" customWidth="1"/>
    <col min="4883" max="5121" width="9.1640625" style="136" customWidth="1"/>
    <col min="5122" max="5123" width="4.83203125" style="136" customWidth="1"/>
    <col min="5124" max="5124" width="4.1640625" style="136" customWidth="1"/>
    <col min="5125" max="5125" width="11.1640625" style="136" customWidth="1"/>
    <col min="5126" max="5126" width="25.33203125" style="136" customWidth="1"/>
    <col min="5127" max="5127" width="9.5" style="136" customWidth="1"/>
    <col min="5128" max="5128" width="8.1640625" style="136" customWidth="1"/>
    <col min="5129" max="5129" width="7.83203125" style="136" customWidth="1"/>
    <col min="5130" max="5130" width="14.5" style="136" customWidth="1"/>
    <col min="5131" max="5131" width="6.33203125" style="136" customWidth="1"/>
    <col min="5132" max="5132" width="6.1640625" style="136" customWidth="1"/>
    <col min="5133" max="5133" width="9.1640625" style="136" customWidth="1"/>
    <col min="5134" max="5134" width="10.5" style="136" customWidth="1"/>
    <col min="5135" max="5135" width="22.1640625" style="136" customWidth="1"/>
    <col min="5136" max="5137" width="9.1640625" style="136" customWidth="1"/>
    <col min="5138" max="5138" width="10.5" style="136" customWidth="1"/>
    <col min="5139" max="5377" width="9.1640625" style="136" customWidth="1"/>
    <col min="5378" max="5379" width="4.83203125" style="136" customWidth="1"/>
    <col min="5380" max="5380" width="4.1640625" style="136" customWidth="1"/>
    <col min="5381" max="5381" width="11.1640625" style="136" customWidth="1"/>
    <col min="5382" max="5382" width="25.33203125" style="136" customWidth="1"/>
    <col min="5383" max="5383" width="9.5" style="136" customWidth="1"/>
    <col min="5384" max="5384" width="8.1640625" style="136" customWidth="1"/>
    <col min="5385" max="5385" width="7.83203125" style="136" customWidth="1"/>
    <col min="5386" max="5386" width="14.5" style="136" customWidth="1"/>
    <col min="5387" max="5387" width="6.33203125" style="136" customWidth="1"/>
    <col min="5388" max="5388" width="6.1640625" style="136" customWidth="1"/>
    <col min="5389" max="5389" width="9.1640625" style="136" customWidth="1"/>
    <col min="5390" max="5390" width="10.5" style="136" customWidth="1"/>
    <col min="5391" max="5391" width="22.1640625" style="136" customWidth="1"/>
    <col min="5392" max="5393" width="9.1640625" style="136" customWidth="1"/>
    <col min="5394" max="5394" width="10.5" style="136" customWidth="1"/>
    <col min="5395" max="5633" width="9.1640625" style="136" customWidth="1"/>
    <col min="5634" max="5635" width="4.83203125" style="136" customWidth="1"/>
    <col min="5636" max="5636" width="4.1640625" style="136" customWidth="1"/>
    <col min="5637" max="5637" width="11.1640625" style="136" customWidth="1"/>
    <col min="5638" max="5638" width="25.33203125" style="136" customWidth="1"/>
    <col min="5639" max="5639" width="9.5" style="136" customWidth="1"/>
    <col min="5640" max="5640" width="8.1640625" style="136" customWidth="1"/>
    <col min="5641" max="5641" width="7.83203125" style="136" customWidth="1"/>
    <col min="5642" max="5642" width="14.5" style="136" customWidth="1"/>
    <col min="5643" max="5643" width="6.33203125" style="136" customWidth="1"/>
    <col min="5644" max="5644" width="6.1640625" style="136" customWidth="1"/>
    <col min="5645" max="5645" width="9.1640625" style="136" customWidth="1"/>
    <col min="5646" max="5646" width="10.5" style="136" customWidth="1"/>
    <col min="5647" max="5647" width="22.1640625" style="136" customWidth="1"/>
    <col min="5648" max="5649" width="9.1640625" style="136" customWidth="1"/>
    <col min="5650" max="5650" width="10.5" style="136" customWidth="1"/>
    <col min="5651" max="5889" width="9.1640625" style="136" customWidth="1"/>
    <col min="5890" max="5891" width="4.83203125" style="136" customWidth="1"/>
    <col min="5892" max="5892" width="4.1640625" style="136" customWidth="1"/>
    <col min="5893" max="5893" width="11.1640625" style="136" customWidth="1"/>
    <col min="5894" max="5894" width="25.33203125" style="136" customWidth="1"/>
    <col min="5895" max="5895" width="9.5" style="136" customWidth="1"/>
    <col min="5896" max="5896" width="8.1640625" style="136" customWidth="1"/>
    <col min="5897" max="5897" width="7.83203125" style="136" customWidth="1"/>
    <col min="5898" max="5898" width="14.5" style="136" customWidth="1"/>
    <col min="5899" max="5899" width="6.33203125" style="136" customWidth="1"/>
    <col min="5900" max="5900" width="6.1640625" style="136" customWidth="1"/>
    <col min="5901" max="5901" width="9.1640625" style="136" customWidth="1"/>
    <col min="5902" max="5902" width="10.5" style="136" customWidth="1"/>
    <col min="5903" max="5903" width="22.1640625" style="136" customWidth="1"/>
    <col min="5904" max="5905" width="9.1640625" style="136" customWidth="1"/>
    <col min="5906" max="5906" width="10.5" style="136" customWidth="1"/>
    <col min="5907" max="6145" width="9.1640625" style="136" customWidth="1"/>
    <col min="6146" max="6147" width="4.83203125" style="136" customWidth="1"/>
    <col min="6148" max="6148" width="4.1640625" style="136" customWidth="1"/>
    <col min="6149" max="6149" width="11.1640625" style="136" customWidth="1"/>
    <col min="6150" max="6150" width="25.33203125" style="136" customWidth="1"/>
    <col min="6151" max="6151" width="9.5" style="136" customWidth="1"/>
    <col min="6152" max="6152" width="8.1640625" style="136" customWidth="1"/>
    <col min="6153" max="6153" width="7.83203125" style="136" customWidth="1"/>
    <col min="6154" max="6154" width="14.5" style="136" customWidth="1"/>
    <col min="6155" max="6155" width="6.33203125" style="136" customWidth="1"/>
    <col min="6156" max="6156" width="6.1640625" style="136" customWidth="1"/>
    <col min="6157" max="6157" width="9.1640625" style="136" customWidth="1"/>
    <col min="6158" max="6158" width="10.5" style="136" customWidth="1"/>
    <col min="6159" max="6159" width="22.1640625" style="136" customWidth="1"/>
    <col min="6160" max="6161" width="9.1640625" style="136" customWidth="1"/>
    <col min="6162" max="6162" width="10.5" style="136" customWidth="1"/>
    <col min="6163" max="6401" width="9.1640625" style="136" customWidth="1"/>
    <col min="6402" max="6403" width="4.83203125" style="136" customWidth="1"/>
    <col min="6404" max="6404" width="4.1640625" style="136" customWidth="1"/>
    <col min="6405" max="6405" width="11.1640625" style="136" customWidth="1"/>
    <col min="6406" max="6406" width="25.33203125" style="136" customWidth="1"/>
    <col min="6407" max="6407" width="9.5" style="136" customWidth="1"/>
    <col min="6408" max="6408" width="8.1640625" style="136" customWidth="1"/>
    <col min="6409" max="6409" width="7.83203125" style="136" customWidth="1"/>
    <col min="6410" max="6410" width="14.5" style="136" customWidth="1"/>
    <col min="6411" max="6411" width="6.33203125" style="136" customWidth="1"/>
    <col min="6412" max="6412" width="6.1640625" style="136" customWidth="1"/>
    <col min="6413" max="6413" width="9.1640625" style="136" customWidth="1"/>
    <col min="6414" max="6414" width="10.5" style="136" customWidth="1"/>
    <col min="6415" max="6415" width="22.1640625" style="136" customWidth="1"/>
    <col min="6416" max="6417" width="9.1640625" style="136" customWidth="1"/>
    <col min="6418" max="6418" width="10.5" style="136" customWidth="1"/>
    <col min="6419" max="6657" width="9.1640625" style="136" customWidth="1"/>
    <col min="6658" max="6659" width="4.83203125" style="136" customWidth="1"/>
    <col min="6660" max="6660" width="4.1640625" style="136" customWidth="1"/>
    <col min="6661" max="6661" width="11.1640625" style="136" customWidth="1"/>
    <col min="6662" max="6662" width="25.33203125" style="136" customWidth="1"/>
    <col min="6663" max="6663" width="9.5" style="136" customWidth="1"/>
    <col min="6664" max="6664" width="8.1640625" style="136" customWidth="1"/>
    <col min="6665" max="6665" width="7.83203125" style="136" customWidth="1"/>
    <col min="6666" max="6666" width="14.5" style="136" customWidth="1"/>
    <col min="6667" max="6667" width="6.33203125" style="136" customWidth="1"/>
    <col min="6668" max="6668" width="6.1640625" style="136" customWidth="1"/>
    <col min="6669" max="6669" width="9.1640625" style="136" customWidth="1"/>
    <col min="6670" max="6670" width="10.5" style="136" customWidth="1"/>
    <col min="6671" max="6671" width="22.1640625" style="136" customWidth="1"/>
    <col min="6672" max="6673" width="9.1640625" style="136" customWidth="1"/>
    <col min="6674" max="6674" width="10.5" style="136" customWidth="1"/>
    <col min="6675" max="6913" width="9.1640625" style="136" customWidth="1"/>
    <col min="6914" max="6915" width="4.83203125" style="136" customWidth="1"/>
    <col min="6916" max="6916" width="4.1640625" style="136" customWidth="1"/>
    <col min="6917" max="6917" width="11.1640625" style="136" customWidth="1"/>
    <col min="6918" max="6918" width="25.33203125" style="136" customWidth="1"/>
    <col min="6919" max="6919" width="9.5" style="136" customWidth="1"/>
    <col min="6920" max="6920" width="8.1640625" style="136" customWidth="1"/>
    <col min="6921" max="6921" width="7.83203125" style="136" customWidth="1"/>
    <col min="6922" max="6922" width="14.5" style="136" customWidth="1"/>
    <col min="6923" max="6923" width="6.33203125" style="136" customWidth="1"/>
    <col min="6924" max="6924" width="6.1640625" style="136" customWidth="1"/>
    <col min="6925" max="6925" width="9.1640625" style="136" customWidth="1"/>
    <col min="6926" max="6926" width="10.5" style="136" customWidth="1"/>
    <col min="6927" max="6927" width="22.1640625" style="136" customWidth="1"/>
    <col min="6928" max="6929" width="9.1640625" style="136" customWidth="1"/>
    <col min="6930" max="6930" width="10.5" style="136" customWidth="1"/>
    <col min="6931" max="7169" width="9.1640625" style="136" customWidth="1"/>
    <col min="7170" max="7171" width="4.83203125" style="136" customWidth="1"/>
    <col min="7172" max="7172" width="4.1640625" style="136" customWidth="1"/>
    <col min="7173" max="7173" width="11.1640625" style="136" customWidth="1"/>
    <col min="7174" max="7174" width="25.33203125" style="136" customWidth="1"/>
    <col min="7175" max="7175" width="9.5" style="136" customWidth="1"/>
    <col min="7176" max="7176" width="8.1640625" style="136" customWidth="1"/>
    <col min="7177" max="7177" width="7.83203125" style="136" customWidth="1"/>
    <col min="7178" max="7178" width="14.5" style="136" customWidth="1"/>
    <col min="7179" max="7179" width="6.33203125" style="136" customWidth="1"/>
    <col min="7180" max="7180" width="6.1640625" style="136" customWidth="1"/>
    <col min="7181" max="7181" width="9.1640625" style="136" customWidth="1"/>
    <col min="7182" max="7182" width="10.5" style="136" customWidth="1"/>
    <col min="7183" max="7183" width="22.1640625" style="136" customWidth="1"/>
    <col min="7184" max="7185" width="9.1640625" style="136" customWidth="1"/>
    <col min="7186" max="7186" width="10.5" style="136" customWidth="1"/>
    <col min="7187" max="7425" width="9.1640625" style="136" customWidth="1"/>
    <col min="7426" max="7427" width="4.83203125" style="136" customWidth="1"/>
    <col min="7428" max="7428" width="4.1640625" style="136" customWidth="1"/>
    <col min="7429" max="7429" width="11.1640625" style="136" customWidth="1"/>
    <col min="7430" max="7430" width="25.33203125" style="136" customWidth="1"/>
    <col min="7431" max="7431" width="9.5" style="136" customWidth="1"/>
    <col min="7432" max="7432" width="8.1640625" style="136" customWidth="1"/>
    <col min="7433" max="7433" width="7.83203125" style="136" customWidth="1"/>
    <col min="7434" max="7434" width="14.5" style="136" customWidth="1"/>
    <col min="7435" max="7435" width="6.33203125" style="136" customWidth="1"/>
    <col min="7436" max="7436" width="6.1640625" style="136" customWidth="1"/>
    <col min="7437" max="7437" width="9.1640625" style="136" customWidth="1"/>
    <col min="7438" max="7438" width="10.5" style="136" customWidth="1"/>
    <col min="7439" max="7439" width="22.1640625" style="136" customWidth="1"/>
    <col min="7440" max="7441" width="9.1640625" style="136" customWidth="1"/>
    <col min="7442" max="7442" width="10.5" style="136" customWidth="1"/>
    <col min="7443" max="7681" width="9.1640625" style="136" customWidth="1"/>
    <col min="7682" max="7683" width="4.83203125" style="136" customWidth="1"/>
    <col min="7684" max="7684" width="4.1640625" style="136" customWidth="1"/>
    <col min="7685" max="7685" width="11.1640625" style="136" customWidth="1"/>
    <col min="7686" max="7686" width="25.33203125" style="136" customWidth="1"/>
    <col min="7687" max="7687" width="9.5" style="136" customWidth="1"/>
    <col min="7688" max="7688" width="8.1640625" style="136" customWidth="1"/>
    <col min="7689" max="7689" width="7.83203125" style="136" customWidth="1"/>
    <col min="7690" max="7690" width="14.5" style="136" customWidth="1"/>
    <col min="7691" max="7691" width="6.33203125" style="136" customWidth="1"/>
    <col min="7692" max="7692" width="6.1640625" style="136" customWidth="1"/>
    <col min="7693" max="7693" width="9.1640625" style="136" customWidth="1"/>
    <col min="7694" max="7694" width="10.5" style="136" customWidth="1"/>
    <col min="7695" max="7695" width="22.1640625" style="136" customWidth="1"/>
    <col min="7696" max="7697" width="9.1640625" style="136" customWidth="1"/>
    <col min="7698" max="7698" width="10.5" style="136" customWidth="1"/>
    <col min="7699" max="7937" width="9.1640625" style="136" customWidth="1"/>
    <col min="7938" max="7939" width="4.83203125" style="136" customWidth="1"/>
    <col min="7940" max="7940" width="4.1640625" style="136" customWidth="1"/>
    <col min="7941" max="7941" width="11.1640625" style="136" customWidth="1"/>
    <col min="7942" max="7942" width="25.33203125" style="136" customWidth="1"/>
    <col min="7943" max="7943" width="9.5" style="136" customWidth="1"/>
    <col min="7944" max="7944" width="8.1640625" style="136" customWidth="1"/>
    <col min="7945" max="7945" width="7.83203125" style="136" customWidth="1"/>
    <col min="7946" max="7946" width="14.5" style="136" customWidth="1"/>
    <col min="7947" max="7947" width="6.33203125" style="136" customWidth="1"/>
    <col min="7948" max="7948" width="6.1640625" style="136" customWidth="1"/>
    <col min="7949" max="7949" width="9.1640625" style="136" customWidth="1"/>
    <col min="7950" max="7950" width="10.5" style="136" customWidth="1"/>
    <col min="7951" max="7951" width="22.1640625" style="136" customWidth="1"/>
    <col min="7952" max="7953" width="9.1640625" style="136" customWidth="1"/>
    <col min="7954" max="7954" width="10.5" style="136" customWidth="1"/>
    <col min="7955" max="8193" width="9.1640625" style="136" customWidth="1"/>
    <col min="8194" max="8195" width="4.83203125" style="136" customWidth="1"/>
    <col min="8196" max="8196" width="4.1640625" style="136" customWidth="1"/>
    <col min="8197" max="8197" width="11.1640625" style="136" customWidth="1"/>
    <col min="8198" max="8198" width="25.33203125" style="136" customWidth="1"/>
    <col min="8199" max="8199" width="9.5" style="136" customWidth="1"/>
    <col min="8200" max="8200" width="8.1640625" style="136" customWidth="1"/>
    <col min="8201" max="8201" width="7.83203125" style="136" customWidth="1"/>
    <col min="8202" max="8202" width="14.5" style="136" customWidth="1"/>
    <col min="8203" max="8203" width="6.33203125" style="136" customWidth="1"/>
    <col min="8204" max="8204" width="6.1640625" style="136" customWidth="1"/>
    <col min="8205" max="8205" width="9.1640625" style="136" customWidth="1"/>
    <col min="8206" max="8206" width="10.5" style="136" customWidth="1"/>
    <col min="8207" max="8207" width="22.1640625" style="136" customWidth="1"/>
    <col min="8208" max="8209" width="9.1640625" style="136" customWidth="1"/>
    <col min="8210" max="8210" width="10.5" style="136" customWidth="1"/>
    <col min="8211" max="8449" width="9.1640625" style="136" customWidth="1"/>
    <col min="8450" max="8451" width="4.83203125" style="136" customWidth="1"/>
    <col min="8452" max="8452" width="4.1640625" style="136" customWidth="1"/>
    <col min="8453" max="8453" width="11.1640625" style="136" customWidth="1"/>
    <col min="8454" max="8454" width="25.33203125" style="136" customWidth="1"/>
    <col min="8455" max="8455" width="9.5" style="136" customWidth="1"/>
    <col min="8456" max="8456" width="8.1640625" style="136" customWidth="1"/>
    <col min="8457" max="8457" width="7.83203125" style="136" customWidth="1"/>
    <col min="8458" max="8458" width="14.5" style="136" customWidth="1"/>
    <col min="8459" max="8459" width="6.33203125" style="136" customWidth="1"/>
    <col min="8460" max="8460" width="6.1640625" style="136" customWidth="1"/>
    <col min="8461" max="8461" width="9.1640625" style="136" customWidth="1"/>
    <col min="8462" max="8462" width="10.5" style="136" customWidth="1"/>
    <col min="8463" max="8463" width="22.1640625" style="136" customWidth="1"/>
    <col min="8464" max="8465" width="9.1640625" style="136" customWidth="1"/>
    <col min="8466" max="8466" width="10.5" style="136" customWidth="1"/>
    <col min="8467" max="8705" width="9.1640625" style="136" customWidth="1"/>
    <col min="8706" max="8707" width="4.83203125" style="136" customWidth="1"/>
    <col min="8708" max="8708" width="4.1640625" style="136" customWidth="1"/>
    <col min="8709" max="8709" width="11.1640625" style="136" customWidth="1"/>
    <col min="8710" max="8710" width="25.33203125" style="136" customWidth="1"/>
    <col min="8711" max="8711" width="9.5" style="136" customWidth="1"/>
    <col min="8712" max="8712" width="8.1640625" style="136" customWidth="1"/>
    <col min="8713" max="8713" width="7.83203125" style="136" customWidth="1"/>
    <col min="8714" max="8714" width="14.5" style="136" customWidth="1"/>
    <col min="8715" max="8715" width="6.33203125" style="136" customWidth="1"/>
    <col min="8716" max="8716" width="6.1640625" style="136" customWidth="1"/>
    <col min="8717" max="8717" width="9.1640625" style="136" customWidth="1"/>
    <col min="8718" max="8718" width="10.5" style="136" customWidth="1"/>
    <col min="8719" max="8719" width="22.1640625" style="136" customWidth="1"/>
    <col min="8720" max="8721" width="9.1640625" style="136" customWidth="1"/>
    <col min="8722" max="8722" width="10.5" style="136" customWidth="1"/>
    <col min="8723" max="8961" width="9.1640625" style="136" customWidth="1"/>
    <col min="8962" max="8963" width="4.83203125" style="136" customWidth="1"/>
    <col min="8964" max="8964" width="4.1640625" style="136" customWidth="1"/>
    <col min="8965" max="8965" width="11.1640625" style="136" customWidth="1"/>
    <col min="8966" max="8966" width="25.33203125" style="136" customWidth="1"/>
    <col min="8967" max="8967" width="9.5" style="136" customWidth="1"/>
    <col min="8968" max="8968" width="8.1640625" style="136" customWidth="1"/>
    <col min="8969" max="8969" width="7.83203125" style="136" customWidth="1"/>
    <col min="8970" max="8970" width="14.5" style="136" customWidth="1"/>
    <col min="8971" max="8971" width="6.33203125" style="136" customWidth="1"/>
    <col min="8972" max="8972" width="6.1640625" style="136" customWidth="1"/>
    <col min="8973" max="8973" width="9.1640625" style="136" customWidth="1"/>
    <col min="8974" max="8974" width="10.5" style="136" customWidth="1"/>
    <col min="8975" max="8975" width="22.1640625" style="136" customWidth="1"/>
    <col min="8976" max="8977" width="9.1640625" style="136" customWidth="1"/>
    <col min="8978" max="8978" width="10.5" style="136" customWidth="1"/>
    <col min="8979" max="9217" width="9.1640625" style="136" customWidth="1"/>
    <col min="9218" max="9219" width="4.83203125" style="136" customWidth="1"/>
    <col min="9220" max="9220" width="4.1640625" style="136" customWidth="1"/>
    <col min="9221" max="9221" width="11.1640625" style="136" customWidth="1"/>
    <col min="9222" max="9222" width="25.33203125" style="136" customWidth="1"/>
    <col min="9223" max="9223" width="9.5" style="136" customWidth="1"/>
    <col min="9224" max="9224" width="8.1640625" style="136" customWidth="1"/>
    <col min="9225" max="9225" width="7.83203125" style="136" customWidth="1"/>
    <col min="9226" max="9226" width="14.5" style="136" customWidth="1"/>
    <col min="9227" max="9227" width="6.33203125" style="136" customWidth="1"/>
    <col min="9228" max="9228" width="6.1640625" style="136" customWidth="1"/>
    <col min="9229" max="9229" width="9.1640625" style="136" customWidth="1"/>
    <col min="9230" max="9230" width="10.5" style="136" customWidth="1"/>
    <col min="9231" max="9231" width="22.1640625" style="136" customWidth="1"/>
    <col min="9232" max="9233" width="9.1640625" style="136" customWidth="1"/>
    <col min="9234" max="9234" width="10.5" style="136" customWidth="1"/>
    <col min="9235" max="9473" width="9.1640625" style="136" customWidth="1"/>
    <col min="9474" max="9475" width="4.83203125" style="136" customWidth="1"/>
    <col min="9476" max="9476" width="4.1640625" style="136" customWidth="1"/>
    <col min="9477" max="9477" width="11.1640625" style="136" customWidth="1"/>
    <col min="9478" max="9478" width="25.33203125" style="136" customWidth="1"/>
    <col min="9479" max="9479" width="9.5" style="136" customWidth="1"/>
    <col min="9480" max="9480" width="8.1640625" style="136" customWidth="1"/>
    <col min="9481" max="9481" width="7.83203125" style="136" customWidth="1"/>
    <col min="9482" max="9482" width="14.5" style="136" customWidth="1"/>
    <col min="9483" max="9483" width="6.33203125" style="136" customWidth="1"/>
    <col min="9484" max="9484" width="6.1640625" style="136" customWidth="1"/>
    <col min="9485" max="9485" width="9.1640625" style="136" customWidth="1"/>
    <col min="9486" max="9486" width="10.5" style="136" customWidth="1"/>
    <col min="9487" max="9487" width="22.1640625" style="136" customWidth="1"/>
    <col min="9488" max="9489" width="9.1640625" style="136" customWidth="1"/>
    <col min="9490" max="9490" width="10.5" style="136" customWidth="1"/>
    <col min="9491" max="9729" width="9.1640625" style="136" customWidth="1"/>
    <col min="9730" max="9731" width="4.83203125" style="136" customWidth="1"/>
    <col min="9732" max="9732" width="4.1640625" style="136" customWidth="1"/>
    <col min="9733" max="9733" width="11.1640625" style="136" customWidth="1"/>
    <col min="9734" max="9734" width="25.33203125" style="136" customWidth="1"/>
    <col min="9735" max="9735" width="9.5" style="136" customWidth="1"/>
    <col min="9736" max="9736" width="8.1640625" style="136" customWidth="1"/>
    <col min="9737" max="9737" width="7.83203125" style="136" customWidth="1"/>
    <col min="9738" max="9738" width="14.5" style="136" customWidth="1"/>
    <col min="9739" max="9739" width="6.33203125" style="136" customWidth="1"/>
    <col min="9740" max="9740" width="6.1640625" style="136" customWidth="1"/>
    <col min="9741" max="9741" width="9.1640625" style="136" customWidth="1"/>
    <col min="9742" max="9742" width="10.5" style="136" customWidth="1"/>
    <col min="9743" max="9743" width="22.1640625" style="136" customWidth="1"/>
    <col min="9744" max="9745" width="9.1640625" style="136" customWidth="1"/>
    <col min="9746" max="9746" width="10.5" style="136" customWidth="1"/>
    <col min="9747" max="9985" width="9.1640625" style="136" customWidth="1"/>
    <col min="9986" max="9987" width="4.83203125" style="136" customWidth="1"/>
    <col min="9988" max="9988" width="4.1640625" style="136" customWidth="1"/>
    <col min="9989" max="9989" width="11.1640625" style="136" customWidth="1"/>
    <col min="9990" max="9990" width="25.33203125" style="136" customWidth="1"/>
    <col min="9991" max="9991" width="9.5" style="136" customWidth="1"/>
    <col min="9992" max="9992" width="8.1640625" style="136" customWidth="1"/>
    <col min="9993" max="9993" width="7.83203125" style="136" customWidth="1"/>
    <col min="9994" max="9994" width="14.5" style="136" customWidth="1"/>
    <col min="9995" max="9995" width="6.33203125" style="136" customWidth="1"/>
    <col min="9996" max="9996" width="6.1640625" style="136" customWidth="1"/>
    <col min="9997" max="9997" width="9.1640625" style="136" customWidth="1"/>
    <col min="9998" max="9998" width="10.5" style="136" customWidth="1"/>
    <col min="9999" max="9999" width="22.1640625" style="136" customWidth="1"/>
    <col min="10000" max="10001" width="9.1640625" style="136" customWidth="1"/>
    <col min="10002" max="10002" width="10.5" style="136" customWidth="1"/>
    <col min="10003" max="10241" width="9.1640625" style="136" customWidth="1"/>
    <col min="10242" max="10243" width="4.83203125" style="136" customWidth="1"/>
    <col min="10244" max="10244" width="4.1640625" style="136" customWidth="1"/>
    <col min="10245" max="10245" width="11.1640625" style="136" customWidth="1"/>
    <col min="10246" max="10246" width="25.33203125" style="136" customWidth="1"/>
    <col min="10247" max="10247" width="9.5" style="136" customWidth="1"/>
    <col min="10248" max="10248" width="8.1640625" style="136" customWidth="1"/>
    <col min="10249" max="10249" width="7.83203125" style="136" customWidth="1"/>
    <col min="10250" max="10250" width="14.5" style="136" customWidth="1"/>
    <col min="10251" max="10251" width="6.33203125" style="136" customWidth="1"/>
    <col min="10252" max="10252" width="6.1640625" style="136" customWidth="1"/>
    <col min="10253" max="10253" width="9.1640625" style="136" customWidth="1"/>
    <col min="10254" max="10254" width="10.5" style="136" customWidth="1"/>
    <col min="10255" max="10255" width="22.1640625" style="136" customWidth="1"/>
    <col min="10256" max="10257" width="9.1640625" style="136" customWidth="1"/>
    <col min="10258" max="10258" width="10.5" style="136" customWidth="1"/>
    <col min="10259" max="10497" width="9.1640625" style="136" customWidth="1"/>
    <col min="10498" max="10499" width="4.83203125" style="136" customWidth="1"/>
    <col min="10500" max="10500" width="4.1640625" style="136" customWidth="1"/>
    <col min="10501" max="10501" width="11.1640625" style="136" customWidth="1"/>
    <col min="10502" max="10502" width="25.33203125" style="136" customWidth="1"/>
    <col min="10503" max="10503" width="9.5" style="136" customWidth="1"/>
    <col min="10504" max="10504" width="8.1640625" style="136" customWidth="1"/>
    <col min="10505" max="10505" width="7.83203125" style="136" customWidth="1"/>
    <col min="10506" max="10506" width="14.5" style="136" customWidth="1"/>
    <col min="10507" max="10507" width="6.33203125" style="136" customWidth="1"/>
    <col min="10508" max="10508" width="6.1640625" style="136" customWidth="1"/>
    <col min="10509" max="10509" width="9.1640625" style="136" customWidth="1"/>
    <col min="10510" max="10510" width="10.5" style="136" customWidth="1"/>
    <col min="10511" max="10511" width="22.1640625" style="136" customWidth="1"/>
    <col min="10512" max="10513" width="9.1640625" style="136" customWidth="1"/>
    <col min="10514" max="10514" width="10.5" style="136" customWidth="1"/>
    <col min="10515" max="10753" width="9.1640625" style="136" customWidth="1"/>
    <col min="10754" max="10755" width="4.83203125" style="136" customWidth="1"/>
    <col min="10756" max="10756" width="4.1640625" style="136" customWidth="1"/>
    <col min="10757" max="10757" width="11.1640625" style="136" customWidth="1"/>
    <col min="10758" max="10758" width="25.33203125" style="136" customWidth="1"/>
    <col min="10759" max="10759" width="9.5" style="136" customWidth="1"/>
    <col min="10760" max="10760" width="8.1640625" style="136" customWidth="1"/>
    <col min="10761" max="10761" width="7.83203125" style="136" customWidth="1"/>
    <col min="10762" max="10762" width="14.5" style="136" customWidth="1"/>
    <col min="10763" max="10763" width="6.33203125" style="136" customWidth="1"/>
    <col min="10764" max="10764" width="6.1640625" style="136" customWidth="1"/>
    <col min="10765" max="10765" width="9.1640625" style="136" customWidth="1"/>
    <col min="10766" max="10766" width="10.5" style="136" customWidth="1"/>
    <col min="10767" max="10767" width="22.1640625" style="136" customWidth="1"/>
    <col min="10768" max="10769" width="9.1640625" style="136" customWidth="1"/>
    <col min="10770" max="10770" width="10.5" style="136" customWidth="1"/>
    <col min="10771" max="11009" width="9.1640625" style="136" customWidth="1"/>
    <col min="11010" max="11011" width="4.83203125" style="136" customWidth="1"/>
    <col min="11012" max="11012" width="4.1640625" style="136" customWidth="1"/>
    <col min="11013" max="11013" width="11.1640625" style="136" customWidth="1"/>
    <col min="11014" max="11014" width="25.33203125" style="136" customWidth="1"/>
    <col min="11015" max="11015" width="9.5" style="136" customWidth="1"/>
    <col min="11016" max="11016" width="8.1640625" style="136" customWidth="1"/>
    <col min="11017" max="11017" width="7.83203125" style="136" customWidth="1"/>
    <col min="11018" max="11018" width="14.5" style="136" customWidth="1"/>
    <col min="11019" max="11019" width="6.33203125" style="136" customWidth="1"/>
    <col min="11020" max="11020" width="6.1640625" style="136" customWidth="1"/>
    <col min="11021" max="11021" width="9.1640625" style="136" customWidth="1"/>
    <col min="11022" max="11022" width="10.5" style="136" customWidth="1"/>
    <col min="11023" max="11023" width="22.1640625" style="136" customWidth="1"/>
    <col min="11024" max="11025" width="9.1640625" style="136" customWidth="1"/>
    <col min="11026" max="11026" width="10.5" style="136" customWidth="1"/>
    <col min="11027" max="11265" width="9.1640625" style="136" customWidth="1"/>
    <col min="11266" max="11267" width="4.83203125" style="136" customWidth="1"/>
    <col min="11268" max="11268" width="4.1640625" style="136" customWidth="1"/>
    <col min="11269" max="11269" width="11.1640625" style="136" customWidth="1"/>
    <col min="11270" max="11270" width="25.33203125" style="136" customWidth="1"/>
    <col min="11271" max="11271" width="9.5" style="136" customWidth="1"/>
    <col min="11272" max="11272" width="8.1640625" style="136" customWidth="1"/>
    <col min="11273" max="11273" width="7.83203125" style="136" customWidth="1"/>
    <col min="11274" max="11274" width="14.5" style="136" customWidth="1"/>
    <col min="11275" max="11275" width="6.33203125" style="136" customWidth="1"/>
    <col min="11276" max="11276" width="6.1640625" style="136" customWidth="1"/>
    <col min="11277" max="11277" width="9.1640625" style="136" customWidth="1"/>
    <col min="11278" max="11278" width="10.5" style="136" customWidth="1"/>
    <col min="11279" max="11279" width="22.1640625" style="136" customWidth="1"/>
    <col min="11280" max="11281" width="9.1640625" style="136" customWidth="1"/>
    <col min="11282" max="11282" width="10.5" style="136" customWidth="1"/>
    <col min="11283" max="11521" width="9.1640625" style="136" customWidth="1"/>
    <col min="11522" max="11523" width="4.83203125" style="136" customWidth="1"/>
    <col min="11524" max="11524" width="4.1640625" style="136" customWidth="1"/>
    <col min="11525" max="11525" width="11.1640625" style="136" customWidth="1"/>
    <col min="11526" max="11526" width="25.33203125" style="136" customWidth="1"/>
    <col min="11527" max="11527" width="9.5" style="136" customWidth="1"/>
    <col min="11528" max="11528" width="8.1640625" style="136" customWidth="1"/>
    <col min="11529" max="11529" width="7.83203125" style="136" customWidth="1"/>
    <col min="11530" max="11530" width="14.5" style="136" customWidth="1"/>
    <col min="11531" max="11531" width="6.33203125" style="136" customWidth="1"/>
    <col min="11532" max="11532" width="6.1640625" style="136" customWidth="1"/>
    <col min="11533" max="11533" width="9.1640625" style="136" customWidth="1"/>
    <col min="11534" max="11534" width="10.5" style="136" customWidth="1"/>
    <col min="11535" max="11535" width="22.1640625" style="136" customWidth="1"/>
    <col min="11536" max="11537" width="9.1640625" style="136" customWidth="1"/>
    <col min="11538" max="11538" width="10.5" style="136" customWidth="1"/>
    <col min="11539" max="11777" width="9.1640625" style="136" customWidth="1"/>
    <col min="11778" max="11779" width="4.83203125" style="136" customWidth="1"/>
    <col min="11780" max="11780" width="4.1640625" style="136" customWidth="1"/>
    <col min="11781" max="11781" width="11.1640625" style="136" customWidth="1"/>
    <col min="11782" max="11782" width="25.33203125" style="136" customWidth="1"/>
    <col min="11783" max="11783" width="9.5" style="136" customWidth="1"/>
    <col min="11784" max="11784" width="8.1640625" style="136" customWidth="1"/>
    <col min="11785" max="11785" width="7.83203125" style="136" customWidth="1"/>
    <col min="11786" max="11786" width="14.5" style="136" customWidth="1"/>
    <col min="11787" max="11787" width="6.33203125" style="136" customWidth="1"/>
    <col min="11788" max="11788" width="6.1640625" style="136" customWidth="1"/>
    <col min="11789" max="11789" width="9.1640625" style="136" customWidth="1"/>
    <col min="11790" max="11790" width="10.5" style="136" customWidth="1"/>
    <col min="11791" max="11791" width="22.1640625" style="136" customWidth="1"/>
    <col min="11792" max="11793" width="9.1640625" style="136" customWidth="1"/>
    <col min="11794" max="11794" width="10.5" style="136" customWidth="1"/>
    <col min="11795" max="12033" width="9.1640625" style="136" customWidth="1"/>
    <col min="12034" max="12035" width="4.83203125" style="136" customWidth="1"/>
    <col min="12036" max="12036" width="4.1640625" style="136" customWidth="1"/>
    <col min="12037" max="12037" width="11.1640625" style="136" customWidth="1"/>
    <col min="12038" max="12038" width="25.33203125" style="136" customWidth="1"/>
    <col min="12039" max="12039" width="9.5" style="136" customWidth="1"/>
    <col min="12040" max="12040" width="8.1640625" style="136" customWidth="1"/>
    <col min="12041" max="12041" width="7.83203125" style="136" customWidth="1"/>
    <col min="12042" max="12042" width="14.5" style="136" customWidth="1"/>
    <col min="12043" max="12043" width="6.33203125" style="136" customWidth="1"/>
    <col min="12044" max="12044" width="6.1640625" style="136" customWidth="1"/>
    <col min="12045" max="12045" width="9.1640625" style="136" customWidth="1"/>
    <col min="12046" max="12046" width="10.5" style="136" customWidth="1"/>
    <col min="12047" max="12047" width="22.1640625" style="136" customWidth="1"/>
    <col min="12048" max="12049" width="9.1640625" style="136" customWidth="1"/>
    <col min="12050" max="12050" width="10.5" style="136" customWidth="1"/>
    <col min="12051" max="12289" width="9.1640625" style="136" customWidth="1"/>
    <col min="12290" max="12291" width="4.83203125" style="136" customWidth="1"/>
    <col min="12292" max="12292" width="4.1640625" style="136" customWidth="1"/>
    <col min="12293" max="12293" width="11.1640625" style="136" customWidth="1"/>
    <col min="12294" max="12294" width="25.33203125" style="136" customWidth="1"/>
    <col min="12295" max="12295" width="9.5" style="136" customWidth="1"/>
    <col min="12296" max="12296" width="8.1640625" style="136" customWidth="1"/>
    <col min="12297" max="12297" width="7.83203125" style="136" customWidth="1"/>
    <col min="12298" max="12298" width="14.5" style="136" customWidth="1"/>
    <col min="12299" max="12299" width="6.33203125" style="136" customWidth="1"/>
    <col min="12300" max="12300" width="6.1640625" style="136" customWidth="1"/>
    <col min="12301" max="12301" width="9.1640625" style="136" customWidth="1"/>
    <col min="12302" max="12302" width="10.5" style="136" customWidth="1"/>
    <col min="12303" max="12303" width="22.1640625" style="136" customWidth="1"/>
    <col min="12304" max="12305" width="9.1640625" style="136" customWidth="1"/>
    <col min="12306" max="12306" width="10.5" style="136" customWidth="1"/>
    <col min="12307" max="12545" width="9.1640625" style="136" customWidth="1"/>
    <col min="12546" max="12547" width="4.83203125" style="136" customWidth="1"/>
    <col min="12548" max="12548" width="4.1640625" style="136" customWidth="1"/>
    <col min="12549" max="12549" width="11.1640625" style="136" customWidth="1"/>
    <col min="12550" max="12550" width="25.33203125" style="136" customWidth="1"/>
    <col min="12551" max="12551" width="9.5" style="136" customWidth="1"/>
    <col min="12552" max="12552" width="8.1640625" style="136" customWidth="1"/>
    <col min="12553" max="12553" width="7.83203125" style="136" customWidth="1"/>
    <col min="12554" max="12554" width="14.5" style="136" customWidth="1"/>
    <col min="12555" max="12555" width="6.33203125" style="136" customWidth="1"/>
    <col min="12556" max="12556" width="6.1640625" style="136" customWidth="1"/>
    <col min="12557" max="12557" width="9.1640625" style="136" customWidth="1"/>
    <col min="12558" max="12558" width="10.5" style="136" customWidth="1"/>
    <col min="12559" max="12559" width="22.1640625" style="136" customWidth="1"/>
    <col min="12560" max="12561" width="9.1640625" style="136" customWidth="1"/>
    <col min="12562" max="12562" width="10.5" style="136" customWidth="1"/>
    <col min="12563" max="12801" width="9.1640625" style="136" customWidth="1"/>
    <col min="12802" max="12803" width="4.83203125" style="136" customWidth="1"/>
    <col min="12804" max="12804" width="4.1640625" style="136" customWidth="1"/>
    <col min="12805" max="12805" width="11.1640625" style="136" customWidth="1"/>
    <col min="12806" max="12806" width="25.33203125" style="136" customWidth="1"/>
    <col min="12807" max="12807" width="9.5" style="136" customWidth="1"/>
    <col min="12808" max="12808" width="8.1640625" style="136" customWidth="1"/>
    <col min="12809" max="12809" width="7.83203125" style="136" customWidth="1"/>
    <col min="12810" max="12810" width="14.5" style="136" customWidth="1"/>
    <col min="12811" max="12811" width="6.33203125" style="136" customWidth="1"/>
    <col min="12812" max="12812" width="6.1640625" style="136" customWidth="1"/>
    <col min="12813" max="12813" width="9.1640625" style="136" customWidth="1"/>
    <col min="12814" max="12814" width="10.5" style="136" customWidth="1"/>
    <col min="12815" max="12815" width="22.1640625" style="136" customWidth="1"/>
    <col min="12816" max="12817" width="9.1640625" style="136" customWidth="1"/>
    <col min="12818" max="12818" width="10.5" style="136" customWidth="1"/>
    <col min="12819" max="13057" width="9.1640625" style="136" customWidth="1"/>
    <col min="13058" max="13059" width="4.83203125" style="136" customWidth="1"/>
    <col min="13060" max="13060" width="4.1640625" style="136" customWidth="1"/>
    <col min="13061" max="13061" width="11.1640625" style="136" customWidth="1"/>
    <col min="13062" max="13062" width="25.33203125" style="136" customWidth="1"/>
    <col min="13063" max="13063" width="9.5" style="136" customWidth="1"/>
    <col min="13064" max="13064" width="8.1640625" style="136" customWidth="1"/>
    <col min="13065" max="13065" width="7.83203125" style="136" customWidth="1"/>
    <col min="13066" max="13066" width="14.5" style="136" customWidth="1"/>
    <col min="13067" max="13067" width="6.33203125" style="136" customWidth="1"/>
    <col min="13068" max="13068" width="6.1640625" style="136" customWidth="1"/>
    <col min="13069" max="13069" width="9.1640625" style="136" customWidth="1"/>
    <col min="13070" max="13070" width="10.5" style="136" customWidth="1"/>
    <col min="13071" max="13071" width="22.1640625" style="136" customWidth="1"/>
    <col min="13072" max="13073" width="9.1640625" style="136" customWidth="1"/>
    <col min="13074" max="13074" width="10.5" style="136" customWidth="1"/>
    <col min="13075" max="13313" width="9.1640625" style="136" customWidth="1"/>
    <col min="13314" max="13315" width="4.83203125" style="136" customWidth="1"/>
    <col min="13316" max="13316" width="4.1640625" style="136" customWidth="1"/>
    <col min="13317" max="13317" width="11.1640625" style="136" customWidth="1"/>
    <col min="13318" max="13318" width="25.33203125" style="136" customWidth="1"/>
    <col min="13319" max="13319" width="9.5" style="136" customWidth="1"/>
    <col min="13320" max="13320" width="8.1640625" style="136" customWidth="1"/>
    <col min="13321" max="13321" width="7.83203125" style="136" customWidth="1"/>
    <col min="13322" max="13322" width="14.5" style="136" customWidth="1"/>
    <col min="13323" max="13323" width="6.33203125" style="136" customWidth="1"/>
    <col min="13324" max="13324" width="6.1640625" style="136" customWidth="1"/>
    <col min="13325" max="13325" width="9.1640625" style="136" customWidth="1"/>
    <col min="13326" max="13326" width="10.5" style="136" customWidth="1"/>
    <col min="13327" max="13327" width="22.1640625" style="136" customWidth="1"/>
    <col min="13328" max="13329" width="9.1640625" style="136" customWidth="1"/>
    <col min="13330" max="13330" width="10.5" style="136" customWidth="1"/>
    <col min="13331" max="13569" width="9.1640625" style="136" customWidth="1"/>
    <col min="13570" max="13571" width="4.83203125" style="136" customWidth="1"/>
    <col min="13572" max="13572" width="4.1640625" style="136" customWidth="1"/>
    <col min="13573" max="13573" width="11.1640625" style="136" customWidth="1"/>
    <col min="13574" max="13574" width="25.33203125" style="136" customWidth="1"/>
    <col min="13575" max="13575" width="9.5" style="136" customWidth="1"/>
    <col min="13576" max="13576" width="8.1640625" style="136" customWidth="1"/>
    <col min="13577" max="13577" width="7.83203125" style="136" customWidth="1"/>
    <col min="13578" max="13578" width="14.5" style="136" customWidth="1"/>
    <col min="13579" max="13579" width="6.33203125" style="136" customWidth="1"/>
    <col min="13580" max="13580" width="6.1640625" style="136" customWidth="1"/>
    <col min="13581" max="13581" width="9.1640625" style="136" customWidth="1"/>
    <col min="13582" max="13582" width="10.5" style="136" customWidth="1"/>
    <col min="13583" max="13583" width="22.1640625" style="136" customWidth="1"/>
    <col min="13584" max="13585" width="9.1640625" style="136" customWidth="1"/>
    <col min="13586" max="13586" width="10.5" style="136" customWidth="1"/>
    <col min="13587" max="13825" width="9.1640625" style="136" customWidth="1"/>
    <col min="13826" max="13827" width="4.83203125" style="136" customWidth="1"/>
    <col min="13828" max="13828" width="4.1640625" style="136" customWidth="1"/>
    <col min="13829" max="13829" width="11.1640625" style="136" customWidth="1"/>
    <col min="13830" max="13830" width="25.33203125" style="136" customWidth="1"/>
    <col min="13831" max="13831" width="9.5" style="136" customWidth="1"/>
    <col min="13832" max="13832" width="8.1640625" style="136" customWidth="1"/>
    <col min="13833" max="13833" width="7.83203125" style="136" customWidth="1"/>
    <col min="13834" max="13834" width="14.5" style="136" customWidth="1"/>
    <col min="13835" max="13835" width="6.33203125" style="136" customWidth="1"/>
    <col min="13836" max="13836" width="6.1640625" style="136" customWidth="1"/>
    <col min="13837" max="13837" width="9.1640625" style="136" customWidth="1"/>
    <col min="13838" max="13838" width="10.5" style="136" customWidth="1"/>
    <col min="13839" max="13839" width="22.1640625" style="136" customWidth="1"/>
    <col min="13840" max="13841" width="9.1640625" style="136" customWidth="1"/>
    <col min="13842" max="13842" width="10.5" style="136" customWidth="1"/>
    <col min="13843" max="14081" width="9.1640625" style="136" customWidth="1"/>
    <col min="14082" max="14083" width="4.83203125" style="136" customWidth="1"/>
    <col min="14084" max="14084" width="4.1640625" style="136" customWidth="1"/>
    <col min="14085" max="14085" width="11.1640625" style="136" customWidth="1"/>
    <col min="14086" max="14086" width="25.33203125" style="136" customWidth="1"/>
    <col min="14087" max="14087" width="9.5" style="136" customWidth="1"/>
    <col min="14088" max="14088" width="8.1640625" style="136" customWidth="1"/>
    <col min="14089" max="14089" width="7.83203125" style="136" customWidth="1"/>
    <col min="14090" max="14090" width="14.5" style="136" customWidth="1"/>
    <col min="14091" max="14091" width="6.33203125" style="136" customWidth="1"/>
    <col min="14092" max="14092" width="6.1640625" style="136" customWidth="1"/>
    <col min="14093" max="14093" width="9.1640625" style="136" customWidth="1"/>
    <col min="14094" max="14094" width="10.5" style="136" customWidth="1"/>
    <col min="14095" max="14095" width="22.1640625" style="136" customWidth="1"/>
    <col min="14096" max="14097" width="9.1640625" style="136" customWidth="1"/>
    <col min="14098" max="14098" width="10.5" style="136" customWidth="1"/>
    <col min="14099" max="14337" width="9.1640625" style="136" customWidth="1"/>
    <col min="14338" max="14339" width="4.83203125" style="136" customWidth="1"/>
    <col min="14340" max="14340" width="4.1640625" style="136" customWidth="1"/>
    <col min="14341" max="14341" width="11.1640625" style="136" customWidth="1"/>
    <col min="14342" max="14342" width="25.33203125" style="136" customWidth="1"/>
    <col min="14343" max="14343" width="9.5" style="136" customWidth="1"/>
    <col min="14344" max="14344" width="8.1640625" style="136" customWidth="1"/>
    <col min="14345" max="14345" width="7.83203125" style="136" customWidth="1"/>
    <col min="14346" max="14346" width="14.5" style="136" customWidth="1"/>
    <col min="14347" max="14347" width="6.33203125" style="136" customWidth="1"/>
    <col min="14348" max="14348" width="6.1640625" style="136" customWidth="1"/>
    <col min="14349" max="14349" width="9.1640625" style="136" customWidth="1"/>
    <col min="14350" max="14350" width="10.5" style="136" customWidth="1"/>
    <col min="14351" max="14351" width="22.1640625" style="136" customWidth="1"/>
    <col min="14352" max="14353" width="9.1640625" style="136" customWidth="1"/>
    <col min="14354" max="14354" width="10.5" style="136" customWidth="1"/>
    <col min="14355" max="14593" width="9.1640625" style="136" customWidth="1"/>
    <col min="14594" max="14595" width="4.83203125" style="136" customWidth="1"/>
    <col min="14596" max="14596" width="4.1640625" style="136" customWidth="1"/>
    <col min="14597" max="14597" width="11.1640625" style="136" customWidth="1"/>
    <col min="14598" max="14598" width="25.33203125" style="136" customWidth="1"/>
    <col min="14599" max="14599" width="9.5" style="136" customWidth="1"/>
    <col min="14600" max="14600" width="8.1640625" style="136" customWidth="1"/>
    <col min="14601" max="14601" width="7.83203125" style="136" customWidth="1"/>
    <col min="14602" max="14602" width="14.5" style="136" customWidth="1"/>
    <col min="14603" max="14603" width="6.33203125" style="136" customWidth="1"/>
    <col min="14604" max="14604" width="6.1640625" style="136" customWidth="1"/>
    <col min="14605" max="14605" width="9.1640625" style="136" customWidth="1"/>
    <col min="14606" max="14606" width="10.5" style="136" customWidth="1"/>
    <col min="14607" max="14607" width="22.1640625" style="136" customWidth="1"/>
    <col min="14608" max="14609" width="9.1640625" style="136" customWidth="1"/>
    <col min="14610" max="14610" width="10.5" style="136" customWidth="1"/>
    <col min="14611" max="14849" width="9.1640625" style="136" customWidth="1"/>
    <col min="14850" max="14851" width="4.83203125" style="136" customWidth="1"/>
    <col min="14852" max="14852" width="4.1640625" style="136" customWidth="1"/>
    <col min="14853" max="14853" width="11.1640625" style="136" customWidth="1"/>
    <col min="14854" max="14854" width="25.33203125" style="136" customWidth="1"/>
    <col min="14855" max="14855" width="9.5" style="136" customWidth="1"/>
    <col min="14856" max="14856" width="8.1640625" style="136" customWidth="1"/>
    <col min="14857" max="14857" width="7.83203125" style="136" customWidth="1"/>
    <col min="14858" max="14858" width="14.5" style="136" customWidth="1"/>
    <col min="14859" max="14859" width="6.33203125" style="136" customWidth="1"/>
    <col min="14860" max="14860" width="6.1640625" style="136" customWidth="1"/>
    <col min="14861" max="14861" width="9.1640625" style="136" customWidth="1"/>
    <col min="14862" max="14862" width="10.5" style="136" customWidth="1"/>
    <col min="14863" max="14863" width="22.1640625" style="136" customWidth="1"/>
    <col min="14864" max="14865" width="9.1640625" style="136" customWidth="1"/>
    <col min="14866" max="14866" width="10.5" style="136" customWidth="1"/>
    <col min="14867" max="15105" width="9.1640625" style="136" customWidth="1"/>
    <col min="15106" max="15107" width="4.83203125" style="136" customWidth="1"/>
    <col min="15108" max="15108" width="4.1640625" style="136" customWidth="1"/>
    <col min="15109" max="15109" width="11.1640625" style="136" customWidth="1"/>
    <col min="15110" max="15110" width="25.33203125" style="136" customWidth="1"/>
    <col min="15111" max="15111" width="9.5" style="136" customWidth="1"/>
    <col min="15112" max="15112" width="8.1640625" style="136" customWidth="1"/>
    <col min="15113" max="15113" width="7.83203125" style="136" customWidth="1"/>
    <col min="15114" max="15114" width="14.5" style="136" customWidth="1"/>
    <col min="15115" max="15115" width="6.33203125" style="136" customWidth="1"/>
    <col min="15116" max="15116" width="6.1640625" style="136" customWidth="1"/>
    <col min="15117" max="15117" width="9.1640625" style="136" customWidth="1"/>
    <col min="15118" max="15118" width="10.5" style="136" customWidth="1"/>
    <col min="15119" max="15119" width="22.1640625" style="136" customWidth="1"/>
    <col min="15120" max="15121" width="9.1640625" style="136" customWidth="1"/>
    <col min="15122" max="15122" width="10.5" style="136" customWidth="1"/>
    <col min="15123" max="15361" width="9.1640625" style="136" customWidth="1"/>
    <col min="15362" max="15363" width="4.83203125" style="136" customWidth="1"/>
    <col min="15364" max="15364" width="4.1640625" style="136" customWidth="1"/>
    <col min="15365" max="15365" width="11.1640625" style="136" customWidth="1"/>
    <col min="15366" max="15366" width="25.33203125" style="136" customWidth="1"/>
    <col min="15367" max="15367" width="9.5" style="136" customWidth="1"/>
    <col min="15368" max="15368" width="8.1640625" style="136" customWidth="1"/>
    <col min="15369" max="15369" width="7.83203125" style="136" customWidth="1"/>
    <col min="15370" max="15370" width="14.5" style="136" customWidth="1"/>
    <col min="15371" max="15371" width="6.33203125" style="136" customWidth="1"/>
    <col min="15372" max="15372" width="6.1640625" style="136" customWidth="1"/>
    <col min="15373" max="15373" width="9.1640625" style="136" customWidth="1"/>
    <col min="15374" max="15374" width="10.5" style="136" customWidth="1"/>
    <col min="15375" max="15375" width="22.1640625" style="136" customWidth="1"/>
    <col min="15376" max="15377" width="9.1640625" style="136" customWidth="1"/>
    <col min="15378" max="15378" width="10.5" style="136" customWidth="1"/>
    <col min="15379" max="15617" width="9.1640625" style="136" customWidth="1"/>
    <col min="15618" max="15619" width="4.83203125" style="136" customWidth="1"/>
    <col min="15620" max="15620" width="4.1640625" style="136" customWidth="1"/>
    <col min="15621" max="15621" width="11.1640625" style="136" customWidth="1"/>
    <col min="15622" max="15622" width="25.33203125" style="136" customWidth="1"/>
    <col min="15623" max="15623" width="9.5" style="136" customWidth="1"/>
    <col min="15624" max="15624" width="8.1640625" style="136" customWidth="1"/>
    <col min="15625" max="15625" width="7.83203125" style="136" customWidth="1"/>
    <col min="15626" max="15626" width="14.5" style="136" customWidth="1"/>
    <col min="15627" max="15627" width="6.33203125" style="136" customWidth="1"/>
    <col min="15628" max="15628" width="6.1640625" style="136" customWidth="1"/>
    <col min="15629" max="15629" width="9.1640625" style="136" customWidth="1"/>
    <col min="15630" max="15630" width="10.5" style="136" customWidth="1"/>
    <col min="15631" max="15631" width="22.1640625" style="136" customWidth="1"/>
    <col min="15632" max="15633" width="9.1640625" style="136" customWidth="1"/>
    <col min="15634" max="15634" width="10.5" style="136" customWidth="1"/>
    <col min="15635" max="15873" width="9.1640625" style="136" customWidth="1"/>
    <col min="15874" max="15875" width="4.83203125" style="136" customWidth="1"/>
    <col min="15876" max="15876" width="4.1640625" style="136" customWidth="1"/>
    <col min="15877" max="15877" width="11.1640625" style="136" customWidth="1"/>
    <col min="15878" max="15878" width="25.33203125" style="136" customWidth="1"/>
    <col min="15879" max="15879" width="9.5" style="136" customWidth="1"/>
    <col min="15880" max="15880" width="8.1640625" style="136" customWidth="1"/>
    <col min="15881" max="15881" width="7.83203125" style="136" customWidth="1"/>
    <col min="15882" max="15882" width="14.5" style="136" customWidth="1"/>
    <col min="15883" max="15883" width="6.33203125" style="136" customWidth="1"/>
    <col min="15884" max="15884" width="6.1640625" style="136" customWidth="1"/>
    <col min="15885" max="15885" width="9.1640625" style="136" customWidth="1"/>
    <col min="15886" max="15886" width="10.5" style="136" customWidth="1"/>
    <col min="15887" max="15887" width="22.1640625" style="136" customWidth="1"/>
    <col min="15888" max="15889" width="9.1640625" style="136" customWidth="1"/>
    <col min="15890" max="15890" width="10.5" style="136" customWidth="1"/>
    <col min="15891" max="16129" width="9.1640625" style="136" customWidth="1"/>
    <col min="16130" max="16131" width="4.83203125" style="136" customWidth="1"/>
    <col min="16132" max="16132" width="4.1640625" style="136" customWidth="1"/>
    <col min="16133" max="16133" width="11.1640625" style="136" customWidth="1"/>
    <col min="16134" max="16134" width="25.33203125" style="136" customWidth="1"/>
    <col min="16135" max="16135" width="9.5" style="136" customWidth="1"/>
    <col min="16136" max="16136" width="8.1640625" style="136" customWidth="1"/>
    <col min="16137" max="16137" width="7.83203125" style="136" customWidth="1"/>
    <col min="16138" max="16138" width="14.5" style="136" customWidth="1"/>
    <col min="16139" max="16139" width="6.33203125" style="136" customWidth="1"/>
    <col min="16140" max="16140" width="6.1640625" style="136" customWidth="1"/>
    <col min="16141" max="16141" width="9.1640625" style="136" customWidth="1"/>
    <col min="16142" max="16142" width="10.5" style="136" customWidth="1"/>
    <col min="16143" max="16143" width="22.1640625" style="136" customWidth="1"/>
    <col min="16144" max="16145" width="9.1640625" style="136" customWidth="1"/>
    <col min="16146" max="16146" width="10.5" style="136" customWidth="1"/>
    <col min="16147" max="16384" width="9.1640625" style="136" customWidth="1"/>
  </cols>
  <sheetData>
    <row r="1" spans="1:12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ht="13.5" customHeight="1" spans="1:12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ht="16.5" customHeight="1" spans="1:12" x14ac:dyDescent="0.2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ht="17.25" customHeight="1" spans="1:16" s="139" customFormat="1" x14ac:dyDescent="0.25">
      <c r="A5" s="140" t="s">
        <v>374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39"/>
      <c r="N5" s="139"/>
      <c r="O5" s="139"/>
      <c r="P5" s="142"/>
    </row>
    <row r="6" ht="17.25" customHeight="1" spans="1:21" s="139" customFormat="1" x14ac:dyDescent="0.25">
      <c r="A6" s="140" t="s">
        <v>375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39"/>
      <c r="N6" s="139"/>
      <c r="O6" s="139"/>
      <c r="P6" s="142"/>
      <c r="Q6" s="139"/>
      <c r="R6" s="139"/>
      <c r="S6" s="143"/>
      <c r="T6" s="143"/>
      <c r="U6" s="143"/>
    </row>
    <row r="7" ht="18.75" customHeight="1" spans="1:21" s="139" customFormat="1" x14ac:dyDescent="0.25">
      <c r="A7" s="144" t="s">
        <v>376</v>
      </c>
      <c r="B7" s="145"/>
      <c r="C7" s="145"/>
      <c r="D7" s="145"/>
      <c r="E7" s="145"/>
      <c r="F7" s="144"/>
      <c r="G7" s="141"/>
      <c r="H7" s="141"/>
      <c r="I7" s="141"/>
      <c r="J7" s="141"/>
      <c r="K7" s="145"/>
      <c r="L7" s="145"/>
      <c r="M7" s="139"/>
      <c r="N7" s="139"/>
      <c r="O7" s="139"/>
      <c r="P7" s="142"/>
      <c r="Q7" s="139"/>
      <c r="R7" s="139"/>
      <c r="S7" s="143"/>
      <c r="T7" s="143"/>
      <c r="U7" s="143"/>
    </row>
    <row r="8" ht="16.5" customHeight="1" spans="1:21" s="139" customFormat="1" x14ac:dyDescent="0.25">
      <c r="A8" s="144" t="s">
        <v>377</v>
      </c>
      <c r="B8" s="145"/>
      <c r="C8" s="145"/>
      <c r="D8" s="145"/>
      <c r="E8" s="145"/>
      <c r="F8" s="144"/>
      <c r="G8" s="145" t="s">
        <v>378</v>
      </c>
      <c r="H8" s="145"/>
      <c r="I8" s="145"/>
      <c r="J8" s="146" t="s">
        <v>379</v>
      </c>
      <c r="K8" s="146"/>
      <c r="L8" s="146"/>
      <c r="M8" s="139"/>
      <c r="N8" s="139"/>
      <c r="O8" s="139"/>
      <c r="P8" s="142"/>
      <c r="Q8" s="139"/>
      <c r="R8" s="139"/>
      <c r="S8" s="143"/>
      <c r="T8" s="143"/>
      <c r="U8" s="143"/>
    </row>
    <row r="9" ht="31.5" customHeight="1" spans="1:21" s="147" customFormat="1" x14ac:dyDescent="0.25">
      <c r="A9" s="102" t="s">
        <v>380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7"/>
      <c r="N9" s="147"/>
      <c r="O9" s="149"/>
      <c r="P9" s="150"/>
      <c r="Q9" s="147"/>
      <c r="R9" s="147"/>
      <c r="S9" s="143"/>
      <c r="T9" s="143"/>
      <c r="U9" s="143"/>
    </row>
    <row r="10" ht="31.5" customHeight="1" spans="1:24" x14ac:dyDescent="0.25">
      <c r="A10" s="151" t="s">
        <v>381</v>
      </c>
      <c r="B10" s="152"/>
      <c r="C10" s="152"/>
      <c r="D10" s="152"/>
      <c r="E10" s="146" t="s">
        <v>382</v>
      </c>
      <c r="F10" s="153">
        <f>IF(OR(VLOOKUP($F$12,'Sem1-2'!$B$7:$ZZ$37,2,FALSE)="ຊາຍ", VLOOKUP($F$12,'Sem1-2'!$B$7:$ZZ$37,2,FALSE)="ທ້າວ"),"ທ້າວ","ນາງ")&amp;" "&amp;VLOOKUP($F$12,'Sem1-2'!$B$7:$ZZ$37,3,FALSE)&amp;" "&amp;VLOOKUP($F$12,'Sem1-2'!$B$7:$ZZ$37,4,FALSE)</f>
      </c>
      <c r="G10" s="154"/>
      <c r="H10" s="154"/>
      <c r="I10" s="155" t="s">
        <v>15</v>
      </c>
      <c r="J10" s="155"/>
      <c r="K10" s="146" t="s">
        <v>383</v>
      </c>
      <c r="L10" s="146"/>
      <c r="M10" s="136"/>
      <c r="N10" s="156"/>
      <c r="O10" s="156"/>
      <c r="P10" s="156"/>
      <c r="Q10" s="156"/>
      <c r="R10" s="157"/>
      <c r="S10" s="47"/>
      <c r="T10" s="47"/>
      <c r="U10" s="156"/>
      <c r="V10" s="158"/>
      <c r="W10" s="158"/>
      <c r="X10" s="158"/>
    </row>
    <row r="11" ht="31.5" customHeight="1" spans="1:24" x14ac:dyDescent="0.25">
      <c r="A11" s="151" t="s">
        <v>384</v>
      </c>
      <c r="B11" s="152"/>
      <c r="C11" s="152"/>
      <c r="D11" s="152"/>
      <c r="E11" s="145" t="s">
        <v>382</v>
      </c>
      <c r="F11" s="159">
        <f>VLOOKUP($F$12,'Sem1-2'!$B$7:$ZZ$37,7,FALSE)</f>
      </c>
      <c r="G11" s="145"/>
      <c r="H11" s="145"/>
      <c r="I11" s="155" t="s">
        <v>385</v>
      </c>
      <c r="J11" s="155"/>
      <c r="K11" s="146" t="s">
        <v>386</v>
      </c>
      <c r="L11" s="146"/>
      <c r="M11" s="136"/>
      <c r="N11" s="156"/>
      <c r="O11" s="156"/>
      <c r="P11" s="156"/>
      <c r="Q11" s="156"/>
      <c r="R11" s="160"/>
      <c r="S11" s="47"/>
      <c r="T11" s="47"/>
      <c r="U11" s="156"/>
      <c r="V11" s="158"/>
      <c r="W11" s="158"/>
      <c r="X11" s="158"/>
    </row>
    <row r="12" ht="31.5" customHeight="1" spans="1:24" s="161" customFormat="1" x14ac:dyDescent="0.25">
      <c r="A12" s="151" t="s">
        <v>387</v>
      </c>
      <c r="B12" s="146"/>
      <c r="C12" s="146"/>
      <c r="D12" s="146"/>
      <c r="E12" s="145" t="s">
        <v>382</v>
      </c>
      <c r="F12" s="145" t="s">
        <v>117</v>
      </c>
      <c r="G12" s="145"/>
      <c r="H12" s="145"/>
      <c r="I12" s="155" t="s">
        <v>388</v>
      </c>
      <c r="J12" s="155"/>
      <c r="K12" s="146" t="str">
        <f>": "&amp;G33</f>
        <v>: 31</v>
      </c>
      <c r="L12" s="146"/>
      <c r="M12" s="161"/>
      <c r="N12" s="156"/>
      <c r="O12" s="156"/>
      <c r="P12" s="156"/>
      <c r="Q12" s="47"/>
      <c r="R12" s="158"/>
      <c r="S12" s="47"/>
      <c r="T12" s="47"/>
      <c r="U12" s="156"/>
      <c r="V12" s="156"/>
      <c r="W12" s="162"/>
      <c r="X12" s="163"/>
    </row>
    <row r="13" ht="31.5" customHeight="1" spans="1:24" s="161" customFormat="1" x14ac:dyDescent="0.25">
      <c r="A13" s="164" t="s">
        <v>389</v>
      </c>
      <c r="B13" s="165"/>
      <c r="C13" s="165"/>
      <c r="D13" s="165"/>
      <c r="E13" s="166" t="s">
        <v>382</v>
      </c>
      <c r="F13" s="167" t="s">
        <v>390</v>
      </c>
      <c r="G13" s="166"/>
      <c r="H13" s="166"/>
      <c r="I13" s="168" t="s">
        <v>391</v>
      </c>
      <c r="J13" s="168"/>
      <c r="K13" s="169" t="s">
        <v>392</v>
      </c>
      <c r="L13" s="169"/>
      <c r="M13" s="161"/>
      <c r="N13" s="170"/>
      <c r="O13" s="170"/>
      <c r="P13" s="47"/>
      <c r="Q13" s="47"/>
      <c r="R13" s="151"/>
      <c r="S13" s="47"/>
      <c r="T13" s="47"/>
      <c r="U13" s="171"/>
      <c r="V13" s="171"/>
      <c r="W13" s="163"/>
      <c r="X13" s="171"/>
    </row>
    <row r="14" ht="30" customHeight="1" spans="1:21" x14ac:dyDescent="0.25">
      <c r="A14" s="172" t="s">
        <v>393</v>
      </c>
      <c r="B14" s="173"/>
      <c r="C14" s="174">
        <v>1</v>
      </c>
      <c r="D14" s="175" t="s">
        <v>394</v>
      </c>
      <c r="E14" s="174" t="s">
        <v>395</v>
      </c>
      <c r="F14" s="176"/>
      <c r="G14" s="177" t="s">
        <v>388</v>
      </c>
      <c r="H14" s="178">
        <f>VLOOKUP($F$12,'Sem1-2'!$B$7:$ZZ$37,NaN,FALSE)</f>
      </c>
      <c r="I14" s="179">
        <f>IF(H15&gt;=91, 4.00, IF(H15&gt;=81, 3.50, IF(H15&gt;=70, 3.00, IF(H15&gt;=65, 2.50, IF(H15&gt;=60, 2.00, IF(H15&gt;=55, 1.50, IF(H15&gt;=50, 1.00, 0.00)))))))</f>
      </c>
      <c r="J14" s="175">
        <f>IF(H15&gt;=91,"A",IF(H15&gt;=81,"B+",IF(H15&gt;=70,"B",IF(H15&gt;=65,"C+",IF(H15&gt;=60,"C",IF(H15&gt;=55,"D+",IF(H15&gt;=50,"D","F")))))))</f>
      </c>
      <c r="K14" s="175" t="s">
        <v>396</v>
      </c>
      <c r="L14" s="175" t="s">
        <v>397</v>
      </c>
      <c r="M14" s="136"/>
      <c r="N14" s="136"/>
      <c r="O14" s="180"/>
      <c r="P14" s="137"/>
      <c r="Q14" s="136"/>
      <c r="R14" s="136"/>
      <c r="S14" s="181"/>
      <c r="T14" s="181"/>
      <c r="U14" s="181"/>
    </row>
    <row r="15" ht="19" customHeight="1" spans="1:43" s="182" customFormat="1" x14ac:dyDescent="0.25">
      <c r="A15" s="183"/>
      <c r="B15" s="184"/>
      <c r="C15" s="185"/>
      <c r="D15" s="186"/>
      <c r="E15" s="185"/>
      <c r="F15" s="187"/>
      <c r="G15" s="188">
        <v>3</v>
      </c>
      <c r="H15" s="189"/>
      <c r="I15" s="190"/>
      <c r="J15" s="186"/>
      <c r="K15" s="186"/>
      <c r="L15" s="186"/>
      <c r="M15" s="136"/>
      <c r="N15" s="136"/>
      <c r="O15" s="180"/>
      <c r="P15" s="137"/>
      <c r="Q15" s="136"/>
      <c r="R15" s="136"/>
      <c r="S15" s="181"/>
      <c r="T15" s="181"/>
      <c r="U15" s="181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ht="19" customHeight="1" spans="1:15" x14ac:dyDescent="0.25">
      <c r="A16" s="183"/>
      <c r="B16" s="184"/>
      <c r="C16" s="185">
        <v>2</v>
      </c>
      <c r="D16" s="191" t="s">
        <v>398</v>
      </c>
      <c r="E16" s="185" t="s">
        <v>399</v>
      </c>
      <c r="F16" s="187"/>
      <c r="G16" s="188">
        <v>2</v>
      </c>
      <c r="H16" s="189">
        <f>VLOOKUP($F$12,'Sem1-2'!$B$7:$ZZ$37,NaN,FALSE)</f>
      </c>
      <c r="I16" s="190">
        <f>IF(H16&gt;=91, 4.00, IF(H16&gt;=81, 3.50, IF(H16&gt;=70, 3.00, IF(H16&gt;=65, 2.50, IF(H16&gt;=60, 2.00, IF(H16&gt;=55, 1.50, IF(H16&gt;=50, 1.00, 0.00)))))))</f>
      </c>
      <c r="J16" s="186">
        <f>IF(H16&gt;=91,"A",IF(H16&gt;=81,"B+",IF(H16&gt;=70,"B",IF(H16&gt;=65,"C+",IF(H16&gt;=60,"C",IF(H16&gt;=55,"D+",IF(H16&gt;=50,"D","F")))))))</f>
      </c>
      <c r="K16" s="191"/>
      <c r="L16" s="191"/>
      <c r="M16" s="136"/>
      <c r="N16" s="136"/>
      <c r="O16" s="180"/>
    </row>
    <row r="17" ht="19" customHeight="1" spans="1:15" x14ac:dyDescent="0.25">
      <c r="A17" s="183"/>
      <c r="B17" s="184"/>
      <c r="C17" s="185">
        <v>3</v>
      </c>
      <c r="D17" s="191" t="s">
        <v>400</v>
      </c>
      <c r="E17" s="185" t="s">
        <v>401</v>
      </c>
      <c r="F17" s="187"/>
      <c r="G17" s="188">
        <v>1</v>
      </c>
      <c r="H17" s="189">
        <f>VLOOKUP($F$12,'Sem1-2'!$B$7:$ZZ$37,NaN,FALSE)</f>
      </c>
      <c r="I17" s="190">
        <f>IF(H17&gt;=91, 4.00, IF(H17&gt;=81, 3.50, IF(H17&gt;=70, 3.00, IF(H17&gt;=65, 2.50, IF(H17&gt;=60, 2.00, IF(H17&gt;=55, 1.50, IF(H17&gt;=50, 1.00, 0.00)))))))</f>
      </c>
      <c r="J17" s="186">
        <f>IF(H17&gt;=91,"A",IF(H17&gt;=81,"B+",IF(H17&gt;=70,"B",IF(H17&gt;=65,"C+",IF(H17&gt;=60,"C",IF(H17&gt;=55,"D+",IF(H17&gt;=50,"D","F")))))))</f>
      </c>
      <c r="K17" s="191"/>
      <c r="L17" s="191"/>
      <c r="M17" s="136"/>
      <c r="N17" s="136"/>
      <c r="O17" s="180"/>
    </row>
    <row r="18" ht="19" customHeight="1" spans="1:15" x14ac:dyDescent="0.25">
      <c r="A18" s="183"/>
      <c r="B18" s="184"/>
      <c r="C18" s="185">
        <v>4</v>
      </c>
      <c r="D18" s="191" t="s">
        <v>402</v>
      </c>
      <c r="E18" s="185" t="s">
        <v>403</v>
      </c>
      <c r="F18" s="187"/>
      <c r="G18" s="188">
        <v>2</v>
      </c>
      <c r="H18" s="189">
        <f>VLOOKUP($F$12,'Sem1-2'!$B$7:$ZZ$37,NaN,FALSE)</f>
      </c>
      <c r="I18" s="190">
        <f>IF(H18&gt;=91, 4.00, IF(H18&gt;=81, 3.50, IF(H18&gt;=70, 3.00, IF(H18&gt;=65, 2.50, IF(H18&gt;=60, 2.00, IF(H18&gt;=55, 1.50, IF(H18&gt;=50, 1.00, 0.00)))))))</f>
      </c>
      <c r="J18" s="186">
        <f>IF(H18&gt;=91,"A",IF(H18&gt;=81,"B+",IF(H18&gt;=70,"B",IF(H18&gt;=65,"C+",IF(H18&gt;=60,"C",IF(H18&gt;=55,"D+",IF(H18&gt;=50,"D","F")))))))</f>
      </c>
      <c r="K18" s="191"/>
      <c r="L18" s="191"/>
      <c r="M18" s="136"/>
      <c r="N18" s="136"/>
      <c r="O18" s="180"/>
    </row>
    <row r="19" ht="19" customHeight="1" spans="1:15" x14ac:dyDescent="0.25">
      <c r="A19" s="183"/>
      <c r="B19" s="184"/>
      <c r="C19" s="185">
        <v>5</v>
      </c>
      <c r="D19" s="191" t="s">
        <v>404</v>
      </c>
      <c r="E19" s="185" t="s">
        <v>405</v>
      </c>
      <c r="F19" s="187"/>
      <c r="G19" s="188">
        <v>1</v>
      </c>
      <c r="H19" s="189">
        <f>VLOOKUP($F$12,'Sem1-2'!$B$7:$ZZ$37,NaN,FALSE)</f>
      </c>
      <c r="I19" s="190">
        <f>IF(H19&gt;=91, 4.00, IF(H19&gt;=81, 3.50, IF(H19&gt;=70, 3.00, IF(H19&gt;=65, 2.50, IF(H19&gt;=60, 2.00, IF(H19&gt;=55, 1.50, IF(H19&gt;=50, 1.00, 0.00)))))))</f>
      </c>
      <c r="J19" s="186">
        <f>IF(H19&gt;=91,"A",IF(H19&gt;=81,"B+",IF(H19&gt;=70,"B",IF(H19&gt;=65,"C+",IF(H19&gt;=60,"C",IF(H19&gt;=55,"D+",IF(H19&gt;=50,"D","F")))))))</f>
      </c>
      <c r="K19" s="191"/>
      <c r="L19" s="191"/>
      <c r="M19" s="136"/>
      <c r="N19" s="136"/>
      <c r="O19" s="180"/>
    </row>
    <row r="20" ht="19" customHeight="1" spans="1:15" x14ac:dyDescent="0.25">
      <c r="A20" s="183"/>
      <c r="B20" s="184"/>
      <c r="C20" s="185">
        <v>6</v>
      </c>
      <c r="D20" s="191" t="s">
        <v>406</v>
      </c>
      <c r="E20" s="185" t="s">
        <v>407</v>
      </c>
      <c r="F20" s="187"/>
      <c r="G20" s="188">
        <v>2</v>
      </c>
      <c r="H20" s="189">
        <f>VLOOKUP($F$12,'Sem1-2'!$B$7:$ZZ$37,NaN,FALSE)</f>
      </c>
      <c r="I20" s="190">
        <f>IF(H20&gt;=91, 4.00, IF(H20&gt;=81, 3.50, IF(H20&gt;=70, 3.00, IF(H20&gt;=65, 2.50, IF(H20&gt;=60, 2.00, IF(H20&gt;=55, 1.50, IF(H20&gt;=50, 1.00, 0.00)))))))</f>
      </c>
      <c r="J20" s="186">
        <f>IF(H20&gt;=91,"A",IF(H20&gt;=81,"B+",IF(H20&gt;=70,"B",IF(H20&gt;=65,"C+",IF(H20&gt;=60,"C",IF(H20&gt;=55,"D+",IF(H20&gt;=50,"D","F")))))))</f>
      </c>
      <c r="K20" s="191"/>
      <c r="L20" s="191"/>
      <c r="M20" s="136"/>
      <c r="N20" s="136"/>
      <c r="O20" s="180"/>
    </row>
    <row r="21" ht="19" customHeight="1" spans="1:15" x14ac:dyDescent="0.25">
      <c r="A21" s="183"/>
      <c r="B21" s="184"/>
      <c r="C21" s="185">
        <v>7</v>
      </c>
      <c r="D21" s="191" t="s">
        <v>408</v>
      </c>
      <c r="E21" s="185" t="s">
        <v>409</v>
      </c>
      <c r="F21" s="187"/>
      <c r="G21" s="188">
        <v>2</v>
      </c>
      <c r="H21" s="189">
        <f>VLOOKUP($F$12,'Sem1-2'!$B$7:$ZZ$37,NaN,FALSE)</f>
      </c>
      <c r="I21" s="190">
        <f>IF(H21&gt;=91, 4.00, IF(H21&gt;=81, 3.50, IF(H21&gt;=70, 3.00, IF(H21&gt;=65, 2.50, IF(H21&gt;=60, 2.00, IF(H21&gt;=55, 1.50, IF(H21&gt;=50, 1.00, 0.00)))))))</f>
      </c>
      <c r="J21" s="186">
        <f>IF(H21&gt;=91,"A",IF(H21&gt;=81,"B+",IF(H21&gt;=70,"B",IF(H21&gt;=65,"C+",IF(H21&gt;=60,"C",IF(H21&gt;=55,"D+",IF(H21&gt;=50,"D","F")))))))</f>
      </c>
      <c r="K21" s="191"/>
      <c r="L21" s="191"/>
      <c r="M21" s="136"/>
      <c r="N21" s="136"/>
      <c r="O21" s="180"/>
    </row>
    <row r="22" ht="19" customHeight="1" spans="1:15" x14ac:dyDescent="0.25">
      <c r="A22" s="183"/>
      <c r="B22" s="184"/>
      <c r="C22" s="185">
        <v>8</v>
      </c>
      <c r="D22" s="191" t="s">
        <v>410</v>
      </c>
      <c r="E22" s="185" t="s">
        <v>411</v>
      </c>
      <c r="F22" s="187"/>
      <c r="G22" s="188">
        <v>2</v>
      </c>
      <c r="H22" s="189">
        <f>VLOOKUP($F$12,'Sem1-2'!$B$7:$ZZ$37,NaN,FALSE)</f>
      </c>
      <c r="I22" s="190">
        <f>IF(H22&gt;=91, 4.00, IF(H22&gt;=81, 3.50, IF(H22&gt;=70, 3.00, IF(H22&gt;=65, 2.50, IF(H22&gt;=60, 2.00, IF(H22&gt;=55, 1.50, IF(H22&gt;=50, 1.00, 0.00)))))))</f>
      </c>
      <c r="J22" s="186">
        <f>IF(H22&gt;=91,"A",IF(H22&gt;=81,"B+",IF(H22&gt;=70,"B",IF(H22&gt;=65,"C+",IF(H22&gt;=60,"C",IF(H22&gt;=55,"D+",IF(H22&gt;=50,"D","F")))))))</f>
      </c>
      <c r="K22" s="191"/>
      <c r="L22" s="191"/>
      <c r="M22" s="136"/>
      <c r="N22" s="136"/>
      <c r="O22" s="180"/>
    </row>
    <row r="23" ht="19" customHeight="1" spans="1:15" x14ac:dyDescent="0.25">
      <c r="A23" s="183"/>
      <c r="B23" s="184"/>
      <c r="C23" s="185">
        <v>9</v>
      </c>
      <c r="D23" s="191" t="s">
        <v>412</v>
      </c>
      <c r="E23" s="185" t="s">
        <v>413</v>
      </c>
      <c r="F23" s="187"/>
      <c r="G23" s="188">
        <v>2</v>
      </c>
      <c r="H23" s="189">
        <f>VLOOKUP($F$12,'Sem1-2'!$B$7:$ZZ$37,NaN,FALSE)</f>
      </c>
      <c r="I23" s="190">
        <f>IF(H23&gt;=91, 4.00, IF(H23&gt;=81, 3.50, IF(H23&gt;=70, 3.00, IF(H23&gt;=65, 2.50, IF(H23&gt;=60, 2.00, IF(H23&gt;=55, 1.50, IF(H23&gt;=50, 1.00, 0.00)))))))</f>
      </c>
      <c r="J23" s="186">
        <f>IF(H23&gt;=91,"A",IF(H23&gt;=81,"B+",IF(H23&gt;=70,"B",IF(H23&gt;=65,"C+",IF(H23&gt;=60,"C",IF(H23&gt;=55,"D+",IF(H23&gt;=50,"D","F")))))))</f>
      </c>
      <c r="K23" s="191"/>
      <c r="L23" s="191"/>
      <c r="M23" s="136"/>
      <c r="N23" s="136"/>
      <c r="O23" s="180"/>
    </row>
    <row r="24" ht="19" customHeight="1" spans="1:43" s="192" customFormat="1" x14ac:dyDescent="0.25">
      <c r="A24" s="193" t="s">
        <v>414</v>
      </c>
      <c r="B24" s="193" t="s">
        <v>415</v>
      </c>
      <c r="C24" s="194">
        <v>1</v>
      </c>
      <c r="D24" s="195" t="s">
        <v>416</v>
      </c>
      <c r="E24" s="196" t="s">
        <v>417</v>
      </c>
      <c r="F24" s="197" t="s">
        <v>395</v>
      </c>
      <c r="G24" s="194">
        <f>SUM(G15:G23)</f>
      </c>
      <c r="H24" s="198">
        <f>VLOOKUP($F$12,'Sem1-2'!$B$7:$ZZ$37,NaN,FALSE)</f>
      </c>
      <c r="I24" s="199">
        <f>ROUND((G15*I15+G16*I16+G17*I17+G18*I18+G19*I19+G20*I20+G21*I21+G22*I22+G23*I23)/G24, 2)</f>
      </c>
      <c r="J24" s="194">
        <f>IF(H24&gt;=91,"A",IF(H24&gt;=81,"B+",IF(H24&gt;=70,"B",IF(H24&gt;=65,"C+",IF(H24&gt;=60,"C",IF(H24&gt;=55,"D+",IF(H24&gt;=50,"D","F")))))))</f>
      </c>
      <c r="K24" s="200" t="e">
        <f>(I16*G16+I17*G17+G18*I18+I19*G19+I20*G20+I21*G21+I22*G22)/(G16+G17+G18+G19+G20+G21+G22)</f>
        <v>#REF!</v>
      </c>
      <c r="L24" s="200" t="e">
        <f>(K16+K24)/2</f>
        <v>#REF!</v>
      </c>
      <c r="M24" s="181"/>
      <c r="N24" s="161"/>
      <c r="O24" s="163"/>
      <c r="P24" s="20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</row>
    <row r="25" ht="19" customHeight="1" spans="1:43" s="202" customFormat="1" x14ac:dyDescent="0.25">
      <c r="A25" s="203" t="s">
        <v>414</v>
      </c>
      <c r="B25" s="203" t="s">
        <v>415</v>
      </c>
      <c r="C25" s="204">
        <v>2</v>
      </c>
      <c r="D25" s="205" t="s">
        <v>418</v>
      </c>
      <c r="E25" s="206" t="s">
        <v>419</v>
      </c>
      <c r="F25" s="207" t="s">
        <v>403</v>
      </c>
      <c r="G25" s="204">
        <v>2</v>
      </c>
      <c r="H25" s="204">
        <f>VLOOKUP($F$12,'Sem1-2'!$B$7:$ZZ$37,NaN,FALSE)</f>
      </c>
      <c r="I25" s="208">
        <f>IF(H25&gt;=91, 4.00, IF(H25&gt;=81, 3.50, IF(H25&gt;=70, 3.00, IF(H25&gt;=65, 2.50, IF(H25&gt;=60, 2.00, IF(H25&gt;=55, 1.50, IF(H25&gt;=50, 1.00, 0.00)))))))</f>
      </c>
      <c r="J25" s="204">
        <f>IF(H25&gt;=91,"A",IF(H25&gt;=81,"B+",IF(H25&gt;=70,"B",IF(H25&gt;=65,"C+",IF(H25&gt;=60,"C",IF(H25&gt;=55,"D+",IF(H25&gt;=50,"D","F")))))))</f>
      </c>
      <c r="K25" s="209" t="e">
        <f>(I16*G16+I17*G17+G18*I18+I19*G19+I20*G20+I21*G21+I22*G22)/(G16+G17+G18+G19+G20+G21+G22)</f>
        <v>#REF!</v>
      </c>
      <c r="L25" s="209" t="e">
        <f>(K16+K24)/2</f>
        <v>#REF!</v>
      </c>
      <c r="M25" s="181"/>
      <c r="N25" s="161"/>
      <c r="O25" s="163"/>
      <c r="P25" s="20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</row>
    <row r="26" ht="19" customHeight="1" spans="1:43" s="202" customFormat="1" x14ac:dyDescent="0.25">
      <c r="A26" s="203" t="s">
        <v>414</v>
      </c>
      <c r="B26" s="203" t="s">
        <v>415</v>
      </c>
      <c r="C26" s="210">
        <v>3</v>
      </c>
      <c r="D26" s="205" t="s">
        <v>420</v>
      </c>
      <c r="E26" s="211" t="s">
        <v>421</v>
      </c>
      <c r="F26" s="212" t="s">
        <v>405</v>
      </c>
      <c r="G26" s="204">
        <v>1</v>
      </c>
      <c r="H26" s="204">
        <f>VLOOKUP($F$12,'Sem1-2'!$B$7:$ZZ$37,NaN,FALSE)</f>
      </c>
      <c r="I26" s="208">
        <f>IF(H26&gt;=91, 4.00, IF(H26&gt;=81, 3.50, IF(H26&gt;=70, 3.00, IF(H26&gt;=65, 2.50, IF(H26&gt;=60, 2.00, IF(H26&gt;=55, 1.50, IF(H26&gt;=50, 1.00, 0.00)))))))</f>
      </c>
      <c r="J26" s="204">
        <f>IF(H26&gt;=91,"A",IF(H26&gt;=81,"B+",IF(H26&gt;=70,"B",IF(H26&gt;=65,"C+",IF(H26&gt;=60,"C",IF(H26&gt;=55,"D+",IF(H26&gt;=50,"D","F")))))))</f>
      </c>
      <c r="K26" s="209" t="e">
        <f>(I16*G16+I17*G17+G18*I18+I19*G19+I20*G20+I21*G21+I22*G22)/(G16+G17+G18+G19+G20+G21+G22)</f>
        <v>#REF!</v>
      </c>
      <c r="L26" s="209" t="e">
        <f>(K16+K24)/2</f>
        <v>#REF!</v>
      </c>
      <c r="M26" s="181"/>
      <c r="N26" s="161"/>
      <c r="O26" s="163"/>
      <c r="P26" s="20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</row>
    <row r="27" ht="19" customHeight="1" spans="1:43" s="202" customFormat="1" x14ac:dyDescent="0.25">
      <c r="A27" s="203" t="s">
        <v>414</v>
      </c>
      <c r="B27" s="203" t="s">
        <v>415</v>
      </c>
      <c r="C27" s="210">
        <v>4</v>
      </c>
      <c r="D27" s="205" t="s">
        <v>422</v>
      </c>
      <c r="E27" s="211" t="s">
        <v>423</v>
      </c>
      <c r="F27" s="212" t="s">
        <v>401</v>
      </c>
      <c r="G27" s="204">
        <v>2</v>
      </c>
      <c r="H27" s="204">
        <f>VLOOKUP($F$12,'Sem1-2'!$B$7:$ZZ$37,NaN,FALSE)</f>
      </c>
      <c r="I27" s="208">
        <f>IF(H27&gt;=91, 4.00, IF(H27&gt;=81, 3.50, IF(H27&gt;=70, 3.00, IF(H27&gt;=65, 2.50, IF(H27&gt;=60, 2.00, IF(H27&gt;=55, 1.50, IF(H27&gt;=50, 1.00, 0.00)))))))</f>
      </c>
      <c r="J27" s="204">
        <f>IF(H27&gt;=91,"A",IF(H27&gt;=81,"B+",IF(H27&gt;=70,"B",IF(H27&gt;=65,"C+",IF(H27&gt;=60,"C",IF(H27&gt;=55,"D+",IF(H27&gt;=50,"D","F")))))))</f>
      </c>
      <c r="K27" s="209" t="e">
        <f>(I16*G16+I17*G17+G18*I18+I19*G19+I20*G20+I21*G21+I22*G22)/(G16+G17+G18+G19+G20+G21+G22)</f>
        <v>#REF!</v>
      </c>
      <c r="L27" s="209" t="e">
        <f>(K16+K24)/2</f>
        <v>#REF!</v>
      </c>
      <c r="M27" s="181"/>
      <c r="N27" s="161"/>
      <c r="O27" s="163"/>
      <c r="P27" s="20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</row>
    <row r="28" ht="19" customHeight="1" spans="1:43" s="202" customFormat="1" x14ac:dyDescent="0.25">
      <c r="A28" s="203" t="s">
        <v>414</v>
      </c>
      <c r="B28" s="203" t="s">
        <v>415</v>
      </c>
      <c r="C28" s="210">
        <v>5</v>
      </c>
      <c r="D28" s="205" t="s">
        <v>424</v>
      </c>
      <c r="E28" s="211" t="s">
        <v>425</v>
      </c>
      <c r="F28" s="212" t="s">
        <v>399</v>
      </c>
      <c r="G28" s="204">
        <v>1</v>
      </c>
      <c r="H28" s="204">
        <f>VLOOKUP($F$12,'Sem1-2'!$B$7:$ZZ$37,NaN,FALSE)</f>
      </c>
      <c r="I28" s="208">
        <f>IF(H28&gt;=91, 4.00, IF(H28&gt;=81, 3.50, IF(H28&gt;=70, 3.00, IF(H28&gt;=65, 2.50, IF(H28&gt;=60, 2.00, IF(H28&gt;=55, 1.50, IF(H28&gt;=50, 1.00, 0.00)))))))</f>
      </c>
      <c r="J28" s="204">
        <f>IF(H28&gt;=91,"A",IF(H28&gt;=81,"B+",IF(H28&gt;=70,"B",IF(H28&gt;=65,"C+",IF(H28&gt;=60,"C",IF(H28&gt;=55,"D+",IF(H28&gt;=50,"D","F")))))))</f>
      </c>
      <c r="K28" s="209" t="e">
        <f>(I16*G16+I17*G17+G18*I18+I19*G19+I20*G20+I21*G21+I22*G22)/(G16+G17+G18+G19+G20+G21+G22)</f>
        <v>#REF!</v>
      </c>
      <c r="L28" s="209" t="e">
        <f>(K16+K24)/2</f>
        <v>#REF!</v>
      </c>
      <c r="M28" s="181"/>
      <c r="N28" s="161"/>
      <c r="O28" s="163"/>
      <c r="P28" s="20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</row>
    <row r="29" ht="19" customHeight="1" spans="1:43" s="202" customFormat="1" x14ac:dyDescent="0.25">
      <c r="A29" s="203" t="s">
        <v>414</v>
      </c>
      <c r="B29" s="203" t="s">
        <v>415</v>
      </c>
      <c r="C29" s="210">
        <v>6</v>
      </c>
      <c r="D29" s="205" t="s">
        <v>426</v>
      </c>
      <c r="E29" s="211" t="s">
        <v>427</v>
      </c>
      <c r="F29" s="212" t="s">
        <v>409</v>
      </c>
      <c r="G29" s="204">
        <v>1</v>
      </c>
      <c r="H29" s="204">
        <f>VLOOKUP($F$12,'Sem1-2'!$B$7:$ZZ$37,NaN,FALSE)</f>
      </c>
      <c r="I29" s="208">
        <f>IF(H29&gt;=91, 4.00, IF(H29&gt;=81, 3.50, IF(H29&gt;=70, 3.00, IF(H29&gt;=65, 2.50, IF(H29&gt;=60, 2.00, IF(H29&gt;=55, 1.50, IF(H29&gt;=50, 1.00, 0.00)))))))</f>
      </c>
      <c r="J29" s="204">
        <f>IF(H29&gt;=91,"A",IF(H29&gt;=81,"B+",IF(H29&gt;=70,"B",IF(H29&gt;=65,"C+",IF(H29&gt;=60,"C",IF(H29&gt;=55,"D+",IF(H29&gt;=50,"D","F")))))))</f>
      </c>
      <c r="K29" s="209" t="e">
        <f>(I16*G16+I17*G17+G18*I18+I19*G19+I20*G20+I21*G21+I22*G22)/(G16+G17+G18+G19+G20+G21+G22)</f>
        <v>#REF!</v>
      </c>
      <c r="L29" s="209" t="e">
        <f>(K16+K24)/2</f>
        <v>#REF!</v>
      </c>
      <c r="M29" s="181"/>
      <c r="N29" s="161"/>
      <c r="O29" s="163"/>
      <c r="P29" s="20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</row>
    <row r="30" ht="19" customHeight="1" spans="1:43" s="202" customFormat="1" x14ac:dyDescent="0.25">
      <c r="A30" s="203" t="s">
        <v>414</v>
      </c>
      <c r="B30" s="203" t="s">
        <v>415</v>
      </c>
      <c r="C30" s="210">
        <v>7</v>
      </c>
      <c r="D30" s="205" t="s">
        <v>428</v>
      </c>
      <c r="E30" s="213" t="s">
        <v>429</v>
      </c>
      <c r="F30" s="214" t="s">
        <v>430</v>
      </c>
      <c r="G30" s="204">
        <v>2</v>
      </c>
      <c r="H30" s="215">
        <f>VLOOKUP($F$12,'Sem1-2'!$B$7:$ZZ$37,NaN,FALSE)</f>
      </c>
      <c r="I30" s="208">
        <f>IF(H30&gt;=91, 4.00, IF(H30&gt;=81, 3.50, IF(H30&gt;=70, 3.00, IF(H30&gt;=65, 2.50, IF(H30&gt;=60, 2.00, IF(H30&gt;=55, 1.50, IF(H30&gt;=50, 1.00, 0.00)))))))</f>
      </c>
      <c r="J30" s="204">
        <f>IF(H30&gt;=91,"A",IF(H30&gt;=81,"B+",IF(H30&gt;=70,"B",IF(H30&gt;=65,"C+",IF(H30&gt;=60,"C",IF(H30&gt;=55,"D+",IF(H30&gt;=50,"D","F")))))))</f>
      </c>
      <c r="K30" s="209" t="e">
        <f>(I16*G16+I17*G17+G18*I18+I19*G19+I20*G20+I21*G21+I22*G22)/(G16+G17+G18+G19+G20+G21+G22)</f>
        <v>#REF!</v>
      </c>
      <c r="L30" s="209" t="e">
        <f>(K16+K24)/2</f>
        <v>#REF!</v>
      </c>
      <c r="M30" s="181"/>
      <c r="N30" s="161"/>
      <c r="O30" s="163"/>
      <c r="P30" s="20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</row>
    <row r="31" ht="19" customHeight="1" spans="1:43" s="202" customFormat="1" x14ac:dyDescent="0.25">
      <c r="A31" s="203" t="s">
        <v>414</v>
      </c>
      <c r="B31" s="203" t="s">
        <v>415</v>
      </c>
      <c r="C31" s="216">
        <v>8</v>
      </c>
      <c r="D31" s="217" t="s">
        <v>431</v>
      </c>
      <c r="E31" s="218" t="s">
        <v>432</v>
      </c>
      <c r="F31" s="219" t="s">
        <v>411</v>
      </c>
      <c r="G31" s="216">
        <v>2</v>
      </c>
      <c r="H31" s="215">
        <f>VLOOKUP($F$12,'Sem1-2'!$B$7:$ZZ$37,NaN,FALSE)</f>
      </c>
      <c r="I31" s="220">
        <f>IF(H31&gt;=91, 4.00, IF(H31&gt;=81, 3.50, IF(H31&gt;=70, 3.00, IF(H31&gt;=65, 2.50, IF(H31&gt;=60, 2.00, IF(H31&gt;=55, 1.50, IF(H31&gt;=50, 1.00, 0.00)))))))</f>
      </c>
      <c r="J31" s="215">
        <f>IF(H31&gt;=91,"A",IF(H31&gt;=81,"B+",IF(H31&gt;=70,"B",IF(H31&gt;=65,"C+",IF(H31&gt;=60,"C",IF(H31&gt;=55,"D+",IF(H31&gt;=50,"D","F")))))))</f>
      </c>
      <c r="K31" s="209" t="e">
        <f>(I16*G16+I17*G17+G18*I18+I19*G19+I20*G20+I21*G21+I22*G22)/(G16+G17+G18+G19+G20+G21+G22)</f>
        <v>#REF!</v>
      </c>
      <c r="L31" s="209" t="e">
        <f>(K16+K24)/2</f>
        <v>#REF!</v>
      </c>
      <c r="M31" s="181"/>
      <c r="N31" s="161"/>
      <c r="O31" s="163"/>
      <c r="P31" s="20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</row>
    <row r="32" ht="19" customHeight="1" spans="1:43" s="192" customFormat="1" x14ac:dyDescent="0.25">
      <c r="A32" s="203" t="s">
        <v>414</v>
      </c>
      <c r="B32" s="193" t="s">
        <v>433</v>
      </c>
      <c r="C32" s="194">
        <v>9</v>
      </c>
      <c r="D32" s="195" t="s">
        <v>434</v>
      </c>
      <c r="E32" s="221" t="s">
        <v>435</v>
      </c>
      <c r="F32" s="222" t="s">
        <v>417</v>
      </c>
      <c r="G32" s="195">
        <v>2</v>
      </c>
      <c r="H32" s="194">
        <f>VLOOKUP($F$12,'Sem1-2'!$B$7:$ZZ$37,NaN,FALSE)</f>
      </c>
      <c r="I32" s="223">
        <f>IF(H32&gt;=91, 4.00, IF(H32&gt;=81, 3.50, IF(H32&gt;=70, 3.00, IF(H32&gt;=65, 2.50, IF(H32&gt;=60, 2.00, IF(H32&gt;=55, 1.50, IF(H32&gt;=50, 1.00, 0.00)))))))</f>
      </c>
      <c r="J32" s="194">
        <f>IF(H32&gt;=91,"A",IF(H32&gt;=81,"B+",IF(H32&gt;=70,"B",IF(H32&gt;=65,"C+",IF(H32&gt;=60,"C",IF(H32&gt;=55,"D+",IF(H32&gt;=50,"D","F")))))))</f>
      </c>
      <c r="K32" s="200" t="e">
        <f>(I24*G24+I25*G25+I26*G26+I27*G27+I28*G28+I29*G29+I30*G30+I31*G31+I32*G32)/(G24+G25+G26+G27+G28+G29+G30+G31+G32)</f>
        <v>#REF!</v>
      </c>
      <c r="L32" s="209" t="e">
        <f>(K16+K24)/2</f>
        <v>#REF!</v>
      </c>
      <c r="M32" s="181"/>
      <c r="N32" s="161"/>
      <c r="O32" s="161"/>
      <c r="P32" s="20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</row>
    <row r="33" ht="19" customHeight="1" spans="1:43" s="192" customFormat="1" x14ac:dyDescent="0.25">
      <c r="A33" s="203" t="s">
        <v>414</v>
      </c>
      <c r="B33" s="203" t="s">
        <v>433</v>
      </c>
      <c r="C33" s="210">
        <v>10</v>
      </c>
      <c r="D33" s="205" t="s">
        <v>436</v>
      </c>
      <c r="E33" s="211" t="s">
        <v>437</v>
      </c>
      <c r="F33" s="212" t="s">
        <v>423</v>
      </c>
      <c r="G33" s="205">
        <v>3</v>
      </c>
      <c r="H33" s="204">
        <f>VLOOKUP($F$12,'Sem1-2'!$B$7:$ZZ$37,NaN,FALSE)</f>
      </c>
      <c r="I33" s="223">
        <f>IF(H33&gt;=91, 4.00, IF(H33&gt;=81, 3.50, IF(H33&gt;=70, 3.00, IF(H33&gt;=65, 2.50, IF(H33&gt;=60, 2.00, IF(H33&gt;=55, 1.50, IF(H33&gt;=50, 1.00, 0.00)))))))</f>
      </c>
      <c r="J33" s="204">
        <f>IF(H33&gt;=91,"A",IF(H33&gt;=81,"B+",IF(H33&gt;=70,"B",IF(H33&gt;=65,"C+",IF(H33&gt;=60,"C",IF(H33&gt;=55,"D+",IF(H33&gt;=50,"D","F")))))))</f>
      </c>
      <c r="K33" s="209" t="e">
        <f>(I24*G24+I25*G25+I26*G26+I27*G27+I28*G28+I29*G29+I30*G30+I31*G31+I32*G32)/(G24+G25+G26+G27+G28+G29+G30+G31+G32)</f>
        <v>#REF!</v>
      </c>
      <c r="L33" s="209" t="e">
        <f>(K16+K24)/2</f>
        <v>#REF!</v>
      </c>
      <c r="M33" s="181"/>
      <c r="N33" s="161"/>
      <c r="O33" s="161"/>
      <c r="P33" s="20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</row>
    <row r="34" ht="30" customHeight="1" spans="1:43" s="192" customFormat="1" x14ac:dyDescent="0.25">
      <c r="A34" s="224" t="s">
        <v>438</v>
      </c>
      <c r="B34" s="225" t="s">
        <v>438</v>
      </c>
      <c r="C34" s="225" t="s">
        <v>438</v>
      </c>
      <c r="D34" s="225" t="s">
        <v>438</v>
      </c>
      <c r="E34" s="225" t="s">
        <v>438</v>
      </c>
      <c r="F34" s="226" t="s">
        <v>438</v>
      </c>
      <c r="G34" s="227">
        <f>SUM(G24:G33)</f>
      </c>
      <c r="H34" s="228"/>
      <c r="I34" s="228">
        <f>ROUND((G24*I24+G25*I25+G26*I26+G27*I27+G28*I28+G29*I29+G30*I30+G31*I31+G32*I32+G33*I33)/G34, 2)</f>
      </c>
      <c r="J34" s="228" t="e">
        <f>IF(K33&gt;=4,"A",IF(K33&gt;=3.5,"B+",IF(K33&gt;=3,"B",IF(K33&gt;=2.5,"C+",IF(K33&gt;=2,"C",IF(K33&gt;=1.5,"D+",IF(K33&gt;=1,"D",IF(K33&gt;=0,"F"))))))))</f>
        <v>#REF!</v>
      </c>
      <c r="K34" s="229" t="e">
        <f>AVERAGE(L16:L23)</f>
        <v>#REF!</v>
      </c>
      <c r="L34" s="229" t="e">
        <f>AVERAGE(L16:L23)</f>
        <v>#REF!</v>
      </c>
      <c r="M34" s="136"/>
      <c r="N34" s="161"/>
      <c r="O34" s="161"/>
      <c r="P34" s="20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</row>
    <row r="35" ht="21" customHeight="1" spans="1:43" s="192" customFormat="1" x14ac:dyDescent="0.25">
      <c r="A35" s="161" t="s">
        <v>439</v>
      </c>
      <c r="B35" s="146"/>
      <c r="C35" s="146"/>
      <c r="D35" s="146"/>
      <c r="E35" s="146"/>
      <c r="F35" s="230"/>
      <c r="G35" s="161"/>
      <c r="H35" s="161"/>
      <c r="I35" s="181"/>
      <c r="J35" s="161"/>
      <c r="K35" s="136"/>
      <c r="L35" s="136"/>
      <c r="M35" s="136"/>
      <c r="N35" s="161"/>
      <c r="O35" s="161"/>
      <c r="P35" s="20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</row>
    <row r="36" ht="18" customHeight="1" spans="1:43" s="192" customFormat="1" x14ac:dyDescent="0.25">
      <c r="A36" s="161" t="s">
        <v>440</v>
      </c>
      <c r="B36" s="146"/>
      <c r="C36" s="146"/>
      <c r="D36" s="146"/>
      <c r="E36" s="146"/>
      <c r="F36" s="230"/>
      <c r="G36" s="161"/>
      <c r="H36" s="161"/>
      <c r="I36" s="181"/>
      <c r="J36" s="161"/>
      <c r="K36" s="136"/>
      <c r="L36" s="136"/>
      <c r="M36" s="136"/>
      <c r="N36" s="161"/>
      <c r="O36" s="161"/>
      <c r="P36" s="20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161"/>
      <c r="AM36" s="161"/>
      <c r="AN36" s="161"/>
      <c r="AO36" s="161"/>
      <c r="AP36" s="161"/>
      <c r="AQ36" s="161"/>
    </row>
    <row r="37" ht="18" customHeight="1" spans="1:43" s="192" customFormat="1" x14ac:dyDescent="0.25">
      <c r="A37" s="161"/>
      <c r="B37" s="146"/>
      <c r="C37" s="146"/>
      <c r="D37" s="146"/>
      <c r="E37" s="146"/>
      <c r="F37" s="230"/>
      <c r="G37" s="161"/>
      <c r="H37" s="161"/>
      <c r="I37" s="181"/>
      <c r="J37" s="161"/>
      <c r="K37" s="136"/>
      <c r="L37" s="136"/>
      <c r="M37" s="136"/>
      <c r="N37" s="161"/>
      <c r="O37" s="161"/>
      <c r="P37" s="20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161"/>
      <c r="AM37" s="161"/>
      <c r="AN37" s="161"/>
      <c r="AO37" s="161"/>
      <c r="AP37" s="161"/>
      <c r="AQ37" s="161"/>
    </row>
    <row r="38" ht="30" customHeight="1" spans="1:43" s="202" customFormat="1" x14ac:dyDescent="0.25">
      <c r="A38" s="150" t="s">
        <v>441</v>
      </c>
      <c r="B38" s="231"/>
      <c r="C38" s="142"/>
      <c r="D38" s="149"/>
      <c r="E38" s="149"/>
      <c r="F38" s="137"/>
      <c r="G38" s="136"/>
      <c r="H38" s="136"/>
      <c r="I38" s="150" t="s">
        <v>442</v>
      </c>
      <c r="J38" s="136"/>
      <c r="K38" s="136"/>
      <c r="L38" s="136"/>
      <c r="M38" s="136"/>
      <c r="N38" s="161"/>
      <c r="O38" s="161"/>
      <c r="P38" s="20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161"/>
      <c r="AM38" s="161"/>
      <c r="AN38" s="161"/>
      <c r="AO38" s="161"/>
      <c r="AP38" s="161"/>
      <c r="AQ38" s="161"/>
    </row>
    <row r="39" ht="30" customHeight="1" spans="1:43" s="202" customFormat="1" x14ac:dyDescent="0.25">
      <c r="A39" s="150" t="s">
        <v>443</v>
      </c>
      <c r="B39" s="231"/>
      <c r="C39" s="142"/>
      <c r="D39" s="136"/>
      <c r="E39" s="136"/>
      <c r="F39" s="137"/>
      <c r="G39" s="136"/>
      <c r="H39" s="136"/>
      <c r="I39" s="232" t="s">
        <v>444</v>
      </c>
      <c r="J39" s="142"/>
      <c r="K39" s="136"/>
      <c r="L39" s="136"/>
      <c r="M39" s="136"/>
      <c r="N39" s="161"/>
      <c r="O39" s="161"/>
      <c r="P39" s="20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161"/>
      <c r="AM39" s="161"/>
      <c r="AN39" s="161"/>
      <c r="AO39" s="161"/>
      <c r="AP39" s="161"/>
      <c r="AQ39" s="161"/>
    </row>
    <row r="40" ht="30" customHeight="1" spans="1:43" s="202" customFormat="1" x14ac:dyDescent="0.25">
      <c r="A40" s="136"/>
      <c r="B40" s="233"/>
      <c r="C40" s="233"/>
      <c r="D40" s="233"/>
      <c r="E40" s="233"/>
      <c r="F40" s="234"/>
      <c r="G40" s="136"/>
      <c r="H40" s="136"/>
      <c r="I40" s="136"/>
      <c r="J40" s="180"/>
      <c r="K40" s="180"/>
      <c r="L40" s="180"/>
      <c r="M40" s="136"/>
      <c r="N40" s="161"/>
      <c r="O40" s="161"/>
      <c r="P40" s="20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</row>
    <row r="41" ht="30" customHeight="1" spans="1:43" s="202" customFormat="1" x14ac:dyDescent="0.25">
      <c r="A41" s="136"/>
      <c r="B41" s="136"/>
      <c r="C41" s="136"/>
      <c r="D41" s="136"/>
      <c r="E41" s="136"/>
      <c r="F41" s="137"/>
      <c r="G41" s="136"/>
      <c r="H41" s="136"/>
      <c r="I41" s="136"/>
      <c r="J41" s="180"/>
      <c r="K41" s="180"/>
      <c r="L41" s="180"/>
      <c r="M41" s="136"/>
      <c r="N41" s="161"/>
      <c r="O41" s="161"/>
      <c r="P41" s="20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</row>
    <row r="42" ht="30" customHeight="1" spans="1:43" s="202" customFormat="1" x14ac:dyDescent="0.25">
      <c r="A42" s="136"/>
      <c r="B42" s="136"/>
      <c r="C42" s="136"/>
      <c r="D42" s="136"/>
      <c r="E42" s="136"/>
      <c r="F42" s="137"/>
      <c r="G42" s="136"/>
      <c r="H42" s="136"/>
      <c r="I42" s="136"/>
      <c r="J42" s="235"/>
      <c r="K42" s="235"/>
      <c r="L42" s="235"/>
      <c r="M42" s="136"/>
      <c r="N42" s="161"/>
      <c r="O42" s="161"/>
      <c r="P42" s="20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</row>
    <row r="43" ht="30" customHeight="1" spans="1:43" s="202" customFormat="1" x14ac:dyDescent="0.25">
      <c r="A43" s="136"/>
      <c r="B43" s="136"/>
      <c r="C43" s="136"/>
      <c r="D43" s="136"/>
      <c r="E43" s="136"/>
      <c r="F43" s="137"/>
      <c r="G43" s="136"/>
      <c r="H43" s="136"/>
      <c r="I43" s="136"/>
      <c r="J43" s="136"/>
      <c r="K43" s="136"/>
      <c r="L43" s="136"/>
      <c r="M43" s="136"/>
      <c r="N43" s="161"/>
      <c r="O43" s="161"/>
      <c r="P43" s="20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</row>
    <row r="44" ht="30" customHeight="1" spans="1:43" s="202" customFormat="1" x14ac:dyDescent="0.25">
      <c r="A44" s="136"/>
      <c r="B44" s="136"/>
      <c r="C44" s="136"/>
      <c r="D44" s="136"/>
      <c r="E44" s="136"/>
      <c r="F44" s="137"/>
      <c r="G44" s="136"/>
      <c r="H44" s="136"/>
      <c r="I44" s="136"/>
      <c r="J44" s="136"/>
      <c r="K44" s="136"/>
      <c r="L44" s="136"/>
      <c r="M44" s="136"/>
      <c r="N44" s="161"/>
      <c r="O44" s="161"/>
      <c r="P44" s="236"/>
      <c r="Q44" s="237"/>
      <c r="R44" s="237"/>
      <c r="S44" s="238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</row>
    <row r="45" ht="30" customHeight="1" x14ac:dyDescent="0.25"/>
    <row r="46" ht="24.75" customHeight="1" x14ac:dyDescent="0.25"/>
    <row r="47" ht="22.5" customHeight="1" x14ac:dyDescent="0.25"/>
    <row r="48" ht="22.5" customHeight="1" x14ac:dyDescent="0.25"/>
    <row r="49" ht="22.5" customHeight="1" x14ac:dyDescent="0.25"/>
  </sheetData>
  <mergeCells count="1">
    <mergeCell ref="A1:X15"/>
  </mergeCells>
  <printOptions horizontalCentered="1"/>
  <pageMargins left="0.25" right="0" top="0.25" bottom="0.25" header="0.3" footer="0.3"/>
  <pageSetup paperSize="9" orientation="portrait" horizontalDpi="0" verticalDpi="0" scale="70" fitToWidth="1" fitToHeight="1" firstPageNumber="1" useFirstPageNumber="1" copies="1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0"/>
  <sheetViews>
    <sheetView workbookViewId="0">
      <selection activeCell="A1" sqref="A1"/>
    </sheetView>
  </sheetViews>
  <sheetFormatPr defaultRowHeight="14" outlineLevelRow="0" outlineLevelCol="0" x14ac:dyDescent="0" defaultColWidth="8.83203125" customHeight="1"/>
  <cols>
    <col min="1" max="1" width="6.33203125" style="136" customWidth="1"/>
    <col min="2" max="3" width="5.5" style="136" customWidth="1"/>
    <col min="4" max="4" width="11.5" style="136" customWidth="1"/>
    <col min="5" max="5" width="2.33203125" style="136" customWidth="1"/>
    <col min="6" max="6" width="22.5" style="136" customWidth="1"/>
    <col min="7" max="10" width="8.5" style="136" customWidth="1"/>
    <col min="11" max="12" width="6.1640625" style="136" customWidth="1"/>
    <col min="13" max="13" width="9.1640625" style="136" customWidth="1"/>
    <col min="14" max="14" width="10.5" style="136" customWidth="1"/>
    <col min="15" max="15" width="22.1640625" style="136" customWidth="1"/>
    <col min="16" max="16" width="9.1640625" style="137" customWidth="1"/>
    <col min="17" max="256" width="9.1640625" style="136" customWidth="1"/>
    <col min="257" max="257" width="6.33203125" style="136" customWidth="1"/>
    <col min="258" max="259" width="5.5" style="136" customWidth="1"/>
    <col min="260" max="260" width="11.5" style="136" customWidth="1"/>
    <col min="261" max="261" width="2.33203125" style="136" customWidth="1"/>
    <col min="262" max="262" width="29.6640625" style="136" customWidth="1"/>
    <col min="263" max="263" width="10.1640625" style="136" customWidth="1"/>
    <col min="264" max="264" width="8" style="136" customWidth="1"/>
    <col min="265" max="265" width="8.6640625" style="136" customWidth="1"/>
    <col min="266" max="266" width="8.33203125" style="136" customWidth="1"/>
    <col min="267" max="267" width="8" style="136" customWidth="1"/>
    <col min="268" max="268" width="9.33203125" style="136" customWidth="1"/>
    <col min="269" max="269" width="9.1640625" style="136" customWidth="1"/>
    <col min="270" max="270" width="10.5" style="136" customWidth="1"/>
    <col min="271" max="271" width="22.1640625" style="136" customWidth="1"/>
    <col min="272" max="512" width="9.1640625" style="136" customWidth="1"/>
    <col min="513" max="513" width="6.33203125" style="136" customWidth="1"/>
    <col min="514" max="515" width="5.5" style="136" customWidth="1"/>
    <col min="516" max="516" width="11.5" style="136" customWidth="1"/>
    <col min="517" max="517" width="2.33203125" style="136" customWidth="1"/>
    <col min="518" max="518" width="29.6640625" style="136" customWidth="1"/>
    <col min="519" max="519" width="10.1640625" style="136" customWidth="1"/>
    <col min="520" max="520" width="8" style="136" customWidth="1"/>
    <col min="521" max="521" width="8.6640625" style="136" customWidth="1"/>
    <col min="522" max="522" width="8.33203125" style="136" customWidth="1"/>
    <col min="523" max="523" width="8" style="136" customWidth="1"/>
    <col min="524" max="524" width="9.33203125" style="136" customWidth="1"/>
    <col min="525" max="525" width="9.1640625" style="136" customWidth="1"/>
    <col min="526" max="526" width="10.5" style="136" customWidth="1"/>
    <col min="527" max="527" width="22.1640625" style="136" customWidth="1"/>
    <col min="528" max="768" width="9.1640625" style="136" customWidth="1"/>
    <col min="769" max="769" width="6.33203125" style="136" customWidth="1"/>
    <col min="770" max="771" width="5.5" style="136" customWidth="1"/>
    <col min="772" max="772" width="11.5" style="136" customWidth="1"/>
    <col min="773" max="773" width="2.33203125" style="136" customWidth="1"/>
    <col min="774" max="774" width="29.6640625" style="136" customWidth="1"/>
    <col min="775" max="775" width="10.1640625" style="136" customWidth="1"/>
    <col min="776" max="776" width="8" style="136" customWidth="1"/>
    <col min="777" max="777" width="8.6640625" style="136" customWidth="1"/>
    <col min="778" max="778" width="8.33203125" style="136" customWidth="1"/>
    <col min="779" max="779" width="8" style="136" customWidth="1"/>
    <col min="780" max="780" width="9.33203125" style="136" customWidth="1"/>
    <col min="781" max="781" width="9.1640625" style="136" customWidth="1"/>
    <col min="782" max="782" width="10.5" style="136" customWidth="1"/>
    <col min="783" max="783" width="22.1640625" style="136" customWidth="1"/>
    <col min="784" max="1024" width="9.1640625" style="136" customWidth="1"/>
    <col min="1025" max="1025" width="6.33203125" style="136" customWidth="1"/>
    <col min="1026" max="1027" width="5.5" style="136" customWidth="1"/>
    <col min="1028" max="1028" width="11.5" style="136" customWidth="1"/>
    <col min="1029" max="1029" width="2.33203125" style="136" customWidth="1"/>
    <col min="1030" max="1030" width="29.6640625" style="136" customWidth="1"/>
    <col min="1031" max="1031" width="10.1640625" style="136" customWidth="1"/>
    <col min="1032" max="1032" width="8" style="136" customWidth="1"/>
    <col min="1033" max="1033" width="8.6640625" style="136" customWidth="1"/>
    <col min="1034" max="1034" width="8.33203125" style="136" customWidth="1"/>
    <col min="1035" max="1035" width="8" style="136" customWidth="1"/>
    <col min="1036" max="1036" width="9.33203125" style="136" customWidth="1"/>
    <col min="1037" max="1037" width="9.1640625" style="136" customWidth="1"/>
    <col min="1038" max="1038" width="10.5" style="136" customWidth="1"/>
    <col min="1039" max="1039" width="22.1640625" style="136" customWidth="1"/>
    <col min="1040" max="1280" width="9.1640625" style="136" customWidth="1"/>
    <col min="1281" max="1281" width="6.33203125" style="136" customWidth="1"/>
    <col min="1282" max="1283" width="5.5" style="136" customWidth="1"/>
    <col min="1284" max="1284" width="11.5" style="136" customWidth="1"/>
    <col min="1285" max="1285" width="2.33203125" style="136" customWidth="1"/>
    <col min="1286" max="1286" width="29.6640625" style="136" customWidth="1"/>
    <col min="1287" max="1287" width="10.1640625" style="136" customWidth="1"/>
    <col min="1288" max="1288" width="8" style="136" customWidth="1"/>
    <col min="1289" max="1289" width="8.6640625" style="136" customWidth="1"/>
    <col min="1290" max="1290" width="8.33203125" style="136" customWidth="1"/>
    <col min="1291" max="1291" width="8" style="136" customWidth="1"/>
    <col min="1292" max="1292" width="9.33203125" style="136" customWidth="1"/>
    <col min="1293" max="1293" width="9.1640625" style="136" customWidth="1"/>
    <col min="1294" max="1294" width="10.5" style="136" customWidth="1"/>
    <col min="1295" max="1295" width="22.1640625" style="136" customWidth="1"/>
    <col min="1296" max="1536" width="9.1640625" style="136" customWidth="1"/>
    <col min="1537" max="1537" width="6.33203125" style="136" customWidth="1"/>
    <col min="1538" max="1539" width="5.5" style="136" customWidth="1"/>
    <col min="1540" max="1540" width="11.5" style="136" customWidth="1"/>
    <col min="1541" max="1541" width="2.33203125" style="136" customWidth="1"/>
    <col min="1542" max="1542" width="29.6640625" style="136" customWidth="1"/>
    <col min="1543" max="1543" width="10.1640625" style="136" customWidth="1"/>
    <col min="1544" max="1544" width="8" style="136" customWidth="1"/>
    <col min="1545" max="1545" width="8.6640625" style="136" customWidth="1"/>
    <col min="1546" max="1546" width="8.33203125" style="136" customWidth="1"/>
    <col min="1547" max="1547" width="8" style="136" customWidth="1"/>
    <col min="1548" max="1548" width="9.33203125" style="136" customWidth="1"/>
    <col min="1549" max="1549" width="9.1640625" style="136" customWidth="1"/>
    <col min="1550" max="1550" width="10.5" style="136" customWidth="1"/>
    <col min="1551" max="1551" width="22.1640625" style="136" customWidth="1"/>
    <col min="1552" max="1792" width="9.1640625" style="136" customWidth="1"/>
    <col min="1793" max="1793" width="6.33203125" style="136" customWidth="1"/>
    <col min="1794" max="1795" width="5.5" style="136" customWidth="1"/>
    <col min="1796" max="1796" width="11.5" style="136" customWidth="1"/>
    <col min="1797" max="1797" width="2.33203125" style="136" customWidth="1"/>
    <col min="1798" max="1798" width="29.6640625" style="136" customWidth="1"/>
    <col min="1799" max="1799" width="10.1640625" style="136" customWidth="1"/>
    <col min="1800" max="1800" width="8" style="136" customWidth="1"/>
    <col min="1801" max="1801" width="8.6640625" style="136" customWidth="1"/>
    <col min="1802" max="1802" width="8.33203125" style="136" customWidth="1"/>
    <col min="1803" max="1803" width="8" style="136" customWidth="1"/>
    <col min="1804" max="1804" width="9.33203125" style="136" customWidth="1"/>
    <col min="1805" max="1805" width="9.1640625" style="136" customWidth="1"/>
    <col min="1806" max="1806" width="10.5" style="136" customWidth="1"/>
    <col min="1807" max="1807" width="22.1640625" style="136" customWidth="1"/>
    <col min="1808" max="2048" width="9.1640625" style="136" customWidth="1"/>
    <col min="2049" max="2049" width="6.33203125" style="136" customWidth="1"/>
    <col min="2050" max="2051" width="5.5" style="136" customWidth="1"/>
    <col min="2052" max="2052" width="11.5" style="136" customWidth="1"/>
    <col min="2053" max="2053" width="2.33203125" style="136" customWidth="1"/>
    <col min="2054" max="2054" width="29.6640625" style="136" customWidth="1"/>
    <col min="2055" max="2055" width="10.1640625" style="136" customWidth="1"/>
    <col min="2056" max="2056" width="8" style="136" customWidth="1"/>
    <col min="2057" max="2057" width="8.6640625" style="136" customWidth="1"/>
    <col min="2058" max="2058" width="8.33203125" style="136" customWidth="1"/>
    <col min="2059" max="2059" width="8" style="136" customWidth="1"/>
    <col min="2060" max="2060" width="9.33203125" style="136" customWidth="1"/>
    <col min="2061" max="2061" width="9.1640625" style="136" customWidth="1"/>
    <col min="2062" max="2062" width="10.5" style="136" customWidth="1"/>
    <col min="2063" max="2063" width="22.1640625" style="136" customWidth="1"/>
    <col min="2064" max="2304" width="9.1640625" style="136" customWidth="1"/>
    <col min="2305" max="2305" width="6.33203125" style="136" customWidth="1"/>
    <col min="2306" max="2307" width="5.5" style="136" customWidth="1"/>
    <col min="2308" max="2308" width="11.5" style="136" customWidth="1"/>
    <col min="2309" max="2309" width="2.33203125" style="136" customWidth="1"/>
    <col min="2310" max="2310" width="29.6640625" style="136" customWidth="1"/>
    <col min="2311" max="2311" width="10.1640625" style="136" customWidth="1"/>
    <col min="2312" max="2312" width="8" style="136" customWidth="1"/>
    <col min="2313" max="2313" width="8.6640625" style="136" customWidth="1"/>
    <col min="2314" max="2314" width="8.33203125" style="136" customWidth="1"/>
    <col min="2315" max="2315" width="8" style="136" customWidth="1"/>
    <col min="2316" max="2316" width="9.33203125" style="136" customWidth="1"/>
    <col min="2317" max="2317" width="9.1640625" style="136" customWidth="1"/>
    <col min="2318" max="2318" width="10.5" style="136" customWidth="1"/>
    <col min="2319" max="2319" width="22.1640625" style="136" customWidth="1"/>
    <col min="2320" max="2560" width="9.1640625" style="136" customWidth="1"/>
    <col min="2561" max="2561" width="6.33203125" style="136" customWidth="1"/>
    <col min="2562" max="2563" width="5.5" style="136" customWidth="1"/>
    <col min="2564" max="2564" width="11.5" style="136" customWidth="1"/>
    <col min="2565" max="2565" width="2.33203125" style="136" customWidth="1"/>
    <col min="2566" max="2566" width="29.6640625" style="136" customWidth="1"/>
    <col min="2567" max="2567" width="10.1640625" style="136" customWidth="1"/>
    <col min="2568" max="2568" width="8" style="136" customWidth="1"/>
    <col min="2569" max="2569" width="8.6640625" style="136" customWidth="1"/>
    <col min="2570" max="2570" width="8.33203125" style="136" customWidth="1"/>
    <col min="2571" max="2571" width="8" style="136" customWidth="1"/>
    <col min="2572" max="2572" width="9.33203125" style="136" customWidth="1"/>
    <col min="2573" max="2573" width="9.1640625" style="136" customWidth="1"/>
    <col min="2574" max="2574" width="10.5" style="136" customWidth="1"/>
    <col min="2575" max="2575" width="22.1640625" style="136" customWidth="1"/>
    <col min="2576" max="2816" width="9.1640625" style="136" customWidth="1"/>
    <col min="2817" max="2817" width="6.33203125" style="136" customWidth="1"/>
    <col min="2818" max="2819" width="5.5" style="136" customWidth="1"/>
    <col min="2820" max="2820" width="11.5" style="136" customWidth="1"/>
    <col min="2821" max="2821" width="2.33203125" style="136" customWidth="1"/>
    <col min="2822" max="2822" width="29.6640625" style="136" customWidth="1"/>
    <col min="2823" max="2823" width="10.1640625" style="136" customWidth="1"/>
    <col min="2824" max="2824" width="8" style="136" customWidth="1"/>
    <col min="2825" max="2825" width="8.6640625" style="136" customWidth="1"/>
    <col min="2826" max="2826" width="8.33203125" style="136" customWidth="1"/>
    <col min="2827" max="2827" width="8" style="136" customWidth="1"/>
    <col min="2828" max="2828" width="9.33203125" style="136" customWidth="1"/>
    <col min="2829" max="2829" width="9.1640625" style="136" customWidth="1"/>
    <col min="2830" max="2830" width="10.5" style="136" customWidth="1"/>
    <col min="2831" max="2831" width="22.1640625" style="136" customWidth="1"/>
    <col min="2832" max="3072" width="9.1640625" style="136" customWidth="1"/>
    <col min="3073" max="3073" width="6.33203125" style="136" customWidth="1"/>
    <col min="3074" max="3075" width="5.5" style="136" customWidth="1"/>
    <col min="3076" max="3076" width="11.5" style="136" customWidth="1"/>
    <col min="3077" max="3077" width="2.33203125" style="136" customWidth="1"/>
    <col min="3078" max="3078" width="29.6640625" style="136" customWidth="1"/>
    <col min="3079" max="3079" width="10.1640625" style="136" customWidth="1"/>
    <col min="3080" max="3080" width="8" style="136" customWidth="1"/>
    <col min="3081" max="3081" width="8.6640625" style="136" customWidth="1"/>
    <col min="3082" max="3082" width="8.33203125" style="136" customWidth="1"/>
    <col min="3083" max="3083" width="8" style="136" customWidth="1"/>
    <col min="3084" max="3084" width="9.33203125" style="136" customWidth="1"/>
    <col min="3085" max="3085" width="9.1640625" style="136" customWidth="1"/>
    <col min="3086" max="3086" width="10.5" style="136" customWidth="1"/>
    <col min="3087" max="3087" width="22.1640625" style="136" customWidth="1"/>
    <col min="3088" max="3328" width="9.1640625" style="136" customWidth="1"/>
    <col min="3329" max="3329" width="6.33203125" style="136" customWidth="1"/>
    <col min="3330" max="3331" width="5.5" style="136" customWidth="1"/>
    <col min="3332" max="3332" width="11.5" style="136" customWidth="1"/>
    <col min="3333" max="3333" width="2.33203125" style="136" customWidth="1"/>
    <col min="3334" max="3334" width="29.6640625" style="136" customWidth="1"/>
    <col min="3335" max="3335" width="10.1640625" style="136" customWidth="1"/>
    <col min="3336" max="3336" width="8" style="136" customWidth="1"/>
    <col min="3337" max="3337" width="8.6640625" style="136" customWidth="1"/>
    <col min="3338" max="3338" width="8.33203125" style="136" customWidth="1"/>
    <col min="3339" max="3339" width="8" style="136" customWidth="1"/>
    <col min="3340" max="3340" width="9.33203125" style="136" customWidth="1"/>
    <col min="3341" max="3341" width="9.1640625" style="136" customWidth="1"/>
    <col min="3342" max="3342" width="10.5" style="136" customWidth="1"/>
    <col min="3343" max="3343" width="22.1640625" style="136" customWidth="1"/>
    <col min="3344" max="3584" width="9.1640625" style="136" customWidth="1"/>
    <col min="3585" max="3585" width="6.33203125" style="136" customWidth="1"/>
    <col min="3586" max="3587" width="5.5" style="136" customWidth="1"/>
    <col min="3588" max="3588" width="11.5" style="136" customWidth="1"/>
    <col min="3589" max="3589" width="2.33203125" style="136" customWidth="1"/>
    <col min="3590" max="3590" width="29.6640625" style="136" customWidth="1"/>
    <col min="3591" max="3591" width="10.1640625" style="136" customWidth="1"/>
    <col min="3592" max="3592" width="8" style="136" customWidth="1"/>
    <col min="3593" max="3593" width="8.6640625" style="136" customWidth="1"/>
    <col min="3594" max="3594" width="8.33203125" style="136" customWidth="1"/>
    <col min="3595" max="3595" width="8" style="136" customWidth="1"/>
    <col min="3596" max="3596" width="9.33203125" style="136" customWidth="1"/>
    <col min="3597" max="3597" width="9.1640625" style="136" customWidth="1"/>
    <col min="3598" max="3598" width="10.5" style="136" customWidth="1"/>
    <col min="3599" max="3599" width="22.1640625" style="136" customWidth="1"/>
    <col min="3600" max="3840" width="9.1640625" style="136" customWidth="1"/>
    <col min="3841" max="3841" width="6.33203125" style="136" customWidth="1"/>
    <col min="3842" max="3843" width="5.5" style="136" customWidth="1"/>
    <col min="3844" max="3844" width="11.5" style="136" customWidth="1"/>
    <col min="3845" max="3845" width="2.33203125" style="136" customWidth="1"/>
    <col min="3846" max="3846" width="29.6640625" style="136" customWidth="1"/>
    <col min="3847" max="3847" width="10.1640625" style="136" customWidth="1"/>
    <col min="3848" max="3848" width="8" style="136" customWidth="1"/>
    <col min="3849" max="3849" width="8.6640625" style="136" customWidth="1"/>
    <col min="3850" max="3850" width="8.33203125" style="136" customWidth="1"/>
    <col min="3851" max="3851" width="8" style="136" customWidth="1"/>
    <col min="3852" max="3852" width="9.33203125" style="136" customWidth="1"/>
    <col min="3853" max="3853" width="9.1640625" style="136" customWidth="1"/>
    <col min="3854" max="3854" width="10.5" style="136" customWidth="1"/>
    <col min="3855" max="3855" width="22.1640625" style="136" customWidth="1"/>
    <col min="3856" max="4096" width="9.1640625" style="136" customWidth="1"/>
    <col min="4097" max="4097" width="6.33203125" style="136" customWidth="1"/>
    <col min="4098" max="4099" width="5.5" style="136" customWidth="1"/>
    <col min="4100" max="4100" width="11.5" style="136" customWidth="1"/>
    <col min="4101" max="4101" width="2.33203125" style="136" customWidth="1"/>
    <col min="4102" max="4102" width="29.6640625" style="136" customWidth="1"/>
    <col min="4103" max="4103" width="10.1640625" style="136" customWidth="1"/>
    <col min="4104" max="4104" width="8" style="136" customWidth="1"/>
    <col min="4105" max="4105" width="8.6640625" style="136" customWidth="1"/>
    <col min="4106" max="4106" width="8.33203125" style="136" customWidth="1"/>
    <col min="4107" max="4107" width="8" style="136" customWidth="1"/>
    <col min="4108" max="4108" width="9.33203125" style="136" customWidth="1"/>
    <col min="4109" max="4109" width="9.1640625" style="136" customWidth="1"/>
    <col min="4110" max="4110" width="10.5" style="136" customWidth="1"/>
    <col min="4111" max="4111" width="22.1640625" style="136" customWidth="1"/>
    <col min="4112" max="4352" width="9.1640625" style="136" customWidth="1"/>
    <col min="4353" max="4353" width="6.33203125" style="136" customWidth="1"/>
    <col min="4354" max="4355" width="5.5" style="136" customWidth="1"/>
    <col min="4356" max="4356" width="11.5" style="136" customWidth="1"/>
    <col min="4357" max="4357" width="2.33203125" style="136" customWidth="1"/>
    <col min="4358" max="4358" width="29.6640625" style="136" customWidth="1"/>
    <col min="4359" max="4359" width="10.1640625" style="136" customWidth="1"/>
    <col min="4360" max="4360" width="8" style="136" customWidth="1"/>
    <col min="4361" max="4361" width="8.6640625" style="136" customWidth="1"/>
    <col min="4362" max="4362" width="8.33203125" style="136" customWidth="1"/>
    <col min="4363" max="4363" width="8" style="136" customWidth="1"/>
    <col min="4364" max="4364" width="9.33203125" style="136" customWidth="1"/>
    <col min="4365" max="4365" width="9.1640625" style="136" customWidth="1"/>
    <col min="4366" max="4366" width="10.5" style="136" customWidth="1"/>
    <col min="4367" max="4367" width="22.1640625" style="136" customWidth="1"/>
    <col min="4368" max="4608" width="9.1640625" style="136" customWidth="1"/>
    <col min="4609" max="4609" width="6.33203125" style="136" customWidth="1"/>
    <col min="4610" max="4611" width="5.5" style="136" customWidth="1"/>
    <col min="4612" max="4612" width="11.5" style="136" customWidth="1"/>
    <col min="4613" max="4613" width="2.33203125" style="136" customWidth="1"/>
    <col min="4614" max="4614" width="29.6640625" style="136" customWidth="1"/>
    <col min="4615" max="4615" width="10.1640625" style="136" customWidth="1"/>
    <col min="4616" max="4616" width="8" style="136" customWidth="1"/>
    <col min="4617" max="4617" width="8.6640625" style="136" customWidth="1"/>
    <col min="4618" max="4618" width="8.33203125" style="136" customWidth="1"/>
    <col min="4619" max="4619" width="8" style="136" customWidth="1"/>
    <col min="4620" max="4620" width="9.33203125" style="136" customWidth="1"/>
    <col min="4621" max="4621" width="9.1640625" style="136" customWidth="1"/>
    <col min="4622" max="4622" width="10.5" style="136" customWidth="1"/>
    <col min="4623" max="4623" width="22.1640625" style="136" customWidth="1"/>
    <col min="4624" max="4864" width="9.1640625" style="136" customWidth="1"/>
    <col min="4865" max="4865" width="6.33203125" style="136" customWidth="1"/>
    <col min="4866" max="4867" width="5.5" style="136" customWidth="1"/>
    <col min="4868" max="4868" width="11.5" style="136" customWidth="1"/>
    <col min="4869" max="4869" width="2.33203125" style="136" customWidth="1"/>
    <col min="4870" max="4870" width="29.6640625" style="136" customWidth="1"/>
    <col min="4871" max="4871" width="10.1640625" style="136" customWidth="1"/>
    <col min="4872" max="4872" width="8" style="136" customWidth="1"/>
    <col min="4873" max="4873" width="8.6640625" style="136" customWidth="1"/>
    <col min="4874" max="4874" width="8.33203125" style="136" customWidth="1"/>
    <col min="4875" max="4875" width="8" style="136" customWidth="1"/>
    <col min="4876" max="4876" width="9.33203125" style="136" customWidth="1"/>
    <col min="4877" max="4877" width="9.1640625" style="136" customWidth="1"/>
    <col min="4878" max="4878" width="10.5" style="136" customWidth="1"/>
    <col min="4879" max="4879" width="22.1640625" style="136" customWidth="1"/>
    <col min="4880" max="5120" width="9.1640625" style="136" customWidth="1"/>
    <col min="5121" max="5121" width="6.33203125" style="136" customWidth="1"/>
    <col min="5122" max="5123" width="5.5" style="136" customWidth="1"/>
    <col min="5124" max="5124" width="11.5" style="136" customWidth="1"/>
    <col min="5125" max="5125" width="2.33203125" style="136" customWidth="1"/>
    <col min="5126" max="5126" width="29.6640625" style="136" customWidth="1"/>
    <col min="5127" max="5127" width="10.1640625" style="136" customWidth="1"/>
    <col min="5128" max="5128" width="8" style="136" customWidth="1"/>
    <col min="5129" max="5129" width="8.6640625" style="136" customWidth="1"/>
    <col min="5130" max="5130" width="8.33203125" style="136" customWidth="1"/>
    <col min="5131" max="5131" width="8" style="136" customWidth="1"/>
    <col min="5132" max="5132" width="9.33203125" style="136" customWidth="1"/>
    <col min="5133" max="5133" width="9.1640625" style="136" customWidth="1"/>
    <col min="5134" max="5134" width="10.5" style="136" customWidth="1"/>
    <col min="5135" max="5135" width="22.1640625" style="136" customWidth="1"/>
    <col min="5136" max="5376" width="9.1640625" style="136" customWidth="1"/>
    <col min="5377" max="5377" width="6.33203125" style="136" customWidth="1"/>
    <col min="5378" max="5379" width="5.5" style="136" customWidth="1"/>
    <col min="5380" max="5380" width="11.5" style="136" customWidth="1"/>
    <col min="5381" max="5381" width="2.33203125" style="136" customWidth="1"/>
    <col min="5382" max="5382" width="29.6640625" style="136" customWidth="1"/>
    <col min="5383" max="5383" width="10.1640625" style="136" customWidth="1"/>
    <col min="5384" max="5384" width="8" style="136" customWidth="1"/>
    <col min="5385" max="5385" width="8.6640625" style="136" customWidth="1"/>
    <col min="5386" max="5386" width="8.33203125" style="136" customWidth="1"/>
    <col min="5387" max="5387" width="8" style="136" customWidth="1"/>
    <col min="5388" max="5388" width="9.33203125" style="136" customWidth="1"/>
    <col min="5389" max="5389" width="9.1640625" style="136" customWidth="1"/>
    <col min="5390" max="5390" width="10.5" style="136" customWidth="1"/>
    <col min="5391" max="5391" width="22.1640625" style="136" customWidth="1"/>
    <col min="5392" max="5632" width="9.1640625" style="136" customWidth="1"/>
    <col min="5633" max="5633" width="6.33203125" style="136" customWidth="1"/>
    <col min="5634" max="5635" width="5.5" style="136" customWidth="1"/>
    <col min="5636" max="5636" width="11.5" style="136" customWidth="1"/>
    <col min="5637" max="5637" width="2.33203125" style="136" customWidth="1"/>
    <col min="5638" max="5638" width="29.6640625" style="136" customWidth="1"/>
    <col min="5639" max="5639" width="10.1640625" style="136" customWidth="1"/>
    <col min="5640" max="5640" width="8" style="136" customWidth="1"/>
    <col min="5641" max="5641" width="8.6640625" style="136" customWidth="1"/>
    <col min="5642" max="5642" width="8.33203125" style="136" customWidth="1"/>
    <col min="5643" max="5643" width="8" style="136" customWidth="1"/>
    <col min="5644" max="5644" width="9.33203125" style="136" customWidth="1"/>
    <col min="5645" max="5645" width="9.1640625" style="136" customWidth="1"/>
    <col min="5646" max="5646" width="10.5" style="136" customWidth="1"/>
    <col min="5647" max="5647" width="22.1640625" style="136" customWidth="1"/>
    <col min="5648" max="5888" width="9.1640625" style="136" customWidth="1"/>
    <col min="5889" max="5889" width="6.33203125" style="136" customWidth="1"/>
    <col min="5890" max="5891" width="5.5" style="136" customWidth="1"/>
    <col min="5892" max="5892" width="11.5" style="136" customWidth="1"/>
    <col min="5893" max="5893" width="2.33203125" style="136" customWidth="1"/>
    <col min="5894" max="5894" width="29.6640625" style="136" customWidth="1"/>
    <col min="5895" max="5895" width="10.1640625" style="136" customWidth="1"/>
    <col min="5896" max="5896" width="8" style="136" customWidth="1"/>
    <col min="5897" max="5897" width="8.6640625" style="136" customWidth="1"/>
    <col min="5898" max="5898" width="8.33203125" style="136" customWidth="1"/>
    <col min="5899" max="5899" width="8" style="136" customWidth="1"/>
    <col min="5900" max="5900" width="9.33203125" style="136" customWidth="1"/>
    <col min="5901" max="5901" width="9.1640625" style="136" customWidth="1"/>
    <col min="5902" max="5902" width="10.5" style="136" customWidth="1"/>
    <col min="5903" max="5903" width="22.1640625" style="136" customWidth="1"/>
    <col min="5904" max="6144" width="9.1640625" style="136" customWidth="1"/>
    <col min="6145" max="6145" width="6.33203125" style="136" customWidth="1"/>
    <col min="6146" max="6147" width="5.5" style="136" customWidth="1"/>
    <col min="6148" max="6148" width="11.5" style="136" customWidth="1"/>
    <col min="6149" max="6149" width="2.33203125" style="136" customWidth="1"/>
    <col min="6150" max="6150" width="29.6640625" style="136" customWidth="1"/>
    <col min="6151" max="6151" width="10.1640625" style="136" customWidth="1"/>
    <col min="6152" max="6152" width="8" style="136" customWidth="1"/>
    <col min="6153" max="6153" width="8.6640625" style="136" customWidth="1"/>
    <col min="6154" max="6154" width="8.33203125" style="136" customWidth="1"/>
    <col min="6155" max="6155" width="8" style="136" customWidth="1"/>
    <col min="6156" max="6156" width="9.33203125" style="136" customWidth="1"/>
    <col min="6157" max="6157" width="9.1640625" style="136" customWidth="1"/>
    <col min="6158" max="6158" width="10.5" style="136" customWidth="1"/>
    <col min="6159" max="6159" width="22.1640625" style="136" customWidth="1"/>
    <col min="6160" max="6400" width="9.1640625" style="136" customWidth="1"/>
    <col min="6401" max="6401" width="6.33203125" style="136" customWidth="1"/>
    <col min="6402" max="6403" width="5.5" style="136" customWidth="1"/>
    <col min="6404" max="6404" width="11.5" style="136" customWidth="1"/>
    <col min="6405" max="6405" width="2.33203125" style="136" customWidth="1"/>
    <col min="6406" max="6406" width="29.6640625" style="136" customWidth="1"/>
    <col min="6407" max="6407" width="10.1640625" style="136" customWidth="1"/>
    <col min="6408" max="6408" width="8" style="136" customWidth="1"/>
    <col min="6409" max="6409" width="8.6640625" style="136" customWidth="1"/>
    <col min="6410" max="6410" width="8.33203125" style="136" customWidth="1"/>
    <col min="6411" max="6411" width="8" style="136" customWidth="1"/>
    <col min="6412" max="6412" width="9.33203125" style="136" customWidth="1"/>
    <col min="6413" max="6413" width="9.1640625" style="136" customWidth="1"/>
    <col min="6414" max="6414" width="10.5" style="136" customWidth="1"/>
    <col min="6415" max="6415" width="22.1640625" style="136" customWidth="1"/>
    <col min="6416" max="6656" width="9.1640625" style="136" customWidth="1"/>
    <col min="6657" max="6657" width="6.33203125" style="136" customWidth="1"/>
    <col min="6658" max="6659" width="5.5" style="136" customWidth="1"/>
    <col min="6660" max="6660" width="11.5" style="136" customWidth="1"/>
    <col min="6661" max="6661" width="2.33203125" style="136" customWidth="1"/>
    <col min="6662" max="6662" width="29.6640625" style="136" customWidth="1"/>
    <col min="6663" max="6663" width="10.1640625" style="136" customWidth="1"/>
    <col min="6664" max="6664" width="8" style="136" customWidth="1"/>
    <col min="6665" max="6665" width="8.6640625" style="136" customWidth="1"/>
    <col min="6666" max="6666" width="8.33203125" style="136" customWidth="1"/>
    <col min="6667" max="6667" width="8" style="136" customWidth="1"/>
    <col min="6668" max="6668" width="9.33203125" style="136" customWidth="1"/>
    <col min="6669" max="6669" width="9.1640625" style="136" customWidth="1"/>
    <col min="6670" max="6670" width="10.5" style="136" customWidth="1"/>
    <col min="6671" max="6671" width="22.1640625" style="136" customWidth="1"/>
    <col min="6672" max="6912" width="9.1640625" style="136" customWidth="1"/>
    <col min="6913" max="6913" width="6.33203125" style="136" customWidth="1"/>
    <col min="6914" max="6915" width="5.5" style="136" customWidth="1"/>
    <col min="6916" max="6916" width="11.5" style="136" customWidth="1"/>
    <col min="6917" max="6917" width="2.33203125" style="136" customWidth="1"/>
    <col min="6918" max="6918" width="29.6640625" style="136" customWidth="1"/>
    <col min="6919" max="6919" width="10.1640625" style="136" customWidth="1"/>
    <col min="6920" max="6920" width="8" style="136" customWidth="1"/>
    <col min="6921" max="6921" width="8.6640625" style="136" customWidth="1"/>
    <col min="6922" max="6922" width="8.33203125" style="136" customWidth="1"/>
    <col min="6923" max="6923" width="8" style="136" customWidth="1"/>
    <col min="6924" max="6924" width="9.33203125" style="136" customWidth="1"/>
    <col min="6925" max="6925" width="9.1640625" style="136" customWidth="1"/>
    <col min="6926" max="6926" width="10.5" style="136" customWidth="1"/>
    <col min="6927" max="6927" width="22.1640625" style="136" customWidth="1"/>
    <col min="6928" max="7168" width="9.1640625" style="136" customWidth="1"/>
    <col min="7169" max="7169" width="6.33203125" style="136" customWidth="1"/>
    <col min="7170" max="7171" width="5.5" style="136" customWidth="1"/>
    <col min="7172" max="7172" width="11.5" style="136" customWidth="1"/>
    <col min="7173" max="7173" width="2.33203125" style="136" customWidth="1"/>
    <col min="7174" max="7174" width="29.6640625" style="136" customWidth="1"/>
    <col min="7175" max="7175" width="10.1640625" style="136" customWidth="1"/>
    <col min="7176" max="7176" width="8" style="136" customWidth="1"/>
    <col min="7177" max="7177" width="8.6640625" style="136" customWidth="1"/>
    <col min="7178" max="7178" width="8.33203125" style="136" customWidth="1"/>
    <col min="7179" max="7179" width="8" style="136" customWidth="1"/>
    <col min="7180" max="7180" width="9.33203125" style="136" customWidth="1"/>
    <col min="7181" max="7181" width="9.1640625" style="136" customWidth="1"/>
    <col min="7182" max="7182" width="10.5" style="136" customWidth="1"/>
    <col min="7183" max="7183" width="22.1640625" style="136" customWidth="1"/>
    <col min="7184" max="7424" width="9.1640625" style="136" customWidth="1"/>
    <col min="7425" max="7425" width="6.33203125" style="136" customWidth="1"/>
    <col min="7426" max="7427" width="5.5" style="136" customWidth="1"/>
    <col min="7428" max="7428" width="11.5" style="136" customWidth="1"/>
    <col min="7429" max="7429" width="2.33203125" style="136" customWidth="1"/>
    <col min="7430" max="7430" width="29.6640625" style="136" customWidth="1"/>
    <col min="7431" max="7431" width="10.1640625" style="136" customWidth="1"/>
    <col min="7432" max="7432" width="8" style="136" customWidth="1"/>
    <col min="7433" max="7433" width="8.6640625" style="136" customWidth="1"/>
    <col min="7434" max="7434" width="8.33203125" style="136" customWidth="1"/>
    <col min="7435" max="7435" width="8" style="136" customWidth="1"/>
    <col min="7436" max="7436" width="9.33203125" style="136" customWidth="1"/>
    <col min="7437" max="7437" width="9.1640625" style="136" customWidth="1"/>
    <col min="7438" max="7438" width="10.5" style="136" customWidth="1"/>
    <col min="7439" max="7439" width="22.1640625" style="136" customWidth="1"/>
    <col min="7440" max="7680" width="9.1640625" style="136" customWidth="1"/>
    <col min="7681" max="7681" width="6.33203125" style="136" customWidth="1"/>
    <col min="7682" max="7683" width="5.5" style="136" customWidth="1"/>
    <col min="7684" max="7684" width="11.5" style="136" customWidth="1"/>
    <col min="7685" max="7685" width="2.33203125" style="136" customWidth="1"/>
    <col min="7686" max="7686" width="29.6640625" style="136" customWidth="1"/>
    <col min="7687" max="7687" width="10.1640625" style="136" customWidth="1"/>
    <col min="7688" max="7688" width="8" style="136" customWidth="1"/>
    <col min="7689" max="7689" width="8.6640625" style="136" customWidth="1"/>
    <col min="7690" max="7690" width="8.33203125" style="136" customWidth="1"/>
    <col min="7691" max="7691" width="8" style="136" customWidth="1"/>
    <col min="7692" max="7692" width="9.33203125" style="136" customWidth="1"/>
    <col min="7693" max="7693" width="9.1640625" style="136" customWidth="1"/>
    <col min="7694" max="7694" width="10.5" style="136" customWidth="1"/>
    <col min="7695" max="7695" width="22.1640625" style="136" customWidth="1"/>
    <col min="7696" max="7936" width="9.1640625" style="136" customWidth="1"/>
    <col min="7937" max="7937" width="6.33203125" style="136" customWidth="1"/>
    <col min="7938" max="7939" width="5.5" style="136" customWidth="1"/>
    <col min="7940" max="7940" width="11.5" style="136" customWidth="1"/>
    <col min="7941" max="7941" width="2.33203125" style="136" customWidth="1"/>
    <col min="7942" max="7942" width="29.6640625" style="136" customWidth="1"/>
    <col min="7943" max="7943" width="10.1640625" style="136" customWidth="1"/>
    <col min="7944" max="7944" width="8" style="136" customWidth="1"/>
    <col min="7945" max="7945" width="8.6640625" style="136" customWidth="1"/>
    <col min="7946" max="7946" width="8.33203125" style="136" customWidth="1"/>
    <col min="7947" max="7947" width="8" style="136" customWidth="1"/>
    <col min="7948" max="7948" width="9.33203125" style="136" customWidth="1"/>
    <col min="7949" max="7949" width="9.1640625" style="136" customWidth="1"/>
    <col min="7950" max="7950" width="10.5" style="136" customWidth="1"/>
    <col min="7951" max="7951" width="22.1640625" style="136" customWidth="1"/>
    <col min="7952" max="8192" width="9.1640625" style="136" customWidth="1"/>
    <col min="8193" max="8193" width="6.33203125" style="136" customWidth="1"/>
    <col min="8194" max="8195" width="5.5" style="136" customWidth="1"/>
    <col min="8196" max="8196" width="11.5" style="136" customWidth="1"/>
    <col min="8197" max="8197" width="2.33203125" style="136" customWidth="1"/>
    <col min="8198" max="8198" width="29.6640625" style="136" customWidth="1"/>
    <col min="8199" max="8199" width="10.1640625" style="136" customWidth="1"/>
    <col min="8200" max="8200" width="8" style="136" customWidth="1"/>
    <col min="8201" max="8201" width="8.6640625" style="136" customWidth="1"/>
    <col min="8202" max="8202" width="8.33203125" style="136" customWidth="1"/>
    <col min="8203" max="8203" width="8" style="136" customWidth="1"/>
    <col min="8204" max="8204" width="9.33203125" style="136" customWidth="1"/>
    <col min="8205" max="8205" width="9.1640625" style="136" customWidth="1"/>
    <col min="8206" max="8206" width="10.5" style="136" customWidth="1"/>
    <col min="8207" max="8207" width="22.1640625" style="136" customWidth="1"/>
    <col min="8208" max="8448" width="9.1640625" style="136" customWidth="1"/>
    <col min="8449" max="8449" width="6.33203125" style="136" customWidth="1"/>
    <col min="8450" max="8451" width="5.5" style="136" customWidth="1"/>
    <col min="8452" max="8452" width="11.5" style="136" customWidth="1"/>
    <col min="8453" max="8453" width="2.33203125" style="136" customWidth="1"/>
    <col min="8454" max="8454" width="29.6640625" style="136" customWidth="1"/>
    <col min="8455" max="8455" width="10.1640625" style="136" customWidth="1"/>
    <col min="8456" max="8456" width="8" style="136" customWidth="1"/>
    <col min="8457" max="8457" width="8.6640625" style="136" customWidth="1"/>
    <col min="8458" max="8458" width="8.33203125" style="136" customWidth="1"/>
    <col min="8459" max="8459" width="8" style="136" customWidth="1"/>
    <col min="8460" max="8460" width="9.33203125" style="136" customWidth="1"/>
    <col min="8461" max="8461" width="9.1640625" style="136" customWidth="1"/>
    <col min="8462" max="8462" width="10.5" style="136" customWidth="1"/>
    <col min="8463" max="8463" width="22.1640625" style="136" customWidth="1"/>
    <col min="8464" max="8704" width="9.1640625" style="136" customWidth="1"/>
    <col min="8705" max="8705" width="6.33203125" style="136" customWidth="1"/>
    <col min="8706" max="8707" width="5.5" style="136" customWidth="1"/>
    <col min="8708" max="8708" width="11.5" style="136" customWidth="1"/>
    <col min="8709" max="8709" width="2.33203125" style="136" customWidth="1"/>
    <col min="8710" max="8710" width="29.6640625" style="136" customWidth="1"/>
    <col min="8711" max="8711" width="10.1640625" style="136" customWidth="1"/>
    <col min="8712" max="8712" width="8" style="136" customWidth="1"/>
    <col min="8713" max="8713" width="8.6640625" style="136" customWidth="1"/>
    <col min="8714" max="8714" width="8.33203125" style="136" customWidth="1"/>
    <col min="8715" max="8715" width="8" style="136" customWidth="1"/>
    <col min="8716" max="8716" width="9.33203125" style="136" customWidth="1"/>
    <col min="8717" max="8717" width="9.1640625" style="136" customWidth="1"/>
    <col min="8718" max="8718" width="10.5" style="136" customWidth="1"/>
    <col min="8719" max="8719" width="22.1640625" style="136" customWidth="1"/>
    <col min="8720" max="8960" width="9.1640625" style="136" customWidth="1"/>
    <col min="8961" max="8961" width="6.33203125" style="136" customWidth="1"/>
    <col min="8962" max="8963" width="5.5" style="136" customWidth="1"/>
    <col min="8964" max="8964" width="11.5" style="136" customWidth="1"/>
    <col min="8965" max="8965" width="2.33203125" style="136" customWidth="1"/>
    <col min="8966" max="8966" width="29.6640625" style="136" customWidth="1"/>
    <col min="8967" max="8967" width="10.1640625" style="136" customWidth="1"/>
    <col min="8968" max="8968" width="8" style="136" customWidth="1"/>
    <col min="8969" max="8969" width="8.6640625" style="136" customWidth="1"/>
    <col min="8970" max="8970" width="8.33203125" style="136" customWidth="1"/>
    <col min="8971" max="8971" width="8" style="136" customWidth="1"/>
    <col min="8972" max="8972" width="9.33203125" style="136" customWidth="1"/>
    <col min="8973" max="8973" width="9.1640625" style="136" customWidth="1"/>
    <col min="8974" max="8974" width="10.5" style="136" customWidth="1"/>
    <col min="8975" max="8975" width="22.1640625" style="136" customWidth="1"/>
    <col min="8976" max="9216" width="9.1640625" style="136" customWidth="1"/>
    <col min="9217" max="9217" width="6.33203125" style="136" customWidth="1"/>
    <col min="9218" max="9219" width="5.5" style="136" customWidth="1"/>
    <col min="9220" max="9220" width="11.5" style="136" customWidth="1"/>
    <col min="9221" max="9221" width="2.33203125" style="136" customWidth="1"/>
    <col min="9222" max="9222" width="29.6640625" style="136" customWidth="1"/>
    <col min="9223" max="9223" width="10.1640625" style="136" customWidth="1"/>
    <col min="9224" max="9224" width="8" style="136" customWidth="1"/>
    <col min="9225" max="9225" width="8.6640625" style="136" customWidth="1"/>
    <col min="9226" max="9226" width="8.33203125" style="136" customWidth="1"/>
    <col min="9227" max="9227" width="8" style="136" customWidth="1"/>
    <col min="9228" max="9228" width="9.33203125" style="136" customWidth="1"/>
    <col min="9229" max="9229" width="9.1640625" style="136" customWidth="1"/>
    <col min="9230" max="9230" width="10.5" style="136" customWidth="1"/>
    <col min="9231" max="9231" width="22.1640625" style="136" customWidth="1"/>
    <col min="9232" max="9472" width="9.1640625" style="136" customWidth="1"/>
    <col min="9473" max="9473" width="6.33203125" style="136" customWidth="1"/>
    <col min="9474" max="9475" width="5.5" style="136" customWidth="1"/>
    <col min="9476" max="9476" width="11.5" style="136" customWidth="1"/>
    <col min="9477" max="9477" width="2.33203125" style="136" customWidth="1"/>
    <col min="9478" max="9478" width="29.6640625" style="136" customWidth="1"/>
    <col min="9479" max="9479" width="10.1640625" style="136" customWidth="1"/>
    <col min="9480" max="9480" width="8" style="136" customWidth="1"/>
    <col min="9481" max="9481" width="8.6640625" style="136" customWidth="1"/>
    <col min="9482" max="9482" width="8.33203125" style="136" customWidth="1"/>
    <col min="9483" max="9483" width="8" style="136" customWidth="1"/>
    <col min="9484" max="9484" width="9.33203125" style="136" customWidth="1"/>
    <col min="9485" max="9485" width="9.1640625" style="136" customWidth="1"/>
    <col min="9486" max="9486" width="10.5" style="136" customWidth="1"/>
    <col min="9487" max="9487" width="22.1640625" style="136" customWidth="1"/>
    <col min="9488" max="9728" width="9.1640625" style="136" customWidth="1"/>
    <col min="9729" max="9729" width="6.33203125" style="136" customWidth="1"/>
    <col min="9730" max="9731" width="5.5" style="136" customWidth="1"/>
    <col min="9732" max="9732" width="11.5" style="136" customWidth="1"/>
    <col min="9733" max="9733" width="2.33203125" style="136" customWidth="1"/>
    <col min="9734" max="9734" width="29.6640625" style="136" customWidth="1"/>
    <col min="9735" max="9735" width="10.1640625" style="136" customWidth="1"/>
    <col min="9736" max="9736" width="8" style="136" customWidth="1"/>
    <col min="9737" max="9737" width="8.6640625" style="136" customWidth="1"/>
    <col min="9738" max="9738" width="8.33203125" style="136" customWidth="1"/>
    <col min="9739" max="9739" width="8" style="136" customWidth="1"/>
    <col min="9740" max="9740" width="9.33203125" style="136" customWidth="1"/>
    <col min="9741" max="9741" width="9.1640625" style="136" customWidth="1"/>
    <col min="9742" max="9742" width="10.5" style="136" customWidth="1"/>
    <col min="9743" max="9743" width="22.1640625" style="136" customWidth="1"/>
    <col min="9744" max="9984" width="9.1640625" style="136" customWidth="1"/>
    <col min="9985" max="9985" width="6.33203125" style="136" customWidth="1"/>
    <col min="9986" max="9987" width="5.5" style="136" customWidth="1"/>
    <col min="9988" max="9988" width="11.5" style="136" customWidth="1"/>
    <col min="9989" max="9989" width="2.33203125" style="136" customWidth="1"/>
    <col min="9990" max="9990" width="29.6640625" style="136" customWidth="1"/>
    <col min="9991" max="9991" width="10.1640625" style="136" customWidth="1"/>
    <col min="9992" max="9992" width="8" style="136" customWidth="1"/>
    <col min="9993" max="9993" width="8.6640625" style="136" customWidth="1"/>
    <col min="9994" max="9994" width="8.33203125" style="136" customWidth="1"/>
    <col min="9995" max="9995" width="8" style="136" customWidth="1"/>
    <col min="9996" max="9996" width="9.33203125" style="136" customWidth="1"/>
    <col min="9997" max="9997" width="9.1640625" style="136" customWidth="1"/>
    <col min="9998" max="9998" width="10.5" style="136" customWidth="1"/>
    <col min="9999" max="9999" width="22.1640625" style="136" customWidth="1"/>
    <col min="10000" max="10240" width="9.1640625" style="136" customWidth="1"/>
    <col min="10241" max="10241" width="6.33203125" style="136" customWidth="1"/>
    <col min="10242" max="10243" width="5.5" style="136" customWidth="1"/>
    <col min="10244" max="10244" width="11.5" style="136" customWidth="1"/>
    <col min="10245" max="10245" width="2.33203125" style="136" customWidth="1"/>
    <col min="10246" max="10246" width="29.6640625" style="136" customWidth="1"/>
    <col min="10247" max="10247" width="10.1640625" style="136" customWidth="1"/>
    <col min="10248" max="10248" width="8" style="136" customWidth="1"/>
    <col min="10249" max="10249" width="8.6640625" style="136" customWidth="1"/>
    <col min="10250" max="10250" width="8.33203125" style="136" customWidth="1"/>
    <col min="10251" max="10251" width="8" style="136" customWidth="1"/>
    <col min="10252" max="10252" width="9.33203125" style="136" customWidth="1"/>
    <col min="10253" max="10253" width="9.1640625" style="136" customWidth="1"/>
    <col min="10254" max="10254" width="10.5" style="136" customWidth="1"/>
    <col min="10255" max="10255" width="22.1640625" style="136" customWidth="1"/>
    <col min="10256" max="10496" width="9.1640625" style="136" customWidth="1"/>
    <col min="10497" max="10497" width="6.33203125" style="136" customWidth="1"/>
    <col min="10498" max="10499" width="5.5" style="136" customWidth="1"/>
    <col min="10500" max="10500" width="11.5" style="136" customWidth="1"/>
    <col min="10501" max="10501" width="2.33203125" style="136" customWidth="1"/>
    <col min="10502" max="10502" width="29.6640625" style="136" customWidth="1"/>
    <col min="10503" max="10503" width="10.1640625" style="136" customWidth="1"/>
    <col min="10504" max="10504" width="8" style="136" customWidth="1"/>
    <col min="10505" max="10505" width="8.6640625" style="136" customWidth="1"/>
    <col min="10506" max="10506" width="8.33203125" style="136" customWidth="1"/>
    <col min="10507" max="10507" width="8" style="136" customWidth="1"/>
    <col min="10508" max="10508" width="9.33203125" style="136" customWidth="1"/>
    <col min="10509" max="10509" width="9.1640625" style="136" customWidth="1"/>
    <col min="10510" max="10510" width="10.5" style="136" customWidth="1"/>
    <col min="10511" max="10511" width="22.1640625" style="136" customWidth="1"/>
    <col min="10512" max="10752" width="9.1640625" style="136" customWidth="1"/>
    <col min="10753" max="10753" width="6.33203125" style="136" customWidth="1"/>
    <col min="10754" max="10755" width="5.5" style="136" customWidth="1"/>
    <col min="10756" max="10756" width="11.5" style="136" customWidth="1"/>
    <col min="10757" max="10757" width="2.33203125" style="136" customWidth="1"/>
    <col min="10758" max="10758" width="29.6640625" style="136" customWidth="1"/>
    <col min="10759" max="10759" width="10.1640625" style="136" customWidth="1"/>
    <col min="10760" max="10760" width="8" style="136" customWidth="1"/>
    <col min="10761" max="10761" width="8.6640625" style="136" customWidth="1"/>
    <col min="10762" max="10762" width="8.33203125" style="136" customWidth="1"/>
    <col min="10763" max="10763" width="8" style="136" customWidth="1"/>
    <col min="10764" max="10764" width="9.33203125" style="136" customWidth="1"/>
    <col min="10765" max="10765" width="9.1640625" style="136" customWidth="1"/>
    <col min="10766" max="10766" width="10.5" style="136" customWidth="1"/>
    <col min="10767" max="10767" width="22.1640625" style="136" customWidth="1"/>
    <col min="10768" max="11008" width="9.1640625" style="136" customWidth="1"/>
    <col min="11009" max="11009" width="6.33203125" style="136" customWidth="1"/>
    <col min="11010" max="11011" width="5.5" style="136" customWidth="1"/>
    <col min="11012" max="11012" width="11.5" style="136" customWidth="1"/>
    <col min="11013" max="11013" width="2.33203125" style="136" customWidth="1"/>
    <col min="11014" max="11014" width="29.6640625" style="136" customWidth="1"/>
    <col min="11015" max="11015" width="10.1640625" style="136" customWidth="1"/>
    <col min="11016" max="11016" width="8" style="136" customWidth="1"/>
    <col min="11017" max="11017" width="8.6640625" style="136" customWidth="1"/>
    <col min="11018" max="11018" width="8.33203125" style="136" customWidth="1"/>
    <col min="11019" max="11019" width="8" style="136" customWidth="1"/>
    <col min="11020" max="11020" width="9.33203125" style="136" customWidth="1"/>
    <col min="11021" max="11021" width="9.1640625" style="136" customWidth="1"/>
    <col min="11022" max="11022" width="10.5" style="136" customWidth="1"/>
    <col min="11023" max="11023" width="22.1640625" style="136" customWidth="1"/>
    <col min="11024" max="11264" width="9.1640625" style="136" customWidth="1"/>
    <col min="11265" max="11265" width="6.33203125" style="136" customWidth="1"/>
    <col min="11266" max="11267" width="5.5" style="136" customWidth="1"/>
    <col min="11268" max="11268" width="11.5" style="136" customWidth="1"/>
    <col min="11269" max="11269" width="2.33203125" style="136" customWidth="1"/>
    <col min="11270" max="11270" width="29.6640625" style="136" customWidth="1"/>
    <col min="11271" max="11271" width="10.1640625" style="136" customWidth="1"/>
    <col min="11272" max="11272" width="8" style="136" customWidth="1"/>
    <col min="11273" max="11273" width="8.6640625" style="136" customWidth="1"/>
    <col min="11274" max="11274" width="8.33203125" style="136" customWidth="1"/>
    <col min="11275" max="11275" width="8" style="136" customWidth="1"/>
    <col min="11276" max="11276" width="9.33203125" style="136" customWidth="1"/>
    <col min="11277" max="11277" width="9.1640625" style="136" customWidth="1"/>
    <col min="11278" max="11278" width="10.5" style="136" customWidth="1"/>
    <col min="11279" max="11279" width="22.1640625" style="136" customWidth="1"/>
    <col min="11280" max="11520" width="9.1640625" style="136" customWidth="1"/>
    <col min="11521" max="11521" width="6.33203125" style="136" customWidth="1"/>
    <col min="11522" max="11523" width="5.5" style="136" customWidth="1"/>
    <col min="11524" max="11524" width="11.5" style="136" customWidth="1"/>
    <col min="11525" max="11525" width="2.33203125" style="136" customWidth="1"/>
    <col min="11526" max="11526" width="29.6640625" style="136" customWidth="1"/>
    <col min="11527" max="11527" width="10.1640625" style="136" customWidth="1"/>
    <col min="11528" max="11528" width="8" style="136" customWidth="1"/>
    <col min="11529" max="11529" width="8.6640625" style="136" customWidth="1"/>
    <col min="11530" max="11530" width="8.33203125" style="136" customWidth="1"/>
    <col min="11531" max="11531" width="8" style="136" customWidth="1"/>
    <col min="11532" max="11532" width="9.33203125" style="136" customWidth="1"/>
    <col min="11533" max="11533" width="9.1640625" style="136" customWidth="1"/>
    <col min="11534" max="11534" width="10.5" style="136" customWidth="1"/>
    <col min="11535" max="11535" width="22.1640625" style="136" customWidth="1"/>
    <col min="11536" max="11776" width="9.1640625" style="136" customWidth="1"/>
    <col min="11777" max="11777" width="6.33203125" style="136" customWidth="1"/>
    <col min="11778" max="11779" width="5.5" style="136" customWidth="1"/>
    <col min="11780" max="11780" width="11.5" style="136" customWidth="1"/>
    <col min="11781" max="11781" width="2.33203125" style="136" customWidth="1"/>
    <col min="11782" max="11782" width="29.6640625" style="136" customWidth="1"/>
    <col min="11783" max="11783" width="10.1640625" style="136" customWidth="1"/>
    <col min="11784" max="11784" width="8" style="136" customWidth="1"/>
    <col min="11785" max="11785" width="8.6640625" style="136" customWidth="1"/>
    <col min="11786" max="11786" width="8.33203125" style="136" customWidth="1"/>
    <col min="11787" max="11787" width="8" style="136" customWidth="1"/>
    <col min="11788" max="11788" width="9.33203125" style="136" customWidth="1"/>
    <col min="11789" max="11789" width="9.1640625" style="136" customWidth="1"/>
    <col min="11790" max="11790" width="10.5" style="136" customWidth="1"/>
    <col min="11791" max="11791" width="22.1640625" style="136" customWidth="1"/>
    <col min="11792" max="12032" width="9.1640625" style="136" customWidth="1"/>
    <col min="12033" max="12033" width="6.33203125" style="136" customWidth="1"/>
    <col min="12034" max="12035" width="5.5" style="136" customWidth="1"/>
    <col min="12036" max="12036" width="11.5" style="136" customWidth="1"/>
    <col min="12037" max="12037" width="2.33203125" style="136" customWidth="1"/>
    <col min="12038" max="12038" width="29.6640625" style="136" customWidth="1"/>
    <col min="12039" max="12039" width="10.1640625" style="136" customWidth="1"/>
    <col min="12040" max="12040" width="8" style="136" customWidth="1"/>
    <col min="12041" max="12041" width="8.6640625" style="136" customWidth="1"/>
    <col min="12042" max="12042" width="8.33203125" style="136" customWidth="1"/>
    <col min="12043" max="12043" width="8" style="136" customWidth="1"/>
    <col min="12044" max="12044" width="9.33203125" style="136" customWidth="1"/>
    <col min="12045" max="12045" width="9.1640625" style="136" customWidth="1"/>
    <col min="12046" max="12046" width="10.5" style="136" customWidth="1"/>
    <col min="12047" max="12047" width="22.1640625" style="136" customWidth="1"/>
    <col min="12048" max="12288" width="9.1640625" style="136" customWidth="1"/>
    <col min="12289" max="12289" width="6.33203125" style="136" customWidth="1"/>
    <col min="12290" max="12291" width="5.5" style="136" customWidth="1"/>
    <col min="12292" max="12292" width="11.5" style="136" customWidth="1"/>
    <col min="12293" max="12293" width="2.33203125" style="136" customWidth="1"/>
    <col min="12294" max="12294" width="29.6640625" style="136" customWidth="1"/>
    <col min="12295" max="12295" width="10.1640625" style="136" customWidth="1"/>
    <col min="12296" max="12296" width="8" style="136" customWidth="1"/>
    <col min="12297" max="12297" width="8.6640625" style="136" customWidth="1"/>
    <col min="12298" max="12298" width="8.33203125" style="136" customWidth="1"/>
    <col min="12299" max="12299" width="8" style="136" customWidth="1"/>
    <col min="12300" max="12300" width="9.33203125" style="136" customWidth="1"/>
    <col min="12301" max="12301" width="9.1640625" style="136" customWidth="1"/>
    <col min="12302" max="12302" width="10.5" style="136" customWidth="1"/>
    <col min="12303" max="12303" width="22.1640625" style="136" customWidth="1"/>
    <col min="12304" max="12544" width="9.1640625" style="136" customWidth="1"/>
    <col min="12545" max="12545" width="6.33203125" style="136" customWidth="1"/>
    <col min="12546" max="12547" width="5.5" style="136" customWidth="1"/>
    <col min="12548" max="12548" width="11.5" style="136" customWidth="1"/>
    <col min="12549" max="12549" width="2.33203125" style="136" customWidth="1"/>
    <col min="12550" max="12550" width="29.6640625" style="136" customWidth="1"/>
    <col min="12551" max="12551" width="10.1640625" style="136" customWidth="1"/>
    <col min="12552" max="12552" width="8" style="136" customWidth="1"/>
    <col min="12553" max="12553" width="8.6640625" style="136" customWidth="1"/>
    <col min="12554" max="12554" width="8.33203125" style="136" customWidth="1"/>
    <col min="12555" max="12555" width="8" style="136" customWidth="1"/>
    <col min="12556" max="12556" width="9.33203125" style="136" customWidth="1"/>
    <col min="12557" max="12557" width="9.1640625" style="136" customWidth="1"/>
    <col min="12558" max="12558" width="10.5" style="136" customWidth="1"/>
    <col min="12559" max="12559" width="22.1640625" style="136" customWidth="1"/>
    <col min="12560" max="12800" width="9.1640625" style="136" customWidth="1"/>
    <col min="12801" max="12801" width="6.33203125" style="136" customWidth="1"/>
    <col min="12802" max="12803" width="5.5" style="136" customWidth="1"/>
    <col min="12804" max="12804" width="11.5" style="136" customWidth="1"/>
    <col min="12805" max="12805" width="2.33203125" style="136" customWidth="1"/>
    <col min="12806" max="12806" width="29.6640625" style="136" customWidth="1"/>
    <col min="12807" max="12807" width="10.1640625" style="136" customWidth="1"/>
    <col min="12808" max="12808" width="8" style="136" customWidth="1"/>
    <col min="12809" max="12809" width="8.6640625" style="136" customWidth="1"/>
    <col min="12810" max="12810" width="8.33203125" style="136" customWidth="1"/>
    <col min="12811" max="12811" width="8" style="136" customWidth="1"/>
    <col min="12812" max="12812" width="9.33203125" style="136" customWidth="1"/>
    <col min="12813" max="12813" width="9.1640625" style="136" customWidth="1"/>
    <col min="12814" max="12814" width="10.5" style="136" customWidth="1"/>
    <col min="12815" max="12815" width="22.1640625" style="136" customWidth="1"/>
    <col min="12816" max="13056" width="9.1640625" style="136" customWidth="1"/>
    <col min="13057" max="13057" width="6.33203125" style="136" customWidth="1"/>
    <col min="13058" max="13059" width="5.5" style="136" customWidth="1"/>
    <col min="13060" max="13060" width="11.5" style="136" customWidth="1"/>
    <col min="13061" max="13061" width="2.33203125" style="136" customWidth="1"/>
    <col min="13062" max="13062" width="29.6640625" style="136" customWidth="1"/>
    <col min="13063" max="13063" width="10.1640625" style="136" customWidth="1"/>
    <col min="13064" max="13064" width="8" style="136" customWidth="1"/>
    <col min="13065" max="13065" width="8.6640625" style="136" customWidth="1"/>
    <col min="13066" max="13066" width="8.33203125" style="136" customWidth="1"/>
    <col min="13067" max="13067" width="8" style="136" customWidth="1"/>
    <col min="13068" max="13068" width="9.33203125" style="136" customWidth="1"/>
    <col min="13069" max="13069" width="9.1640625" style="136" customWidth="1"/>
    <col min="13070" max="13070" width="10.5" style="136" customWidth="1"/>
    <col min="13071" max="13071" width="22.1640625" style="136" customWidth="1"/>
    <col min="13072" max="13312" width="9.1640625" style="136" customWidth="1"/>
    <col min="13313" max="13313" width="6.33203125" style="136" customWidth="1"/>
    <col min="13314" max="13315" width="5.5" style="136" customWidth="1"/>
    <col min="13316" max="13316" width="11.5" style="136" customWidth="1"/>
    <col min="13317" max="13317" width="2.33203125" style="136" customWidth="1"/>
    <col min="13318" max="13318" width="29.6640625" style="136" customWidth="1"/>
    <col min="13319" max="13319" width="10.1640625" style="136" customWidth="1"/>
    <col min="13320" max="13320" width="8" style="136" customWidth="1"/>
    <col min="13321" max="13321" width="8.6640625" style="136" customWidth="1"/>
    <col min="13322" max="13322" width="8.33203125" style="136" customWidth="1"/>
    <col min="13323" max="13323" width="8" style="136" customWidth="1"/>
    <col min="13324" max="13324" width="9.33203125" style="136" customWidth="1"/>
    <col min="13325" max="13325" width="9.1640625" style="136" customWidth="1"/>
    <col min="13326" max="13326" width="10.5" style="136" customWidth="1"/>
    <col min="13327" max="13327" width="22.1640625" style="136" customWidth="1"/>
    <col min="13328" max="13568" width="9.1640625" style="136" customWidth="1"/>
    <col min="13569" max="13569" width="6.33203125" style="136" customWidth="1"/>
    <col min="13570" max="13571" width="5.5" style="136" customWidth="1"/>
    <col min="13572" max="13572" width="11.5" style="136" customWidth="1"/>
    <col min="13573" max="13573" width="2.33203125" style="136" customWidth="1"/>
    <col min="13574" max="13574" width="29.6640625" style="136" customWidth="1"/>
    <col min="13575" max="13575" width="10.1640625" style="136" customWidth="1"/>
    <col min="13576" max="13576" width="8" style="136" customWidth="1"/>
    <col min="13577" max="13577" width="8.6640625" style="136" customWidth="1"/>
    <col min="13578" max="13578" width="8.33203125" style="136" customWidth="1"/>
    <col min="13579" max="13579" width="8" style="136" customWidth="1"/>
    <col min="13580" max="13580" width="9.33203125" style="136" customWidth="1"/>
    <col min="13581" max="13581" width="9.1640625" style="136" customWidth="1"/>
    <col min="13582" max="13582" width="10.5" style="136" customWidth="1"/>
    <col min="13583" max="13583" width="22.1640625" style="136" customWidth="1"/>
    <col min="13584" max="13824" width="9.1640625" style="136" customWidth="1"/>
    <col min="13825" max="13825" width="6.33203125" style="136" customWidth="1"/>
    <col min="13826" max="13827" width="5.5" style="136" customWidth="1"/>
    <col min="13828" max="13828" width="11.5" style="136" customWidth="1"/>
    <col min="13829" max="13829" width="2.33203125" style="136" customWidth="1"/>
    <col min="13830" max="13830" width="29.6640625" style="136" customWidth="1"/>
    <col min="13831" max="13831" width="10.1640625" style="136" customWidth="1"/>
    <col min="13832" max="13832" width="8" style="136" customWidth="1"/>
    <col min="13833" max="13833" width="8.6640625" style="136" customWidth="1"/>
    <col min="13834" max="13834" width="8.33203125" style="136" customWidth="1"/>
    <col min="13835" max="13835" width="8" style="136" customWidth="1"/>
    <col min="13836" max="13836" width="9.33203125" style="136" customWidth="1"/>
    <col min="13837" max="13837" width="9.1640625" style="136" customWidth="1"/>
    <col min="13838" max="13838" width="10.5" style="136" customWidth="1"/>
    <col min="13839" max="13839" width="22.1640625" style="136" customWidth="1"/>
    <col min="13840" max="14080" width="9.1640625" style="136" customWidth="1"/>
    <col min="14081" max="14081" width="6.33203125" style="136" customWidth="1"/>
    <col min="14082" max="14083" width="5.5" style="136" customWidth="1"/>
    <col min="14084" max="14084" width="11.5" style="136" customWidth="1"/>
    <col min="14085" max="14085" width="2.33203125" style="136" customWidth="1"/>
    <col min="14086" max="14086" width="29.6640625" style="136" customWidth="1"/>
    <col min="14087" max="14087" width="10.1640625" style="136" customWidth="1"/>
    <col min="14088" max="14088" width="8" style="136" customWidth="1"/>
    <col min="14089" max="14089" width="8.6640625" style="136" customWidth="1"/>
    <col min="14090" max="14090" width="8.33203125" style="136" customWidth="1"/>
    <col min="14091" max="14091" width="8" style="136" customWidth="1"/>
    <col min="14092" max="14092" width="9.33203125" style="136" customWidth="1"/>
    <col min="14093" max="14093" width="9.1640625" style="136" customWidth="1"/>
    <col min="14094" max="14094" width="10.5" style="136" customWidth="1"/>
    <col min="14095" max="14095" width="22.1640625" style="136" customWidth="1"/>
    <col min="14096" max="14336" width="9.1640625" style="136" customWidth="1"/>
    <col min="14337" max="14337" width="6.33203125" style="136" customWidth="1"/>
    <col min="14338" max="14339" width="5.5" style="136" customWidth="1"/>
    <col min="14340" max="14340" width="11.5" style="136" customWidth="1"/>
    <col min="14341" max="14341" width="2.33203125" style="136" customWidth="1"/>
    <col min="14342" max="14342" width="29.6640625" style="136" customWidth="1"/>
    <col min="14343" max="14343" width="10.1640625" style="136" customWidth="1"/>
    <col min="14344" max="14344" width="8" style="136" customWidth="1"/>
    <col min="14345" max="14345" width="8.6640625" style="136" customWidth="1"/>
    <col min="14346" max="14346" width="8.33203125" style="136" customWidth="1"/>
    <col min="14347" max="14347" width="8" style="136" customWidth="1"/>
    <col min="14348" max="14348" width="9.33203125" style="136" customWidth="1"/>
    <col min="14349" max="14349" width="9.1640625" style="136" customWidth="1"/>
    <col min="14350" max="14350" width="10.5" style="136" customWidth="1"/>
    <col min="14351" max="14351" width="22.1640625" style="136" customWidth="1"/>
    <col min="14352" max="14592" width="9.1640625" style="136" customWidth="1"/>
    <col min="14593" max="14593" width="6.33203125" style="136" customWidth="1"/>
    <col min="14594" max="14595" width="5.5" style="136" customWidth="1"/>
    <col min="14596" max="14596" width="11.5" style="136" customWidth="1"/>
    <col min="14597" max="14597" width="2.33203125" style="136" customWidth="1"/>
    <col min="14598" max="14598" width="29.6640625" style="136" customWidth="1"/>
    <col min="14599" max="14599" width="10.1640625" style="136" customWidth="1"/>
    <col min="14600" max="14600" width="8" style="136" customWidth="1"/>
    <col min="14601" max="14601" width="8.6640625" style="136" customWidth="1"/>
    <col min="14602" max="14602" width="8.33203125" style="136" customWidth="1"/>
    <col min="14603" max="14603" width="8" style="136" customWidth="1"/>
    <col min="14604" max="14604" width="9.33203125" style="136" customWidth="1"/>
    <col min="14605" max="14605" width="9.1640625" style="136" customWidth="1"/>
    <col min="14606" max="14606" width="10.5" style="136" customWidth="1"/>
    <col min="14607" max="14607" width="22.1640625" style="136" customWidth="1"/>
    <col min="14608" max="14848" width="9.1640625" style="136" customWidth="1"/>
    <col min="14849" max="14849" width="6.33203125" style="136" customWidth="1"/>
    <col min="14850" max="14851" width="5.5" style="136" customWidth="1"/>
    <col min="14852" max="14852" width="11.5" style="136" customWidth="1"/>
    <col min="14853" max="14853" width="2.33203125" style="136" customWidth="1"/>
    <col min="14854" max="14854" width="29.6640625" style="136" customWidth="1"/>
    <col min="14855" max="14855" width="10.1640625" style="136" customWidth="1"/>
    <col min="14856" max="14856" width="8" style="136" customWidth="1"/>
    <col min="14857" max="14857" width="8.6640625" style="136" customWidth="1"/>
    <col min="14858" max="14858" width="8.33203125" style="136" customWidth="1"/>
    <col min="14859" max="14859" width="8" style="136" customWidth="1"/>
    <col min="14860" max="14860" width="9.33203125" style="136" customWidth="1"/>
    <col min="14861" max="14861" width="9.1640625" style="136" customWidth="1"/>
    <col min="14862" max="14862" width="10.5" style="136" customWidth="1"/>
    <col min="14863" max="14863" width="22.1640625" style="136" customWidth="1"/>
    <col min="14864" max="15104" width="9.1640625" style="136" customWidth="1"/>
    <col min="15105" max="15105" width="6.33203125" style="136" customWidth="1"/>
    <col min="15106" max="15107" width="5.5" style="136" customWidth="1"/>
    <col min="15108" max="15108" width="11.5" style="136" customWidth="1"/>
    <col min="15109" max="15109" width="2.33203125" style="136" customWidth="1"/>
    <col min="15110" max="15110" width="29.6640625" style="136" customWidth="1"/>
    <col min="15111" max="15111" width="10.1640625" style="136" customWidth="1"/>
    <col min="15112" max="15112" width="8" style="136" customWidth="1"/>
    <col min="15113" max="15113" width="8.6640625" style="136" customWidth="1"/>
    <col min="15114" max="15114" width="8.33203125" style="136" customWidth="1"/>
    <col min="15115" max="15115" width="8" style="136" customWidth="1"/>
    <col min="15116" max="15116" width="9.33203125" style="136" customWidth="1"/>
    <col min="15117" max="15117" width="9.1640625" style="136" customWidth="1"/>
    <col min="15118" max="15118" width="10.5" style="136" customWidth="1"/>
    <col min="15119" max="15119" width="22.1640625" style="136" customWidth="1"/>
    <col min="15120" max="15360" width="9.1640625" style="136" customWidth="1"/>
    <col min="15361" max="15361" width="6.33203125" style="136" customWidth="1"/>
    <col min="15362" max="15363" width="5.5" style="136" customWidth="1"/>
    <col min="15364" max="15364" width="11.5" style="136" customWidth="1"/>
    <col min="15365" max="15365" width="2.33203125" style="136" customWidth="1"/>
    <col min="15366" max="15366" width="29.6640625" style="136" customWidth="1"/>
    <col min="15367" max="15367" width="10.1640625" style="136" customWidth="1"/>
    <col min="15368" max="15368" width="8" style="136" customWidth="1"/>
    <col min="15369" max="15369" width="8.6640625" style="136" customWidth="1"/>
    <col min="15370" max="15370" width="8.33203125" style="136" customWidth="1"/>
    <col min="15371" max="15371" width="8" style="136" customWidth="1"/>
    <col min="15372" max="15372" width="9.33203125" style="136" customWidth="1"/>
    <col min="15373" max="15373" width="9.1640625" style="136" customWidth="1"/>
    <col min="15374" max="15374" width="10.5" style="136" customWidth="1"/>
    <col min="15375" max="15375" width="22.1640625" style="136" customWidth="1"/>
    <col min="15376" max="15616" width="9.1640625" style="136" customWidth="1"/>
    <col min="15617" max="15617" width="6.33203125" style="136" customWidth="1"/>
    <col min="15618" max="15619" width="5.5" style="136" customWidth="1"/>
    <col min="15620" max="15620" width="11.5" style="136" customWidth="1"/>
    <col min="15621" max="15621" width="2.33203125" style="136" customWidth="1"/>
    <col min="15622" max="15622" width="29.6640625" style="136" customWidth="1"/>
    <col min="15623" max="15623" width="10.1640625" style="136" customWidth="1"/>
    <col min="15624" max="15624" width="8" style="136" customWidth="1"/>
    <col min="15625" max="15625" width="8.6640625" style="136" customWidth="1"/>
    <col min="15626" max="15626" width="8.33203125" style="136" customWidth="1"/>
    <col min="15627" max="15627" width="8" style="136" customWidth="1"/>
    <col min="15628" max="15628" width="9.33203125" style="136" customWidth="1"/>
    <col min="15629" max="15629" width="9.1640625" style="136" customWidth="1"/>
    <col min="15630" max="15630" width="10.5" style="136" customWidth="1"/>
    <col min="15631" max="15631" width="22.1640625" style="136" customWidth="1"/>
    <col min="15632" max="15872" width="9.1640625" style="136" customWidth="1"/>
    <col min="15873" max="15873" width="6.33203125" style="136" customWidth="1"/>
    <col min="15874" max="15875" width="5.5" style="136" customWidth="1"/>
    <col min="15876" max="15876" width="11.5" style="136" customWidth="1"/>
    <col min="15877" max="15877" width="2.33203125" style="136" customWidth="1"/>
    <col min="15878" max="15878" width="29.6640625" style="136" customWidth="1"/>
    <col min="15879" max="15879" width="10.1640625" style="136" customWidth="1"/>
    <col min="15880" max="15880" width="8" style="136" customWidth="1"/>
    <col min="15881" max="15881" width="8.6640625" style="136" customWidth="1"/>
    <col min="15882" max="15882" width="8.33203125" style="136" customWidth="1"/>
    <col min="15883" max="15883" width="8" style="136" customWidth="1"/>
    <col min="15884" max="15884" width="9.33203125" style="136" customWidth="1"/>
    <col min="15885" max="15885" width="9.1640625" style="136" customWidth="1"/>
    <col min="15886" max="15886" width="10.5" style="136" customWidth="1"/>
    <col min="15887" max="15887" width="22.1640625" style="136" customWidth="1"/>
    <col min="15888" max="16128" width="9.1640625" style="136" customWidth="1"/>
    <col min="16129" max="16129" width="6.33203125" style="136" customWidth="1"/>
    <col min="16130" max="16131" width="5.5" style="136" customWidth="1"/>
    <col min="16132" max="16132" width="11.5" style="136" customWidth="1"/>
    <col min="16133" max="16133" width="2.33203125" style="136" customWidth="1"/>
    <col min="16134" max="16134" width="29.6640625" style="136" customWidth="1"/>
    <col min="16135" max="16135" width="10.1640625" style="136" customWidth="1"/>
    <col min="16136" max="16136" width="8" style="136" customWidth="1"/>
    <col min="16137" max="16137" width="8.6640625" style="136" customWidth="1"/>
    <col min="16138" max="16138" width="8.33203125" style="136" customWidth="1"/>
    <col min="16139" max="16139" width="8" style="136" customWidth="1"/>
    <col min="16140" max="16140" width="9.33203125" style="136" customWidth="1"/>
    <col min="16141" max="16141" width="9.1640625" style="136" customWidth="1"/>
    <col min="16142" max="16142" width="10.5" style="136" customWidth="1"/>
    <col min="16143" max="16143" width="22.1640625" style="136" customWidth="1"/>
    <col min="16144" max="16384" width="9.1640625" style="136" customWidth="1"/>
  </cols>
  <sheetData>
    <row r="1" spans="1:12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ht="13.5" customHeight="1" spans="1:12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ht="9" customHeight="1" spans="1:12" x14ac:dyDescent="0.2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ht="15.75" customHeight="1" spans="1:16" s="139" customFormat="1" x14ac:dyDescent="0.25">
      <c r="A5" s="141" t="s">
        <v>445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39"/>
      <c r="N5" s="139"/>
      <c r="O5" s="139"/>
      <c r="P5" s="142"/>
    </row>
    <row r="6" ht="24" customHeight="1" spans="1:21" s="139" customFormat="1" x14ac:dyDescent="0.25">
      <c r="A6" s="141" t="s">
        <v>446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39"/>
      <c r="N6" s="139"/>
      <c r="O6" s="139"/>
      <c r="P6" s="142"/>
      <c r="Q6" s="139"/>
      <c r="R6" s="139"/>
      <c r="S6" s="143"/>
      <c r="T6" s="143"/>
      <c r="U6" s="143"/>
    </row>
    <row r="7" ht="18.75" customHeight="1" spans="1:21" s="139" customFormat="1" x14ac:dyDescent="0.25">
      <c r="A7" s="139"/>
      <c r="B7" s="139" t="s">
        <v>447</v>
      </c>
      <c r="C7" s="139"/>
      <c r="D7" s="139"/>
      <c r="E7" s="139"/>
      <c r="F7" s="139"/>
      <c r="G7" s="239"/>
      <c r="H7" s="239"/>
      <c r="I7" s="239"/>
      <c r="J7" s="239"/>
      <c r="K7" s="139"/>
      <c r="L7" s="139"/>
      <c r="M7" s="139"/>
      <c r="N7" s="139"/>
      <c r="O7" s="139"/>
      <c r="P7" s="142"/>
      <c r="Q7" s="139"/>
      <c r="R7" s="139"/>
      <c r="S7" s="143"/>
      <c r="T7" s="143"/>
      <c r="U7" s="143"/>
    </row>
    <row r="8" ht="18.75" customHeight="1" spans="1:21" s="139" customFormat="1" x14ac:dyDescent="0.25">
      <c r="A8" s="139"/>
      <c r="B8" s="139" t="s">
        <v>448</v>
      </c>
      <c r="C8" s="139"/>
      <c r="D8" s="139"/>
      <c r="E8" s="139"/>
      <c r="F8" s="139"/>
      <c r="G8" s="139" t="s">
        <v>378</v>
      </c>
      <c r="H8" s="139"/>
      <c r="I8" s="139"/>
      <c r="J8" s="152" t="s">
        <v>449</v>
      </c>
      <c r="K8" s="152"/>
      <c r="L8" s="152"/>
      <c r="M8" s="139"/>
      <c r="N8" s="139"/>
      <c r="O8" s="139"/>
      <c r="P8" s="142"/>
      <c r="Q8" s="139"/>
      <c r="R8" s="139"/>
      <c r="S8" s="143"/>
      <c r="T8" s="143"/>
      <c r="U8" s="143"/>
    </row>
    <row r="9" ht="31.5" customHeight="1" spans="1:21" s="147" customFormat="1" x14ac:dyDescent="0.25">
      <c r="A9" s="148" t="s">
        <v>450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7"/>
      <c r="N9" s="147"/>
      <c r="O9" s="149"/>
      <c r="P9" s="150"/>
      <c r="Q9" s="147"/>
      <c r="R9" s="147"/>
      <c r="S9" s="143"/>
      <c r="T9" s="143"/>
      <c r="U9" s="143"/>
    </row>
    <row r="10" ht="31.5" customHeight="1" spans="1:21" x14ac:dyDescent="0.25">
      <c r="A10" s="230" t="s">
        <v>451</v>
      </c>
      <c r="B10" s="230"/>
      <c r="C10" s="230"/>
      <c r="D10" s="230"/>
      <c r="E10" s="158" t="s">
        <v>382</v>
      </c>
      <c r="F10" s="163">
        <f>VLOOKUP($F$12,'Sem1-2'!$B$7:$ZZ$37,5,FALSE)&amp;" "&amp;VLOOKUP($F$12,'Sem1-2'!$B$7:$ZZ$37,6,FALSE)</f>
      </c>
      <c r="G10" s="163"/>
      <c r="H10" s="163"/>
      <c r="I10" s="240" t="s">
        <v>452</v>
      </c>
      <c r="J10" s="163" t="s">
        <v>453</v>
      </c>
      <c r="K10" s="136"/>
      <c r="L10" s="163"/>
      <c r="M10" s="136"/>
      <c r="N10" s="136"/>
      <c r="O10" s="180"/>
      <c r="P10" s="137"/>
      <c r="Q10" s="136"/>
      <c r="R10" s="136"/>
      <c r="S10" s="181"/>
      <c r="T10" s="181"/>
      <c r="U10" s="181"/>
    </row>
    <row r="11" ht="31.5" customHeight="1" spans="1:21" x14ac:dyDescent="0.25">
      <c r="A11" s="230" t="s">
        <v>454</v>
      </c>
      <c r="B11" s="230"/>
      <c r="C11" s="230"/>
      <c r="D11" s="230"/>
      <c r="E11" s="158" t="s">
        <v>382</v>
      </c>
      <c r="F11" s="159">
        <f>VLOOKUP($F$12,'Sem1-2'!$B$7:$BX$37,7,FALSE)</f>
        <v>NaN</v>
      </c>
      <c r="G11" s="163"/>
      <c r="H11" s="163"/>
      <c r="I11" s="240" t="s">
        <v>455</v>
      </c>
      <c r="J11" s="163" t="s">
        <v>456</v>
      </c>
      <c r="K11" s="136"/>
      <c r="L11" s="163"/>
      <c r="M11" s="136"/>
      <c r="N11" s="136"/>
      <c r="O11" s="180"/>
      <c r="P11" s="137"/>
      <c r="Q11" s="136"/>
      <c r="R11" s="136"/>
      <c r="S11" s="181"/>
      <c r="T11" s="181"/>
      <c r="U11" s="181"/>
    </row>
    <row r="12" ht="31.5" customHeight="1" spans="1:21" s="161" customFormat="1" x14ac:dyDescent="0.25">
      <c r="A12" s="158" t="s">
        <v>457</v>
      </c>
      <c r="B12" s="158"/>
      <c r="C12" s="158"/>
      <c r="D12" s="158"/>
      <c r="E12" s="158" t="s">
        <v>382</v>
      </c>
      <c r="F12" s="145" t="s">
        <v>159</v>
      </c>
      <c r="G12" s="163"/>
      <c r="H12" s="163"/>
      <c r="I12" s="240" t="s">
        <v>458</v>
      </c>
      <c r="J12" s="163" t="str">
        <f>": "&amp;G33</f>
        <v>: 31</v>
      </c>
      <c r="K12" s="161"/>
      <c r="L12" s="163"/>
      <c r="M12" s="161"/>
      <c r="N12" s="161"/>
      <c r="O12" s="163"/>
      <c r="P12" s="201"/>
      <c r="Q12" s="161"/>
      <c r="R12" s="161"/>
      <c r="S12" s="181"/>
      <c r="T12" s="181"/>
      <c r="U12" s="181"/>
    </row>
    <row r="13" ht="31.5" customHeight="1" spans="1:21" s="161" customFormat="1" x14ac:dyDescent="0.25">
      <c r="A13" s="241" t="s">
        <v>459</v>
      </c>
      <c r="B13" s="242"/>
      <c r="C13" s="242"/>
      <c r="D13" s="242"/>
      <c r="E13" s="241" t="s">
        <v>382</v>
      </c>
      <c r="F13" s="166" t="s">
        <v>460</v>
      </c>
      <c r="G13" s="166"/>
      <c r="H13" s="166"/>
      <c r="I13" s="243" t="s">
        <v>461</v>
      </c>
      <c r="J13" s="244" t="s">
        <v>392</v>
      </c>
      <c r="K13" s="161"/>
      <c r="L13" s="244"/>
      <c r="M13" s="161"/>
      <c r="N13" s="161"/>
      <c r="O13" s="163"/>
      <c r="P13" s="201"/>
      <c r="Q13" s="161"/>
      <c r="R13" s="161"/>
      <c r="S13" s="181"/>
      <c r="T13" s="181"/>
      <c r="U13" s="181"/>
    </row>
    <row r="14" ht="30" customHeight="1" spans="1:21" x14ac:dyDescent="0.25">
      <c r="A14" s="245" t="s">
        <v>462</v>
      </c>
      <c r="B14" s="246"/>
      <c r="C14" s="247">
        <v>1</v>
      </c>
      <c r="D14" s="248" t="s">
        <v>394</v>
      </c>
      <c r="E14" s="247" t="s">
        <v>463</v>
      </c>
      <c r="F14" s="249"/>
      <c r="G14" s="250">
        <v>3</v>
      </c>
      <c r="H14" s="251">
        <f>'Lao_transcript(year1)'!H15</f>
      </c>
      <c r="I14" s="250">
        <f>'Lao_transcript(year1)'!I15</f>
      </c>
      <c r="J14" s="248">
        <f>'Lao_transcript(year1)'!J15</f>
      </c>
      <c r="K14" s="248" t="s">
        <v>18</v>
      </c>
      <c r="L14" s="248" t="s">
        <v>19</v>
      </c>
      <c r="M14" s="136"/>
      <c r="N14" s="136"/>
      <c r="O14" s="180"/>
      <c r="P14" s="137"/>
      <c r="Q14" s="136"/>
      <c r="R14" s="136"/>
      <c r="S14" s="181"/>
      <c r="T14" s="181"/>
      <c r="U14" s="181"/>
    </row>
    <row r="15" ht="19" customHeight="1" spans="1:43" s="182" customFormat="1" x14ac:dyDescent="0.25">
      <c r="A15" s="252"/>
      <c r="B15" s="253"/>
      <c r="C15" s="254"/>
      <c r="D15" s="255"/>
      <c r="E15" s="254"/>
      <c r="F15" s="256"/>
      <c r="G15" s="257"/>
      <c r="H15" s="258"/>
      <c r="I15" s="257"/>
      <c r="J15" s="255"/>
      <c r="K15" s="255"/>
      <c r="L15" s="255"/>
      <c r="M15" s="136"/>
      <c r="N15" s="136"/>
      <c r="O15" s="180"/>
      <c r="P15" s="137"/>
      <c r="Q15" s="136"/>
      <c r="R15" s="136"/>
      <c r="S15" s="181"/>
      <c r="T15" s="181"/>
      <c r="U15" s="181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ht="19" customHeight="1" spans="1:15" x14ac:dyDescent="0.25">
      <c r="A16" s="252"/>
      <c r="B16" s="253"/>
      <c r="C16" s="254">
        <v>2</v>
      </c>
      <c r="D16" s="259" t="s">
        <v>398</v>
      </c>
      <c r="E16" s="254" t="s">
        <v>464</v>
      </c>
      <c r="F16" s="256"/>
      <c r="G16" s="260">
        <v>2</v>
      </c>
      <c r="H16" s="258">
        <f>'Lao_transcript(year1)'!H16</f>
      </c>
      <c r="I16" s="257">
        <f>'Lao_transcript(year1)'!I16</f>
      </c>
      <c r="J16" s="255">
        <f>'Lao_transcript(year1)'!J16</f>
      </c>
      <c r="K16" s="259"/>
      <c r="L16" s="259"/>
      <c r="M16" s="136"/>
      <c r="N16" s="136"/>
      <c r="O16" s="180"/>
    </row>
    <row r="17" ht="19" customHeight="1" spans="1:15" x14ac:dyDescent="0.25">
      <c r="A17" s="252"/>
      <c r="B17" s="253"/>
      <c r="C17" s="254">
        <v>3</v>
      </c>
      <c r="D17" s="259" t="s">
        <v>400</v>
      </c>
      <c r="E17" s="254" t="s">
        <v>465</v>
      </c>
      <c r="F17" s="256"/>
      <c r="G17" s="260">
        <v>1</v>
      </c>
      <c r="H17" s="258">
        <f>'Lao_transcript(year1)'!H17</f>
      </c>
      <c r="I17" s="257">
        <f>'Lao_transcript(year1)'!I17</f>
      </c>
      <c r="J17" s="255">
        <f>'Lao_transcript(year1)'!J17</f>
      </c>
      <c r="K17" s="259"/>
      <c r="L17" s="259"/>
      <c r="M17" s="136"/>
      <c r="N17" s="136"/>
      <c r="O17" s="180"/>
    </row>
    <row r="18" ht="19" customHeight="1" spans="1:15" x14ac:dyDescent="0.25">
      <c r="A18" s="252"/>
      <c r="B18" s="253"/>
      <c r="C18" s="254">
        <v>4</v>
      </c>
      <c r="D18" s="259" t="s">
        <v>402</v>
      </c>
      <c r="E18" s="254" t="s">
        <v>466</v>
      </c>
      <c r="F18" s="256"/>
      <c r="G18" s="260">
        <v>2</v>
      </c>
      <c r="H18" s="258">
        <f>'Lao_transcript(year1)'!H18</f>
      </c>
      <c r="I18" s="257">
        <f>'Lao_transcript(year1)'!I18</f>
      </c>
      <c r="J18" s="255">
        <f>'Lao_transcript(year1)'!J18</f>
      </c>
      <c r="K18" s="259"/>
      <c r="L18" s="259"/>
      <c r="M18" s="136"/>
      <c r="N18" s="136"/>
      <c r="O18" s="180"/>
    </row>
    <row r="19" ht="19" customHeight="1" spans="1:15" x14ac:dyDescent="0.25">
      <c r="A19" s="252"/>
      <c r="B19" s="253"/>
      <c r="C19" s="254">
        <v>5</v>
      </c>
      <c r="D19" s="259" t="s">
        <v>404</v>
      </c>
      <c r="E19" s="254" t="s">
        <v>467</v>
      </c>
      <c r="F19" s="256"/>
      <c r="G19" s="260">
        <v>1</v>
      </c>
      <c r="H19" s="258">
        <f>'Lao_transcript(year1)'!H19</f>
      </c>
      <c r="I19" s="257">
        <f>'Lao_transcript(year1)'!I19</f>
      </c>
      <c r="J19" s="255">
        <f>'Lao_transcript(year1)'!J19</f>
      </c>
      <c r="K19" s="259"/>
      <c r="L19" s="259"/>
      <c r="M19" s="136"/>
      <c r="N19" s="136"/>
      <c r="O19" s="180"/>
    </row>
    <row r="20" ht="19" customHeight="1" spans="1:15" x14ac:dyDescent="0.25">
      <c r="A20" s="252"/>
      <c r="B20" s="253"/>
      <c r="C20" s="254">
        <v>6</v>
      </c>
      <c r="D20" s="259" t="s">
        <v>406</v>
      </c>
      <c r="E20" s="254" t="s">
        <v>468</v>
      </c>
      <c r="F20" s="256"/>
      <c r="G20" s="260">
        <v>2</v>
      </c>
      <c r="H20" s="258">
        <f>'Lao_transcript(year1)'!H20</f>
      </c>
      <c r="I20" s="257">
        <f>'Lao_transcript(year1)'!I20</f>
      </c>
      <c r="J20" s="255">
        <f>'Lao_transcript(year1)'!J20</f>
      </c>
      <c r="K20" s="259"/>
      <c r="L20" s="259"/>
      <c r="M20" s="136"/>
      <c r="N20" s="136"/>
      <c r="O20" s="180"/>
    </row>
    <row r="21" ht="19" customHeight="1" spans="1:15" x14ac:dyDescent="0.25">
      <c r="A21" s="252"/>
      <c r="B21" s="253"/>
      <c r="C21" s="254">
        <v>7</v>
      </c>
      <c r="D21" s="259" t="s">
        <v>408</v>
      </c>
      <c r="E21" s="254" t="s">
        <v>469</v>
      </c>
      <c r="F21" s="256"/>
      <c r="G21" s="260">
        <v>2</v>
      </c>
      <c r="H21" s="258">
        <f>'Lao_transcript(year1)'!H21</f>
      </c>
      <c r="I21" s="257">
        <f>'Lao_transcript(year1)'!I21</f>
      </c>
      <c r="J21" s="255">
        <f>'Lao_transcript(year1)'!J21</f>
      </c>
      <c r="K21" s="259"/>
      <c r="L21" s="259"/>
      <c r="M21" s="136"/>
      <c r="N21" s="136"/>
      <c r="O21" s="180"/>
    </row>
    <row r="22" ht="19" customHeight="1" spans="1:15" x14ac:dyDescent="0.25">
      <c r="A22" s="252"/>
      <c r="B22" s="253"/>
      <c r="C22" s="254">
        <v>8</v>
      </c>
      <c r="D22" s="259" t="s">
        <v>410</v>
      </c>
      <c r="E22" s="254" t="s">
        <v>470</v>
      </c>
      <c r="F22" s="256"/>
      <c r="G22" s="260">
        <v>2</v>
      </c>
      <c r="H22" s="258">
        <f>'Lao_transcript(year1)'!H22</f>
      </c>
      <c r="I22" s="257">
        <f>'Lao_transcript(year1)'!I22</f>
      </c>
      <c r="J22" s="255">
        <f>'Lao_transcript(year1)'!J22</f>
      </c>
      <c r="K22" s="259"/>
      <c r="L22" s="259"/>
      <c r="M22" s="136"/>
      <c r="N22" s="136"/>
      <c r="O22" s="180"/>
    </row>
    <row r="23" ht="19" customHeight="1" spans="1:15" x14ac:dyDescent="0.25">
      <c r="A23" s="252"/>
      <c r="B23" s="253"/>
      <c r="C23" s="254">
        <v>9</v>
      </c>
      <c r="D23" s="259" t="s">
        <v>412</v>
      </c>
      <c r="E23" s="254" t="s">
        <v>471</v>
      </c>
      <c r="F23" s="256"/>
      <c r="G23" s="260">
        <v>2</v>
      </c>
      <c r="H23" s="258">
        <f>'Lao_transcript(year1)'!H23</f>
      </c>
      <c r="I23" s="257">
        <f>'Lao_transcript(year1)'!I23</f>
      </c>
      <c r="J23" s="255">
        <f>'Lao_transcript(year1)'!J23</f>
      </c>
      <c r="K23" s="259"/>
      <c r="L23" s="259"/>
      <c r="M23" s="136"/>
      <c r="N23" s="136"/>
      <c r="O23" s="180"/>
    </row>
    <row r="24" ht="19" customHeight="1" spans="1:43" s="192" customFormat="1" x14ac:dyDescent="0.25">
      <c r="A24" s="261" t="s">
        <v>472</v>
      </c>
      <c r="B24" s="261" t="s">
        <v>473</v>
      </c>
      <c r="C24" s="49">
        <v>1</v>
      </c>
      <c r="D24" s="262" t="s">
        <v>416</v>
      </c>
      <c r="E24" s="263" t="s">
        <v>474</v>
      </c>
      <c r="F24" s="263" t="s">
        <v>463</v>
      </c>
      <c r="G24" s="49">
        <f>'Lao_transcript(year1)'!G24</f>
      </c>
      <c r="H24" s="49">
        <f>'Lao_transcript(year1)'!H24</f>
      </c>
      <c r="I24" s="49">
        <f>'Lao_transcript(year1)'!I24</f>
      </c>
      <c r="J24" s="49">
        <f>'Lao_transcript(year1)'!J24</f>
      </c>
      <c r="K24" s="200" t="e">
        <f>(I16*G16+I17*G17+G18*I18+I19*G19+I20*G20+I21*G21+I22*G22)/(G16+G17+G18+G19+G20+G21+G22)</f>
        <v>#REF!</v>
      </c>
      <c r="L24" s="264" t="e">
        <f>(K16+K24)/2</f>
        <v>#REF!</v>
      </c>
      <c r="M24" s="181"/>
      <c r="N24" s="161"/>
      <c r="O24" s="163"/>
      <c r="P24" s="20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</row>
    <row r="25" ht="19" customHeight="1" spans="1:43" s="202" customFormat="1" x14ac:dyDescent="0.25">
      <c r="A25" s="265" t="s">
        <v>472</v>
      </c>
      <c r="B25" s="265" t="s">
        <v>473</v>
      </c>
      <c r="C25" s="49">
        <v>2</v>
      </c>
      <c r="D25" s="262" t="s">
        <v>418</v>
      </c>
      <c r="E25" s="263" t="s">
        <v>475</v>
      </c>
      <c r="F25" s="263" t="s">
        <v>476</v>
      </c>
      <c r="G25" s="49">
        <v>2</v>
      </c>
      <c r="H25" s="49">
        <f>'Lao_transcript(year1)'!H25</f>
      </c>
      <c r="I25" s="49">
        <f>'Lao_transcript(year1)'!I25</f>
      </c>
      <c r="J25" s="49">
        <f>'Lao_transcript(year1)'!J25</f>
      </c>
      <c r="K25" s="209" t="e">
        <f>(I16*G16+I17*G17+G18*I18+I19*G19+I20*G20+I21*G21+I22*G22)/(G16+G17+G18+G19+G20+G21+G22)</f>
        <v>#REF!</v>
      </c>
      <c r="L25" s="266" t="e">
        <f>(K16+K24)/2</f>
        <v>#REF!</v>
      </c>
      <c r="M25" s="181"/>
      <c r="N25" s="161"/>
      <c r="O25" s="163"/>
      <c r="P25" s="20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</row>
    <row r="26" ht="19" customHeight="1" spans="1:43" s="202" customFormat="1" x14ac:dyDescent="0.25">
      <c r="A26" s="265" t="s">
        <v>472</v>
      </c>
      <c r="B26" s="265" t="s">
        <v>473</v>
      </c>
      <c r="C26" s="49">
        <v>3</v>
      </c>
      <c r="D26" s="262" t="s">
        <v>420</v>
      </c>
      <c r="E26" s="263" t="s">
        <v>477</v>
      </c>
      <c r="F26" s="263" t="s">
        <v>478</v>
      </c>
      <c r="G26" s="49">
        <v>1</v>
      </c>
      <c r="H26" s="49">
        <f>'Lao_transcript(year1)'!H26</f>
      </c>
      <c r="I26" s="49">
        <f>'Lao_transcript(year1)'!I26</f>
      </c>
      <c r="J26" s="49">
        <f>'Lao_transcript(year1)'!J26</f>
      </c>
      <c r="K26" s="209" t="e">
        <f>(I16*G16+I17*G17+G18*I18+I19*G19+I20*G20+I21*G21+I22*G22)/(G16+G17+G18+G19+G20+G21+G22)</f>
        <v>#REF!</v>
      </c>
      <c r="L26" s="266" t="e">
        <f>(K16+K24)/2</f>
        <v>#REF!</v>
      </c>
      <c r="M26" s="181"/>
      <c r="N26" s="161"/>
      <c r="O26" s="163"/>
      <c r="P26" s="20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</row>
    <row r="27" ht="19" customHeight="1" spans="1:43" s="202" customFormat="1" x14ac:dyDescent="0.25">
      <c r="A27" s="265" t="s">
        <v>472</v>
      </c>
      <c r="B27" s="265" t="s">
        <v>473</v>
      </c>
      <c r="C27" s="49">
        <v>4</v>
      </c>
      <c r="D27" s="262" t="s">
        <v>422</v>
      </c>
      <c r="E27" s="267" t="s">
        <v>479</v>
      </c>
      <c r="F27" s="267" t="s">
        <v>465</v>
      </c>
      <c r="G27" s="49">
        <v>2</v>
      </c>
      <c r="H27" s="49">
        <f>'Lao_transcript(year1)'!H27</f>
      </c>
      <c r="I27" s="49">
        <f>'Lao_transcript(year1)'!I27</f>
      </c>
      <c r="J27" s="49">
        <f>'Lao_transcript(year1)'!J27</f>
      </c>
      <c r="K27" s="209" t="e">
        <f>(I16*G16+I17*G17+G18*I18+I19*G19+I20*G20+I21*G21+I22*G22)/(G16+G17+G18+G19+G20+G21+G22)</f>
        <v>#REF!</v>
      </c>
      <c r="L27" s="266" t="e">
        <f>(K16+K24)/2</f>
        <v>#REF!</v>
      </c>
      <c r="M27" s="181"/>
      <c r="N27" s="161"/>
      <c r="O27" s="163"/>
      <c r="P27" s="20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</row>
    <row r="28" ht="19" customHeight="1" spans="1:43" s="202" customFormat="1" x14ac:dyDescent="0.25">
      <c r="A28" s="265" t="s">
        <v>472</v>
      </c>
      <c r="B28" s="265" t="s">
        <v>473</v>
      </c>
      <c r="C28" s="49">
        <v>5</v>
      </c>
      <c r="D28" s="262" t="s">
        <v>424</v>
      </c>
      <c r="E28" s="267" t="s">
        <v>480</v>
      </c>
      <c r="F28" s="267" t="s">
        <v>481</v>
      </c>
      <c r="G28" s="49">
        <v>1</v>
      </c>
      <c r="H28" s="49">
        <f>'Lao_transcript(year1)'!H28</f>
      </c>
      <c r="I28" s="49">
        <f>'Lao_transcript(year1)'!I28</f>
      </c>
      <c r="J28" s="49">
        <f>'Lao_transcript(year1)'!J28</f>
      </c>
      <c r="K28" s="209" t="e">
        <f>(I16*G16+I17*G17+G18*I18+I19*G19+I20*G20+I21*G21+I22*G22)/(G16+G17+G18+G19+G20+G21+G22)</f>
        <v>#REF!</v>
      </c>
      <c r="L28" s="266" t="e">
        <f>(K16+K24)/2</f>
        <v>#REF!</v>
      </c>
      <c r="M28" s="181"/>
      <c r="N28" s="161"/>
      <c r="O28" s="163"/>
      <c r="P28" s="20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</row>
    <row r="29" ht="19" customHeight="1" spans="1:43" s="202" customFormat="1" x14ac:dyDescent="0.25">
      <c r="A29" s="265" t="s">
        <v>472</v>
      </c>
      <c r="B29" s="265" t="s">
        <v>473</v>
      </c>
      <c r="C29" s="49">
        <v>6</v>
      </c>
      <c r="D29" s="262" t="s">
        <v>426</v>
      </c>
      <c r="E29" s="263" t="s">
        <v>482</v>
      </c>
      <c r="F29" s="263" t="s">
        <v>469</v>
      </c>
      <c r="G29" s="49">
        <v>1</v>
      </c>
      <c r="H29" s="49">
        <f>'Lao_transcript(year1)'!H29</f>
      </c>
      <c r="I29" s="49">
        <f>'Lao_transcript(year1)'!I29</f>
      </c>
      <c r="J29" s="49">
        <f>'Lao_transcript(year1)'!J29</f>
      </c>
      <c r="K29" s="209" t="e">
        <f>(I16*G16+I17*G17+G18*I18+I19*G19+I20*G20+I21*G21+I22*G22)/(G16+G17+G18+G19+G20+G21+G22)</f>
        <v>#REF!</v>
      </c>
      <c r="L29" s="266" t="e">
        <f>(K16+K24)/2</f>
        <v>#REF!</v>
      </c>
      <c r="M29" s="181"/>
      <c r="N29" s="161"/>
      <c r="O29" s="163"/>
      <c r="P29" s="20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</row>
    <row r="30" ht="19" customHeight="1" spans="1:43" s="202" customFormat="1" x14ac:dyDescent="0.25">
      <c r="A30" s="265" t="s">
        <v>472</v>
      </c>
      <c r="B30" s="265" t="s">
        <v>473</v>
      </c>
      <c r="C30" s="49">
        <v>7</v>
      </c>
      <c r="D30" s="262" t="s">
        <v>428</v>
      </c>
      <c r="E30" s="263" t="s">
        <v>483</v>
      </c>
      <c r="F30" s="263" t="s">
        <v>484</v>
      </c>
      <c r="G30" s="49">
        <v>2</v>
      </c>
      <c r="H30" s="49">
        <f>'Lao_transcript(year1)'!H30</f>
      </c>
      <c r="I30" s="49">
        <f>'Lao_transcript(year1)'!I30</f>
      </c>
      <c r="J30" s="49">
        <f>'Lao_transcript(year1)'!J30</f>
      </c>
      <c r="K30" s="209" t="e">
        <f>(I16*G16+I17*G17+G18*I18+I19*G19+I20*G20+I21*G21+I22*G22)/(G16+G17+G18+G19+G20+G21+G22)</f>
        <v>#REF!</v>
      </c>
      <c r="L30" s="266" t="e">
        <f>(K16+K24)/2</f>
        <v>#REF!</v>
      </c>
      <c r="M30" s="181"/>
      <c r="N30" s="161"/>
      <c r="O30" s="163"/>
      <c r="P30" s="20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</row>
    <row r="31" ht="19" customHeight="1" spans="1:43" s="192" customFormat="1" x14ac:dyDescent="0.25">
      <c r="A31" s="265" t="s">
        <v>472</v>
      </c>
      <c r="B31" s="268" t="s">
        <v>473</v>
      </c>
      <c r="C31" s="49">
        <v>8</v>
      </c>
      <c r="D31" s="262" t="s">
        <v>431</v>
      </c>
      <c r="E31" s="263" t="s">
        <v>485</v>
      </c>
      <c r="F31" s="263" t="s">
        <v>486</v>
      </c>
      <c r="G31" s="49">
        <v>2</v>
      </c>
      <c r="H31" s="49">
        <f>'Lao_transcript(year1)'!H31</f>
      </c>
      <c r="I31" s="49">
        <f>'Lao_transcript(year1)'!I31</f>
      </c>
      <c r="J31" s="49">
        <f>'Lao_transcript(year1)'!J31</f>
      </c>
      <c r="K31" s="269" t="e">
        <f>(I16*G16+I17*G17+G18*I18+I19*G19+I20*G20+I21*G21+I22*G22)/(G16+G17+G18+G19+G20+G21+G22)</f>
        <v>#REF!</v>
      </c>
      <c r="L31" s="266" t="e">
        <f>(K16+K24)/2</f>
        <v>#REF!</v>
      </c>
      <c r="M31" s="181"/>
      <c r="N31" s="161"/>
      <c r="O31" s="163"/>
      <c r="P31" s="20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</row>
    <row r="32" ht="19" customHeight="1" spans="1:43" s="192" customFormat="1" x14ac:dyDescent="0.25">
      <c r="A32" s="265" t="s">
        <v>472</v>
      </c>
      <c r="B32" s="261" t="s">
        <v>487</v>
      </c>
      <c r="C32" s="49">
        <v>9</v>
      </c>
      <c r="D32" s="270" t="s">
        <v>434</v>
      </c>
      <c r="E32" s="271" t="s">
        <v>488</v>
      </c>
      <c r="F32" s="271" t="s">
        <v>474</v>
      </c>
      <c r="G32" s="270">
        <v>2</v>
      </c>
      <c r="H32" s="49">
        <f>'Lao_transcript(year1)'!H32</f>
      </c>
      <c r="I32" s="49">
        <f>'Lao_transcript(year1)'!I32</f>
      </c>
      <c r="J32" s="49">
        <f>'Lao_transcript(year1)'!J32</f>
      </c>
      <c r="K32" s="272" t="e">
        <f>(I24*G24+I25*G25+I26*G26+I27*G27+I28*G28+I29*G29+I30*G30+I31*G31+I32*G32)/(G24+G25+G26+G27+G28+G29+G30+G31+G32)</f>
        <v>#REF!</v>
      </c>
      <c r="L32" s="266" t="e">
        <f>(K16+K24)/2</f>
        <v>#REF!</v>
      </c>
      <c r="M32" s="181"/>
      <c r="N32" s="161"/>
      <c r="O32" s="161"/>
      <c r="P32" s="20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</row>
    <row r="33" ht="19" customHeight="1" spans="1:43" s="202" customFormat="1" x14ac:dyDescent="0.25">
      <c r="A33" s="265" t="s">
        <v>472</v>
      </c>
      <c r="B33" s="265" t="s">
        <v>487</v>
      </c>
      <c r="C33" s="49">
        <v>10</v>
      </c>
      <c r="D33" s="270" t="s">
        <v>436</v>
      </c>
      <c r="E33" s="271" t="s">
        <v>489</v>
      </c>
      <c r="F33" s="271" t="s">
        <v>490</v>
      </c>
      <c r="G33" s="270">
        <v>3</v>
      </c>
      <c r="H33" s="49">
        <f>'Lao_transcript(year1)'!H33</f>
      </c>
      <c r="I33" s="49">
        <f>'Lao_transcript(year1)'!I33</f>
      </c>
      <c r="J33" s="49">
        <f>'Lao_transcript(year1)'!J33</f>
      </c>
      <c r="K33" s="273" t="e">
        <f>(I24*G24+I25*G25+I26*G26+I27*G27+I28*G28+I29*G29+I30*G30+I31*G31+I32*G32)/(G24+G25+G26+G27+G28+G29+G30+G31+G32)</f>
        <v>#REF!</v>
      </c>
      <c r="L33" s="266" t="e">
        <f>(K16+K24)/2</f>
        <v>#REF!</v>
      </c>
      <c r="M33" s="181"/>
      <c r="N33" s="161"/>
      <c r="O33" s="161"/>
      <c r="P33" s="20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</row>
    <row r="34" ht="16" customHeight="1" spans="1:9" x14ac:dyDescent="0.25">
      <c r="A34" s="180"/>
      <c r="B34" s="146"/>
      <c r="C34" s="146"/>
      <c r="D34" s="146"/>
      <c r="E34" s="146"/>
      <c r="F34" s="274"/>
      <c r="G34" s="275">
        <f>'Lao_transcript(year1)'!G34</f>
      </c>
      <c r="H34" s="136"/>
      <c r="I34" s="181">
        <f>'Lao_transcript(year1)'!I34</f>
      </c>
    </row>
    <row r="35" ht="16" customHeight="1" spans="1:16" s="161" customFormat="1" x14ac:dyDescent="0.25">
      <c r="A35" s="161" t="s">
        <v>439</v>
      </c>
      <c r="B35" s="146"/>
      <c r="C35" s="146"/>
      <c r="D35" s="146"/>
      <c r="E35" s="146"/>
      <c r="F35" s="230"/>
      <c r="G35" s="161"/>
      <c r="H35" s="161"/>
      <c r="I35" s="181"/>
      <c r="J35" s="161"/>
      <c r="K35" s="161"/>
      <c r="L35" s="161"/>
      <c r="M35" s="161"/>
      <c r="N35" s="161"/>
      <c r="O35" s="161"/>
      <c r="P35" s="201"/>
    </row>
    <row r="36" ht="16" customHeight="1" spans="1:16" s="161" customFormat="1" x14ac:dyDescent="0.25">
      <c r="A36" s="161" t="s">
        <v>440</v>
      </c>
      <c r="B36" s="146"/>
      <c r="C36" s="146"/>
      <c r="D36" s="146"/>
      <c r="E36" s="146"/>
      <c r="F36" s="230"/>
      <c r="G36" s="161"/>
      <c r="H36" s="161"/>
      <c r="I36" s="181">
        <f>'Lao_transcript(year1)'!I36</f>
      </c>
      <c r="J36" s="161"/>
      <c r="K36" s="161"/>
      <c r="L36" s="161"/>
      <c r="M36" s="161"/>
      <c r="N36" s="161"/>
      <c r="O36" s="161"/>
      <c r="P36" s="201"/>
    </row>
    <row r="37" ht="16" customHeight="1" spans="1:9" x14ac:dyDescent="0.25">
      <c r="A37" s="136"/>
      <c r="B37" s="146"/>
      <c r="C37" s="146"/>
      <c r="D37" s="146"/>
      <c r="E37" s="146"/>
      <c r="F37" s="274"/>
      <c r="G37" s="136"/>
      <c r="H37" s="136"/>
      <c r="I37" s="181"/>
    </row>
    <row r="38" ht="16" customHeight="1" spans="1:12" x14ac:dyDescent="0.25">
      <c r="A38" s="180" t="s">
        <v>491</v>
      </c>
      <c r="B38" s="149"/>
      <c r="C38" s="149"/>
      <c r="D38" s="149"/>
      <c r="E38" s="149"/>
      <c r="F38" s="180"/>
      <c r="G38" s="180"/>
      <c r="H38" s="180"/>
      <c r="I38" s="180" t="s">
        <v>492</v>
      </c>
      <c r="J38" s="180"/>
      <c r="K38" s="180"/>
      <c r="L38" s="180"/>
    </row>
    <row r="39" spans="1:12" x14ac:dyDescent="0.25">
      <c r="A39" s="180" t="s">
        <v>493</v>
      </c>
      <c r="B39" s="180"/>
      <c r="C39" s="180"/>
      <c r="D39" s="180"/>
      <c r="E39" s="180"/>
      <c r="F39" s="180"/>
      <c r="G39" s="180"/>
      <c r="H39" s="180"/>
      <c r="I39" s="180" t="s">
        <v>494</v>
      </c>
      <c r="J39" s="180"/>
      <c r="K39" s="180"/>
      <c r="L39" s="180"/>
    </row>
    <row r="40" spans="1:5" x14ac:dyDescent="0.25">
      <c r="A40" s="136"/>
      <c r="B40" s="136"/>
      <c r="C40" s="136"/>
      <c r="D40" s="136"/>
      <c r="E40" s="136"/>
    </row>
    <row r="41" spans="1:5" x14ac:dyDescent="0.25">
      <c r="A41" s="136"/>
      <c r="B41" s="136"/>
      <c r="C41" s="136"/>
      <c r="D41" s="136"/>
      <c r="E41" s="136"/>
    </row>
    <row r="42" spans="1:5" x14ac:dyDescent="0.25">
      <c r="A42" s="136"/>
      <c r="B42" s="136"/>
      <c r="C42" s="136"/>
      <c r="D42" s="136"/>
      <c r="E42" s="136"/>
    </row>
    <row r="43" spans="1:5" x14ac:dyDescent="0.25">
      <c r="A43" s="136"/>
      <c r="B43" s="136"/>
      <c r="C43" s="136"/>
      <c r="D43" s="136"/>
      <c r="E43" s="136"/>
    </row>
    <row r="44" spans="1:5" x14ac:dyDescent="0.25">
      <c r="A44" s="136"/>
      <c r="B44" s="136"/>
      <c r="C44" s="136"/>
      <c r="D44" s="136"/>
      <c r="E44" s="136"/>
    </row>
    <row r="45" spans="1:5" x14ac:dyDescent="0.25">
      <c r="A45" s="136"/>
      <c r="B45" s="136"/>
      <c r="C45" s="136"/>
      <c r="D45" s="136"/>
      <c r="E45" s="136"/>
    </row>
    <row r="46" spans="1:5" x14ac:dyDescent="0.25">
      <c r="A46" s="136"/>
      <c r="B46" s="136"/>
      <c r="C46" s="136"/>
      <c r="D46" s="136"/>
      <c r="E46" s="136"/>
    </row>
    <row r="47" spans="1:5" x14ac:dyDescent="0.25">
      <c r="A47" s="136"/>
      <c r="B47" s="136"/>
      <c r="C47" s="136"/>
      <c r="D47" s="136"/>
      <c r="E47" s="136"/>
    </row>
    <row r="48" spans="1:5" x14ac:dyDescent="0.25">
      <c r="A48" s="136"/>
      <c r="B48" s="136"/>
      <c r="C48" s="136"/>
      <c r="D48" s="136"/>
      <c r="E48" s="136"/>
    </row>
    <row r="49" spans="1:5" x14ac:dyDescent="0.25">
      <c r="A49" s="136"/>
      <c r="B49" s="136"/>
      <c r="C49" s="136"/>
      <c r="D49" s="136"/>
      <c r="E49" s="136"/>
    </row>
    <row r="50" spans="1:5" x14ac:dyDescent="0.25">
      <c r="A50" s="136"/>
      <c r="B50" s="136"/>
      <c r="C50" s="136"/>
      <c r="D50" s="136"/>
      <c r="E50" s="136"/>
    </row>
    <row r="51" spans="1:5" x14ac:dyDescent="0.25">
      <c r="A51" s="136"/>
      <c r="B51" s="136"/>
      <c r="C51" s="136"/>
      <c r="D51" s="136"/>
      <c r="E51" s="136"/>
    </row>
    <row r="52" spans="1:5" x14ac:dyDescent="0.25">
      <c r="A52" s="136"/>
      <c r="B52" s="136"/>
      <c r="C52" s="136"/>
      <c r="D52" s="136"/>
      <c r="E52" s="136"/>
    </row>
    <row r="53" spans="1:5" x14ac:dyDescent="0.25">
      <c r="A53" s="136"/>
      <c r="B53" s="136"/>
      <c r="C53" s="136"/>
      <c r="D53" s="136"/>
      <c r="E53" s="136"/>
    </row>
    <row r="54" spans="1:5" x14ac:dyDescent="0.25">
      <c r="A54" s="136"/>
      <c r="B54" s="136"/>
      <c r="C54" s="136"/>
      <c r="D54" s="136"/>
      <c r="E54" s="136"/>
    </row>
    <row r="55" spans="1:5" x14ac:dyDescent="0.25">
      <c r="A55" s="136"/>
      <c r="B55" s="136"/>
      <c r="C55" s="136"/>
      <c r="D55" s="136"/>
      <c r="E55" s="136"/>
    </row>
    <row r="56" spans="1:5" x14ac:dyDescent="0.25">
      <c r="A56" s="136"/>
      <c r="B56" s="136"/>
      <c r="C56" s="136"/>
      <c r="D56" s="136"/>
      <c r="E56" s="136"/>
    </row>
    <row r="57" spans="1:5" x14ac:dyDescent="0.25">
      <c r="A57" s="136"/>
      <c r="B57" s="136"/>
      <c r="C57" s="136"/>
      <c r="D57" s="136"/>
      <c r="E57" s="136"/>
    </row>
    <row r="58" spans="1:5" x14ac:dyDescent="0.25">
      <c r="A58" s="136"/>
      <c r="B58" s="136"/>
      <c r="C58" s="136"/>
      <c r="D58" s="136"/>
      <c r="E58" s="136"/>
    </row>
    <row r="59" spans="1:5" x14ac:dyDescent="0.25">
      <c r="A59" s="136"/>
      <c r="B59" s="136"/>
      <c r="C59" s="136"/>
      <c r="D59" s="136"/>
      <c r="E59" s="136"/>
    </row>
    <row r="60" spans="1:5" x14ac:dyDescent="0.25">
      <c r="A60" s="136"/>
      <c r="B60" s="136"/>
      <c r="C60" s="136"/>
      <c r="D60" s="136"/>
      <c r="E60" s="136"/>
    </row>
  </sheetData>
  <mergeCells count="1">
    <mergeCell ref="A1:L15"/>
  </mergeCells>
  <printOptions horizontalCentered="1"/>
  <pageMargins left="0" right="0" top="0.25" bottom="0.25" header="0.3" footer="0.3"/>
  <pageSetup paperSize="9" orientation="portrait" horizontalDpi="0" verticalDpi="0" scale="73" fitToWidth="1" fitToHeight="1" firstPageNumber="1" useFirstPageNumber="1" copies="1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65"/>
  <sheetViews>
    <sheetView workbookViewId="0">
      <selection activeCell="A1" sqref="A1"/>
    </sheetView>
  </sheetViews>
  <sheetFormatPr defaultRowHeight="14" outlineLevelRow="0" outlineLevelCol="0" x14ac:dyDescent="0" defaultColWidth="8.83203125" customHeight="1"/>
  <cols>
    <col min="1" max="1" width="4" style="136" customWidth="1"/>
    <col min="2" max="2" width="5.5" style="136" customWidth="1"/>
    <col min="3" max="3" width="4.1640625" style="136" customWidth="1"/>
    <col min="4" max="4" width="11.5" style="136" customWidth="1"/>
    <col min="5" max="5" width="1.33203125" style="136" customWidth="1"/>
    <col min="6" max="6" width="28.1640625" style="276" customWidth="1"/>
    <col min="7" max="10" width="8.6640625" style="136" customWidth="1"/>
    <col min="11" max="12" width="5.83203125" style="136" customWidth="1"/>
    <col min="13" max="13" width="9.1640625" style="136" customWidth="1"/>
    <col min="14" max="14" width="20.33203125" style="136" customWidth="1"/>
    <col min="15" max="15" width="22.1640625" style="136" customWidth="1"/>
    <col min="16" max="16" width="9.1640625" style="137" customWidth="1"/>
    <col min="17" max="17" width="9.1640625" style="136" customWidth="1"/>
    <col min="18" max="18" width="10.5" style="136" customWidth="1"/>
    <col min="19" max="257" width="9.1640625" style="136" customWidth="1"/>
    <col min="258" max="259" width="4.83203125" style="136" customWidth="1"/>
    <col min="260" max="260" width="4.1640625" style="136" customWidth="1"/>
    <col min="261" max="261" width="11.1640625" style="136" customWidth="1"/>
    <col min="262" max="262" width="25.33203125" style="136" customWidth="1"/>
    <col min="263" max="263" width="9.5" style="136" customWidth="1"/>
    <col min="264" max="264" width="8.1640625" style="136" customWidth="1"/>
    <col min="265" max="265" width="7.83203125" style="136" customWidth="1"/>
    <col min="266" max="266" width="14.5" style="136" customWidth="1"/>
    <col min="267" max="267" width="6.33203125" style="136" customWidth="1"/>
    <col min="268" max="268" width="6.1640625" style="136" customWidth="1"/>
    <col min="269" max="269" width="9.1640625" style="136" customWidth="1"/>
    <col min="270" max="270" width="10.5" style="136" customWidth="1"/>
    <col min="271" max="271" width="22.1640625" style="136" customWidth="1"/>
    <col min="272" max="273" width="9.1640625" style="136" customWidth="1"/>
    <col min="274" max="274" width="10.5" style="136" customWidth="1"/>
    <col min="275" max="513" width="9.1640625" style="136" customWidth="1"/>
    <col min="514" max="515" width="4.83203125" style="136" customWidth="1"/>
    <col min="516" max="516" width="4.1640625" style="136" customWidth="1"/>
    <col min="517" max="517" width="11.1640625" style="136" customWidth="1"/>
    <col min="518" max="518" width="25.33203125" style="136" customWidth="1"/>
    <col min="519" max="519" width="9.5" style="136" customWidth="1"/>
    <col min="520" max="520" width="8.1640625" style="136" customWidth="1"/>
    <col min="521" max="521" width="7.83203125" style="136" customWidth="1"/>
    <col min="522" max="522" width="14.5" style="136" customWidth="1"/>
    <col min="523" max="523" width="6.33203125" style="136" customWidth="1"/>
    <col min="524" max="524" width="6.1640625" style="136" customWidth="1"/>
    <col min="525" max="525" width="9.1640625" style="136" customWidth="1"/>
    <col min="526" max="526" width="10.5" style="136" customWidth="1"/>
    <col min="527" max="527" width="22.1640625" style="136" customWidth="1"/>
    <col min="528" max="529" width="9.1640625" style="136" customWidth="1"/>
    <col min="530" max="530" width="10.5" style="136" customWidth="1"/>
    <col min="531" max="769" width="9.1640625" style="136" customWidth="1"/>
    <col min="770" max="771" width="4.83203125" style="136" customWidth="1"/>
    <col min="772" max="772" width="4.1640625" style="136" customWidth="1"/>
    <col min="773" max="773" width="11.1640625" style="136" customWidth="1"/>
    <col min="774" max="774" width="25.33203125" style="136" customWidth="1"/>
    <col min="775" max="775" width="9.5" style="136" customWidth="1"/>
    <col min="776" max="776" width="8.1640625" style="136" customWidth="1"/>
    <col min="777" max="777" width="7.83203125" style="136" customWidth="1"/>
    <col min="778" max="778" width="14.5" style="136" customWidth="1"/>
    <col min="779" max="779" width="6.33203125" style="136" customWidth="1"/>
    <col min="780" max="780" width="6.1640625" style="136" customWidth="1"/>
    <col min="781" max="781" width="9.1640625" style="136" customWidth="1"/>
    <col min="782" max="782" width="10.5" style="136" customWidth="1"/>
    <col min="783" max="783" width="22.1640625" style="136" customWidth="1"/>
    <col min="784" max="785" width="9.1640625" style="136" customWidth="1"/>
    <col min="786" max="786" width="10.5" style="136" customWidth="1"/>
    <col min="787" max="1025" width="9.1640625" style="136" customWidth="1"/>
    <col min="1026" max="1027" width="4.83203125" style="136" customWidth="1"/>
    <col min="1028" max="1028" width="4.1640625" style="136" customWidth="1"/>
    <col min="1029" max="1029" width="11.1640625" style="136" customWidth="1"/>
    <col min="1030" max="1030" width="25.33203125" style="136" customWidth="1"/>
    <col min="1031" max="1031" width="9.5" style="136" customWidth="1"/>
    <col min="1032" max="1032" width="8.1640625" style="136" customWidth="1"/>
    <col min="1033" max="1033" width="7.83203125" style="136" customWidth="1"/>
    <col min="1034" max="1034" width="14.5" style="136" customWidth="1"/>
    <col min="1035" max="1035" width="6.33203125" style="136" customWidth="1"/>
    <col min="1036" max="1036" width="6.1640625" style="136" customWidth="1"/>
    <col min="1037" max="1037" width="9.1640625" style="136" customWidth="1"/>
    <col min="1038" max="1038" width="10.5" style="136" customWidth="1"/>
    <col min="1039" max="1039" width="22.1640625" style="136" customWidth="1"/>
    <col min="1040" max="1041" width="9.1640625" style="136" customWidth="1"/>
    <col min="1042" max="1042" width="10.5" style="136" customWidth="1"/>
    <col min="1043" max="1281" width="9.1640625" style="136" customWidth="1"/>
    <col min="1282" max="1283" width="4.83203125" style="136" customWidth="1"/>
    <col min="1284" max="1284" width="4.1640625" style="136" customWidth="1"/>
    <col min="1285" max="1285" width="11.1640625" style="136" customWidth="1"/>
    <col min="1286" max="1286" width="25.33203125" style="136" customWidth="1"/>
    <col min="1287" max="1287" width="9.5" style="136" customWidth="1"/>
    <col min="1288" max="1288" width="8.1640625" style="136" customWidth="1"/>
    <col min="1289" max="1289" width="7.83203125" style="136" customWidth="1"/>
    <col min="1290" max="1290" width="14.5" style="136" customWidth="1"/>
    <col min="1291" max="1291" width="6.33203125" style="136" customWidth="1"/>
    <col min="1292" max="1292" width="6.1640625" style="136" customWidth="1"/>
    <col min="1293" max="1293" width="9.1640625" style="136" customWidth="1"/>
    <col min="1294" max="1294" width="10.5" style="136" customWidth="1"/>
    <col min="1295" max="1295" width="22.1640625" style="136" customWidth="1"/>
    <col min="1296" max="1297" width="9.1640625" style="136" customWidth="1"/>
    <col min="1298" max="1298" width="10.5" style="136" customWidth="1"/>
    <col min="1299" max="1537" width="9.1640625" style="136" customWidth="1"/>
    <col min="1538" max="1539" width="4.83203125" style="136" customWidth="1"/>
    <col min="1540" max="1540" width="4.1640625" style="136" customWidth="1"/>
    <col min="1541" max="1541" width="11.1640625" style="136" customWidth="1"/>
    <col min="1542" max="1542" width="25.33203125" style="136" customWidth="1"/>
    <col min="1543" max="1543" width="9.5" style="136" customWidth="1"/>
    <col min="1544" max="1544" width="8.1640625" style="136" customWidth="1"/>
    <col min="1545" max="1545" width="7.83203125" style="136" customWidth="1"/>
    <col min="1546" max="1546" width="14.5" style="136" customWidth="1"/>
    <col min="1547" max="1547" width="6.33203125" style="136" customWidth="1"/>
    <col min="1548" max="1548" width="6.1640625" style="136" customWidth="1"/>
    <col min="1549" max="1549" width="9.1640625" style="136" customWidth="1"/>
    <col min="1550" max="1550" width="10.5" style="136" customWidth="1"/>
    <col min="1551" max="1551" width="22.1640625" style="136" customWidth="1"/>
    <col min="1552" max="1553" width="9.1640625" style="136" customWidth="1"/>
    <col min="1554" max="1554" width="10.5" style="136" customWidth="1"/>
    <col min="1555" max="1793" width="9.1640625" style="136" customWidth="1"/>
    <col min="1794" max="1795" width="4.83203125" style="136" customWidth="1"/>
    <col min="1796" max="1796" width="4.1640625" style="136" customWidth="1"/>
    <col min="1797" max="1797" width="11.1640625" style="136" customWidth="1"/>
    <col min="1798" max="1798" width="25.33203125" style="136" customWidth="1"/>
    <col min="1799" max="1799" width="9.5" style="136" customWidth="1"/>
    <col min="1800" max="1800" width="8.1640625" style="136" customWidth="1"/>
    <col min="1801" max="1801" width="7.83203125" style="136" customWidth="1"/>
    <col min="1802" max="1802" width="14.5" style="136" customWidth="1"/>
    <col min="1803" max="1803" width="6.33203125" style="136" customWidth="1"/>
    <col min="1804" max="1804" width="6.1640625" style="136" customWidth="1"/>
    <col min="1805" max="1805" width="9.1640625" style="136" customWidth="1"/>
    <col min="1806" max="1806" width="10.5" style="136" customWidth="1"/>
    <col min="1807" max="1807" width="22.1640625" style="136" customWidth="1"/>
    <col min="1808" max="1809" width="9.1640625" style="136" customWidth="1"/>
    <col min="1810" max="1810" width="10.5" style="136" customWidth="1"/>
    <col min="1811" max="2049" width="9.1640625" style="136" customWidth="1"/>
    <col min="2050" max="2051" width="4.83203125" style="136" customWidth="1"/>
    <col min="2052" max="2052" width="4.1640625" style="136" customWidth="1"/>
    <col min="2053" max="2053" width="11.1640625" style="136" customWidth="1"/>
    <col min="2054" max="2054" width="25.33203125" style="136" customWidth="1"/>
    <col min="2055" max="2055" width="9.5" style="136" customWidth="1"/>
    <col min="2056" max="2056" width="8.1640625" style="136" customWidth="1"/>
    <col min="2057" max="2057" width="7.83203125" style="136" customWidth="1"/>
    <col min="2058" max="2058" width="14.5" style="136" customWidth="1"/>
    <col min="2059" max="2059" width="6.33203125" style="136" customWidth="1"/>
    <col min="2060" max="2060" width="6.1640625" style="136" customWidth="1"/>
    <col min="2061" max="2061" width="9.1640625" style="136" customWidth="1"/>
    <col min="2062" max="2062" width="10.5" style="136" customWidth="1"/>
    <col min="2063" max="2063" width="22.1640625" style="136" customWidth="1"/>
    <col min="2064" max="2065" width="9.1640625" style="136" customWidth="1"/>
    <col min="2066" max="2066" width="10.5" style="136" customWidth="1"/>
    <col min="2067" max="2305" width="9.1640625" style="136" customWidth="1"/>
    <col min="2306" max="2307" width="4.83203125" style="136" customWidth="1"/>
    <col min="2308" max="2308" width="4.1640625" style="136" customWidth="1"/>
    <col min="2309" max="2309" width="11.1640625" style="136" customWidth="1"/>
    <col min="2310" max="2310" width="25.33203125" style="136" customWidth="1"/>
    <col min="2311" max="2311" width="9.5" style="136" customWidth="1"/>
    <col min="2312" max="2312" width="8.1640625" style="136" customWidth="1"/>
    <col min="2313" max="2313" width="7.83203125" style="136" customWidth="1"/>
    <col min="2314" max="2314" width="14.5" style="136" customWidth="1"/>
    <col min="2315" max="2315" width="6.33203125" style="136" customWidth="1"/>
    <col min="2316" max="2316" width="6.1640625" style="136" customWidth="1"/>
    <col min="2317" max="2317" width="9.1640625" style="136" customWidth="1"/>
    <col min="2318" max="2318" width="10.5" style="136" customWidth="1"/>
    <col min="2319" max="2319" width="22.1640625" style="136" customWidth="1"/>
    <col min="2320" max="2321" width="9.1640625" style="136" customWidth="1"/>
    <col min="2322" max="2322" width="10.5" style="136" customWidth="1"/>
    <col min="2323" max="2561" width="9.1640625" style="136" customWidth="1"/>
    <col min="2562" max="2563" width="4.83203125" style="136" customWidth="1"/>
    <col min="2564" max="2564" width="4.1640625" style="136" customWidth="1"/>
    <col min="2565" max="2565" width="11.1640625" style="136" customWidth="1"/>
    <col min="2566" max="2566" width="25.33203125" style="136" customWidth="1"/>
    <col min="2567" max="2567" width="9.5" style="136" customWidth="1"/>
    <col min="2568" max="2568" width="8.1640625" style="136" customWidth="1"/>
    <col min="2569" max="2569" width="7.83203125" style="136" customWidth="1"/>
    <col min="2570" max="2570" width="14.5" style="136" customWidth="1"/>
    <col min="2571" max="2571" width="6.33203125" style="136" customWidth="1"/>
    <col min="2572" max="2572" width="6.1640625" style="136" customWidth="1"/>
    <col min="2573" max="2573" width="9.1640625" style="136" customWidth="1"/>
    <col min="2574" max="2574" width="10.5" style="136" customWidth="1"/>
    <col min="2575" max="2575" width="22.1640625" style="136" customWidth="1"/>
    <col min="2576" max="2577" width="9.1640625" style="136" customWidth="1"/>
    <col min="2578" max="2578" width="10.5" style="136" customWidth="1"/>
    <col min="2579" max="2817" width="9.1640625" style="136" customWidth="1"/>
    <col min="2818" max="2819" width="4.83203125" style="136" customWidth="1"/>
    <col min="2820" max="2820" width="4.1640625" style="136" customWidth="1"/>
    <col min="2821" max="2821" width="11.1640625" style="136" customWidth="1"/>
    <col min="2822" max="2822" width="25.33203125" style="136" customWidth="1"/>
    <col min="2823" max="2823" width="9.5" style="136" customWidth="1"/>
    <col min="2824" max="2824" width="8.1640625" style="136" customWidth="1"/>
    <col min="2825" max="2825" width="7.83203125" style="136" customWidth="1"/>
    <col min="2826" max="2826" width="14.5" style="136" customWidth="1"/>
    <col min="2827" max="2827" width="6.33203125" style="136" customWidth="1"/>
    <col min="2828" max="2828" width="6.1640625" style="136" customWidth="1"/>
    <col min="2829" max="2829" width="9.1640625" style="136" customWidth="1"/>
    <col min="2830" max="2830" width="10.5" style="136" customWidth="1"/>
    <col min="2831" max="2831" width="22.1640625" style="136" customWidth="1"/>
    <col min="2832" max="2833" width="9.1640625" style="136" customWidth="1"/>
    <col min="2834" max="2834" width="10.5" style="136" customWidth="1"/>
    <col min="2835" max="3073" width="9.1640625" style="136" customWidth="1"/>
    <col min="3074" max="3075" width="4.83203125" style="136" customWidth="1"/>
    <col min="3076" max="3076" width="4.1640625" style="136" customWidth="1"/>
    <col min="3077" max="3077" width="11.1640625" style="136" customWidth="1"/>
    <col min="3078" max="3078" width="25.33203125" style="136" customWidth="1"/>
    <col min="3079" max="3079" width="9.5" style="136" customWidth="1"/>
    <col min="3080" max="3080" width="8.1640625" style="136" customWidth="1"/>
    <col min="3081" max="3081" width="7.83203125" style="136" customWidth="1"/>
    <col min="3082" max="3082" width="14.5" style="136" customWidth="1"/>
    <col min="3083" max="3083" width="6.33203125" style="136" customWidth="1"/>
    <col min="3084" max="3084" width="6.1640625" style="136" customWidth="1"/>
    <col min="3085" max="3085" width="9.1640625" style="136" customWidth="1"/>
    <col min="3086" max="3086" width="10.5" style="136" customWidth="1"/>
    <col min="3087" max="3087" width="22.1640625" style="136" customWidth="1"/>
    <col min="3088" max="3089" width="9.1640625" style="136" customWidth="1"/>
    <col min="3090" max="3090" width="10.5" style="136" customWidth="1"/>
    <col min="3091" max="3329" width="9.1640625" style="136" customWidth="1"/>
    <col min="3330" max="3331" width="4.83203125" style="136" customWidth="1"/>
    <col min="3332" max="3332" width="4.1640625" style="136" customWidth="1"/>
    <col min="3333" max="3333" width="11.1640625" style="136" customWidth="1"/>
    <col min="3334" max="3334" width="25.33203125" style="136" customWidth="1"/>
    <col min="3335" max="3335" width="9.5" style="136" customWidth="1"/>
    <col min="3336" max="3336" width="8.1640625" style="136" customWidth="1"/>
    <col min="3337" max="3337" width="7.83203125" style="136" customWidth="1"/>
    <col min="3338" max="3338" width="14.5" style="136" customWidth="1"/>
    <col min="3339" max="3339" width="6.33203125" style="136" customWidth="1"/>
    <col min="3340" max="3340" width="6.1640625" style="136" customWidth="1"/>
    <col min="3341" max="3341" width="9.1640625" style="136" customWidth="1"/>
    <col min="3342" max="3342" width="10.5" style="136" customWidth="1"/>
    <col min="3343" max="3343" width="22.1640625" style="136" customWidth="1"/>
    <col min="3344" max="3345" width="9.1640625" style="136" customWidth="1"/>
    <col min="3346" max="3346" width="10.5" style="136" customWidth="1"/>
    <col min="3347" max="3585" width="9.1640625" style="136" customWidth="1"/>
    <col min="3586" max="3587" width="4.83203125" style="136" customWidth="1"/>
    <col min="3588" max="3588" width="4.1640625" style="136" customWidth="1"/>
    <col min="3589" max="3589" width="11.1640625" style="136" customWidth="1"/>
    <col min="3590" max="3590" width="25.33203125" style="136" customWidth="1"/>
    <col min="3591" max="3591" width="9.5" style="136" customWidth="1"/>
    <col min="3592" max="3592" width="8.1640625" style="136" customWidth="1"/>
    <col min="3593" max="3593" width="7.83203125" style="136" customWidth="1"/>
    <col min="3594" max="3594" width="14.5" style="136" customWidth="1"/>
    <col min="3595" max="3595" width="6.33203125" style="136" customWidth="1"/>
    <col min="3596" max="3596" width="6.1640625" style="136" customWidth="1"/>
    <col min="3597" max="3597" width="9.1640625" style="136" customWidth="1"/>
    <col min="3598" max="3598" width="10.5" style="136" customWidth="1"/>
    <col min="3599" max="3599" width="22.1640625" style="136" customWidth="1"/>
    <col min="3600" max="3601" width="9.1640625" style="136" customWidth="1"/>
    <col min="3602" max="3602" width="10.5" style="136" customWidth="1"/>
    <col min="3603" max="3841" width="9.1640625" style="136" customWidth="1"/>
    <col min="3842" max="3843" width="4.83203125" style="136" customWidth="1"/>
    <col min="3844" max="3844" width="4.1640625" style="136" customWidth="1"/>
    <col min="3845" max="3845" width="11.1640625" style="136" customWidth="1"/>
    <col min="3846" max="3846" width="25.33203125" style="136" customWidth="1"/>
    <col min="3847" max="3847" width="9.5" style="136" customWidth="1"/>
    <col min="3848" max="3848" width="8.1640625" style="136" customWidth="1"/>
    <col min="3849" max="3849" width="7.83203125" style="136" customWidth="1"/>
    <col min="3850" max="3850" width="14.5" style="136" customWidth="1"/>
    <col min="3851" max="3851" width="6.33203125" style="136" customWidth="1"/>
    <col min="3852" max="3852" width="6.1640625" style="136" customWidth="1"/>
    <col min="3853" max="3853" width="9.1640625" style="136" customWidth="1"/>
    <col min="3854" max="3854" width="10.5" style="136" customWidth="1"/>
    <col min="3855" max="3855" width="22.1640625" style="136" customWidth="1"/>
    <col min="3856" max="3857" width="9.1640625" style="136" customWidth="1"/>
    <col min="3858" max="3858" width="10.5" style="136" customWidth="1"/>
    <col min="3859" max="4097" width="9.1640625" style="136" customWidth="1"/>
    <col min="4098" max="4099" width="4.83203125" style="136" customWidth="1"/>
    <col min="4100" max="4100" width="4.1640625" style="136" customWidth="1"/>
    <col min="4101" max="4101" width="11.1640625" style="136" customWidth="1"/>
    <col min="4102" max="4102" width="25.33203125" style="136" customWidth="1"/>
    <col min="4103" max="4103" width="9.5" style="136" customWidth="1"/>
    <col min="4104" max="4104" width="8.1640625" style="136" customWidth="1"/>
    <col min="4105" max="4105" width="7.83203125" style="136" customWidth="1"/>
    <col min="4106" max="4106" width="14.5" style="136" customWidth="1"/>
    <col min="4107" max="4107" width="6.33203125" style="136" customWidth="1"/>
    <col min="4108" max="4108" width="6.1640625" style="136" customWidth="1"/>
    <col min="4109" max="4109" width="9.1640625" style="136" customWidth="1"/>
    <col min="4110" max="4110" width="10.5" style="136" customWidth="1"/>
    <col min="4111" max="4111" width="22.1640625" style="136" customWidth="1"/>
    <col min="4112" max="4113" width="9.1640625" style="136" customWidth="1"/>
    <col min="4114" max="4114" width="10.5" style="136" customWidth="1"/>
    <col min="4115" max="4353" width="9.1640625" style="136" customWidth="1"/>
    <col min="4354" max="4355" width="4.83203125" style="136" customWidth="1"/>
    <col min="4356" max="4356" width="4.1640625" style="136" customWidth="1"/>
    <col min="4357" max="4357" width="11.1640625" style="136" customWidth="1"/>
    <col min="4358" max="4358" width="25.33203125" style="136" customWidth="1"/>
    <col min="4359" max="4359" width="9.5" style="136" customWidth="1"/>
    <col min="4360" max="4360" width="8.1640625" style="136" customWidth="1"/>
    <col min="4361" max="4361" width="7.83203125" style="136" customWidth="1"/>
    <col min="4362" max="4362" width="14.5" style="136" customWidth="1"/>
    <col min="4363" max="4363" width="6.33203125" style="136" customWidth="1"/>
    <col min="4364" max="4364" width="6.1640625" style="136" customWidth="1"/>
    <col min="4365" max="4365" width="9.1640625" style="136" customWidth="1"/>
    <col min="4366" max="4366" width="10.5" style="136" customWidth="1"/>
    <col min="4367" max="4367" width="22.1640625" style="136" customWidth="1"/>
    <col min="4368" max="4369" width="9.1640625" style="136" customWidth="1"/>
    <col min="4370" max="4370" width="10.5" style="136" customWidth="1"/>
    <col min="4371" max="4609" width="9.1640625" style="136" customWidth="1"/>
    <col min="4610" max="4611" width="4.83203125" style="136" customWidth="1"/>
    <col min="4612" max="4612" width="4.1640625" style="136" customWidth="1"/>
    <col min="4613" max="4613" width="11.1640625" style="136" customWidth="1"/>
    <col min="4614" max="4614" width="25.33203125" style="136" customWidth="1"/>
    <col min="4615" max="4615" width="9.5" style="136" customWidth="1"/>
    <col min="4616" max="4616" width="8.1640625" style="136" customWidth="1"/>
    <col min="4617" max="4617" width="7.83203125" style="136" customWidth="1"/>
    <col min="4618" max="4618" width="14.5" style="136" customWidth="1"/>
    <col min="4619" max="4619" width="6.33203125" style="136" customWidth="1"/>
    <col min="4620" max="4620" width="6.1640625" style="136" customWidth="1"/>
    <col min="4621" max="4621" width="9.1640625" style="136" customWidth="1"/>
    <col min="4622" max="4622" width="10.5" style="136" customWidth="1"/>
    <col min="4623" max="4623" width="22.1640625" style="136" customWidth="1"/>
    <col min="4624" max="4625" width="9.1640625" style="136" customWidth="1"/>
    <col min="4626" max="4626" width="10.5" style="136" customWidth="1"/>
    <col min="4627" max="4865" width="9.1640625" style="136" customWidth="1"/>
    <col min="4866" max="4867" width="4.83203125" style="136" customWidth="1"/>
    <col min="4868" max="4868" width="4.1640625" style="136" customWidth="1"/>
    <col min="4869" max="4869" width="11.1640625" style="136" customWidth="1"/>
    <col min="4870" max="4870" width="25.33203125" style="136" customWidth="1"/>
    <col min="4871" max="4871" width="9.5" style="136" customWidth="1"/>
    <col min="4872" max="4872" width="8.1640625" style="136" customWidth="1"/>
    <col min="4873" max="4873" width="7.83203125" style="136" customWidth="1"/>
    <col min="4874" max="4874" width="14.5" style="136" customWidth="1"/>
    <col min="4875" max="4875" width="6.33203125" style="136" customWidth="1"/>
    <col min="4876" max="4876" width="6.1640625" style="136" customWidth="1"/>
    <col min="4877" max="4877" width="9.1640625" style="136" customWidth="1"/>
    <col min="4878" max="4878" width="10.5" style="136" customWidth="1"/>
    <col min="4879" max="4879" width="22.1640625" style="136" customWidth="1"/>
    <col min="4880" max="4881" width="9.1640625" style="136" customWidth="1"/>
    <col min="4882" max="4882" width="10.5" style="136" customWidth="1"/>
    <col min="4883" max="5121" width="9.1640625" style="136" customWidth="1"/>
    <col min="5122" max="5123" width="4.83203125" style="136" customWidth="1"/>
    <col min="5124" max="5124" width="4.1640625" style="136" customWidth="1"/>
    <col min="5125" max="5125" width="11.1640625" style="136" customWidth="1"/>
    <col min="5126" max="5126" width="25.33203125" style="136" customWidth="1"/>
    <col min="5127" max="5127" width="9.5" style="136" customWidth="1"/>
    <col min="5128" max="5128" width="8.1640625" style="136" customWidth="1"/>
    <col min="5129" max="5129" width="7.83203125" style="136" customWidth="1"/>
    <col min="5130" max="5130" width="14.5" style="136" customWidth="1"/>
    <col min="5131" max="5131" width="6.33203125" style="136" customWidth="1"/>
    <col min="5132" max="5132" width="6.1640625" style="136" customWidth="1"/>
    <col min="5133" max="5133" width="9.1640625" style="136" customWidth="1"/>
    <col min="5134" max="5134" width="10.5" style="136" customWidth="1"/>
    <col min="5135" max="5135" width="22.1640625" style="136" customWidth="1"/>
    <col min="5136" max="5137" width="9.1640625" style="136" customWidth="1"/>
    <col min="5138" max="5138" width="10.5" style="136" customWidth="1"/>
    <col min="5139" max="5377" width="9.1640625" style="136" customWidth="1"/>
    <col min="5378" max="5379" width="4.83203125" style="136" customWidth="1"/>
    <col min="5380" max="5380" width="4.1640625" style="136" customWidth="1"/>
    <col min="5381" max="5381" width="11.1640625" style="136" customWidth="1"/>
    <col min="5382" max="5382" width="25.33203125" style="136" customWidth="1"/>
    <col min="5383" max="5383" width="9.5" style="136" customWidth="1"/>
    <col min="5384" max="5384" width="8.1640625" style="136" customWidth="1"/>
    <col min="5385" max="5385" width="7.83203125" style="136" customWidth="1"/>
    <col min="5386" max="5386" width="14.5" style="136" customWidth="1"/>
    <col min="5387" max="5387" width="6.33203125" style="136" customWidth="1"/>
    <col min="5388" max="5388" width="6.1640625" style="136" customWidth="1"/>
    <col min="5389" max="5389" width="9.1640625" style="136" customWidth="1"/>
    <col min="5390" max="5390" width="10.5" style="136" customWidth="1"/>
    <col min="5391" max="5391" width="22.1640625" style="136" customWidth="1"/>
    <col min="5392" max="5393" width="9.1640625" style="136" customWidth="1"/>
    <col min="5394" max="5394" width="10.5" style="136" customWidth="1"/>
    <col min="5395" max="5633" width="9.1640625" style="136" customWidth="1"/>
    <col min="5634" max="5635" width="4.83203125" style="136" customWidth="1"/>
    <col min="5636" max="5636" width="4.1640625" style="136" customWidth="1"/>
    <col min="5637" max="5637" width="11.1640625" style="136" customWidth="1"/>
    <col min="5638" max="5638" width="25.33203125" style="136" customWidth="1"/>
    <col min="5639" max="5639" width="9.5" style="136" customWidth="1"/>
    <col min="5640" max="5640" width="8.1640625" style="136" customWidth="1"/>
    <col min="5641" max="5641" width="7.83203125" style="136" customWidth="1"/>
    <col min="5642" max="5642" width="14.5" style="136" customWidth="1"/>
    <col min="5643" max="5643" width="6.33203125" style="136" customWidth="1"/>
    <col min="5644" max="5644" width="6.1640625" style="136" customWidth="1"/>
    <col min="5645" max="5645" width="9.1640625" style="136" customWidth="1"/>
    <col min="5646" max="5646" width="10.5" style="136" customWidth="1"/>
    <col min="5647" max="5647" width="22.1640625" style="136" customWidth="1"/>
    <col min="5648" max="5649" width="9.1640625" style="136" customWidth="1"/>
    <col min="5650" max="5650" width="10.5" style="136" customWidth="1"/>
    <col min="5651" max="5889" width="9.1640625" style="136" customWidth="1"/>
    <col min="5890" max="5891" width="4.83203125" style="136" customWidth="1"/>
    <col min="5892" max="5892" width="4.1640625" style="136" customWidth="1"/>
    <col min="5893" max="5893" width="11.1640625" style="136" customWidth="1"/>
    <col min="5894" max="5894" width="25.33203125" style="136" customWidth="1"/>
    <col min="5895" max="5895" width="9.5" style="136" customWidth="1"/>
    <col min="5896" max="5896" width="8.1640625" style="136" customWidth="1"/>
    <col min="5897" max="5897" width="7.83203125" style="136" customWidth="1"/>
    <col min="5898" max="5898" width="14.5" style="136" customWidth="1"/>
    <col min="5899" max="5899" width="6.33203125" style="136" customWidth="1"/>
    <col min="5900" max="5900" width="6.1640625" style="136" customWidth="1"/>
    <col min="5901" max="5901" width="9.1640625" style="136" customWidth="1"/>
    <col min="5902" max="5902" width="10.5" style="136" customWidth="1"/>
    <col min="5903" max="5903" width="22.1640625" style="136" customWidth="1"/>
    <col min="5904" max="5905" width="9.1640625" style="136" customWidth="1"/>
    <col min="5906" max="5906" width="10.5" style="136" customWidth="1"/>
    <col min="5907" max="6145" width="9.1640625" style="136" customWidth="1"/>
    <col min="6146" max="6147" width="4.83203125" style="136" customWidth="1"/>
    <col min="6148" max="6148" width="4.1640625" style="136" customWidth="1"/>
    <col min="6149" max="6149" width="11.1640625" style="136" customWidth="1"/>
    <col min="6150" max="6150" width="25.33203125" style="136" customWidth="1"/>
    <col min="6151" max="6151" width="9.5" style="136" customWidth="1"/>
    <col min="6152" max="6152" width="8.1640625" style="136" customWidth="1"/>
    <col min="6153" max="6153" width="7.83203125" style="136" customWidth="1"/>
    <col min="6154" max="6154" width="14.5" style="136" customWidth="1"/>
    <col min="6155" max="6155" width="6.33203125" style="136" customWidth="1"/>
    <col min="6156" max="6156" width="6.1640625" style="136" customWidth="1"/>
    <col min="6157" max="6157" width="9.1640625" style="136" customWidth="1"/>
    <col min="6158" max="6158" width="10.5" style="136" customWidth="1"/>
    <col min="6159" max="6159" width="22.1640625" style="136" customWidth="1"/>
    <col min="6160" max="6161" width="9.1640625" style="136" customWidth="1"/>
    <col min="6162" max="6162" width="10.5" style="136" customWidth="1"/>
    <col min="6163" max="6401" width="9.1640625" style="136" customWidth="1"/>
    <col min="6402" max="6403" width="4.83203125" style="136" customWidth="1"/>
    <col min="6404" max="6404" width="4.1640625" style="136" customWidth="1"/>
    <col min="6405" max="6405" width="11.1640625" style="136" customWidth="1"/>
    <col min="6406" max="6406" width="25.33203125" style="136" customWidth="1"/>
    <col min="6407" max="6407" width="9.5" style="136" customWidth="1"/>
    <col min="6408" max="6408" width="8.1640625" style="136" customWidth="1"/>
    <col min="6409" max="6409" width="7.83203125" style="136" customWidth="1"/>
    <col min="6410" max="6410" width="14.5" style="136" customWidth="1"/>
    <col min="6411" max="6411" width="6.33203125" style="136" customWidth="1"/>
    <col min="6412" max="6412" width="6.1640625" style="136" customWidth="1"/>
    <col min="6413" max="6413" width="9.1640625" style="136" customWidth="1"/>
    <col min="6414" max="6414" width="10.5" style="136" customWidth="1"/>
    <col min="6415" max="6415" width="22.1640625" style="136" customWidth="1"/>
    <col min="6416" max="6417" width="9.1640625" style="136" customWidth="1"/>
    <col min="6418" max="6418" width="10.5" style="136" customWidth="1"/>
    <col min="6419" max="6657" width="9.1640625" style="136" customWidth="1"/>
    <col min="6658" max="6659" width="4.83203125" style="136" customWidth="1"/>
    <col min="6660" max="6660" width="4.1640625" style="136" customWidth="1"/>
    <col min="6661" max="6661" width="11.1640625" style="136" customWidth="1"/>
    <col min="6662" max="6662" width="25.33203125" style="136" customWidth="1"/>
    <col min="6663" max="6663" width="9.5" style="136" customWidth="1"/>
    <col min="6664" max="6664" width="8.1640625" style="136" customWidth="1"/>
    <col min="6665" max="6665" width="7.83203125" style="136" customWidth="1"/>
    <col min="6666" max="6666" width="14.5" style="136" customWidth="1"/>
    <col min="6667" max="6667" width="6.33203125" style="136" customWidth="1"/>
    <col min="6668" max="6668" width="6.1640625" style="136" customWidth="1"/>
    <col min="6669" max="6669" width="9.1640625" style="136" customWidth="1"/>
    <col min="6670" max="6670" width="10.5" style="136" customWidth="1"/>
    <col min="6671" max="6671" width="22.1640625" style="136" customWidth="1"/>
    <col min="6672" max="6673" width="9.1640625" style="136" customWidth="1"/>
    <col min="6674" max="6674" width="10.5" style="136" customWidth="1"/>
    <col min="6675" max="6913" width="9.1640625" style="136" customWidth="1"/>
    <col min="6914" max="6915" width="4.83203125" style="136" customWidth="1"/>
    <col min="6916" max="6916" width="4.1640625" style="136" customWidth="1"/>
    <col min="6917" max="6917" width="11.1640625" style="136" customWidth="1"/>
    <col min="6918" max="6918" width="25.33203125" style="136" customWidth="1"/>
    <col min="6919" max="6919" width="9.5" style="136" customWidth="1"/>
    <col min="6920" max="6920" width="8.1640625" style="136" customWidth="1"/>
    <col min="6921" max="6921" width="7.83203125" style="136" customWidth="1"/>
    <col min="6922" max="6922" width="14.5" style="136" customWidth="1"/>
    <col min="6923" max="6923" width="6.33203125" style="136" customWidth="1"/>
    <col min="6924" max="6924" width="6.1640625" style="136" customWidth="1"/>
    <col min="6925" max="6925" width="9.1640625" style="136" customWidth="1"/>
    <col min="6926" max="6926" width="10.5" style="136" customWidth="1"/>
    <col min="6927" max="6927" width="22.1640625" style="136" customWidth="1"/>
    <col min="6928" max="6929" width="9.1640625" style="136" customWidth="1"/>
    <col min="6930" max="6930" width="10.5" style="136" customWidth="1"/>
    <col min="6931" max="7169" width="9.1640625" style="136" customWidth="1"/>
    <col min="7170" max="7171" width="4.83203125" style="136" customWidth="1"/>
    <col min="7172" max="7172" width="4.1640625" style="136" customWidth="1"/>
    <col min="7173" max="7173" width="11.1640625" style="136" customWidth="1"/>
    <col min="7174" max="7174" width="25.33203125" style="136" customWidth="1"/>
    <col min="7175" max="7175" width="9.5" style="136" customWidth="1"/>
    <col min="7176" max="7176" width="8.1640625" style="136" customWidth="1"/>
    <col min="7177" max="7177" width="7.83203125" style="136" customWidth="1"/>
    <col min="7178" max="7178" width="14.5" style="136" customWidth="1"/>
    <col min="7179" max="7179" width="6.33203125" style="136" customWidth="1"/>
    <col min="7180" max="7180" width="6.1640625" style="136" customWidth="1"/>
    <col min="7181" max="7181" width="9.1640625" style="136" customWidth="1"/>
    <col min="7182" max="7182" width="10.5" style="136" customWidth="1"/>
    <col min="7183" max="7183" width="22.1640625" style="136" customWidth="1"/>
    <col min="7184" max="7185" width="9.1640625" style="136" customWidth="1"/>
    <col min="7186" max="7186" width="10.5" style="136" customWidth="1"/>
    <col min="7187" max="7425" width="9.1640625" style="136" customWidth="1"/>
    <col min="7426" max="7427" width="4.83203125" style="136" customWidth="1"/>
    <col min="7428" max="7428" width="4.1640625" style="136" customWidth="1"/>
    <col min="7429" max="7429" width="11.1640625" style="136" customWidth="1"/>
    <col min="7430" max="7430" width="25.33203125" style="136" customWidth="1"/>
    <col min="7431" max="7431" width="9.5" style="136" customWidth="1"/>
    <col min="7432" max="7432" width="8.1640625" style="136" customWidth="1"/>
    <col min="7433" max="7433" width="7.83203125" style="136" customWidth="1"/>
    <col min="7434" max="7434" width="14.5" style="136" customWidth="1"/>
    <col min="7435" max="7435" width="6.33203125" style="136" customWidth="1"/>
    <col min="7436" max="7436" width="6.1640625" style="136" customWidth="1"/>
    <col min="7437" max="7437" width="9.1640625" style="136" customWidth="1"/>
    <col min="7438" max="7438" width="10.5" style="136" customWidth="1"/>
    <col min="7439" max="7439" width="22.1640625" style="136" customWidth="1"/>
    <col min="7440" max="7441" width="9.1640625" style="136" customWidth="1"/>
    <col min="7442" max="7442" width="10.5" style="136" customWidth="1"/>
    <col min="7443" max="7681" width="9.1640625" style="136" customWidth="1"/>
    <col min="7682" max="7683" width="4.83203125" style="136" customWidth="1"/>
    <col min="7684" max="7684" width="4.1640625" style="136" customWidth="1"/>
    <col min="7685" max="7685" width="11.1640625" style="136" customWidth="1"/>
    <col min="7686" max="7686" width="25.33203125" style="136" customWidth="1"/>
    <col min="7687" max="7687" width="9.5" style="136" customWidth="1"/>
    <col min="7688" max="7688" width="8.1640625" style="136" customWidth="1"/>
    <col min="7689" max="7689" width="7.83203125" style="136" customWidth="1"/>
    <col min="7690" max="7690" width="14.5" style="136" customWidth="1"/>
    <col min="7691" max="7691" width="6.33203125" style="136" customWidth="1"/>
    <col min="7692" max="7692" width="6.1640625" style="136" customWidth="1"/>
    <col min="7693" max="7693" width="9.1640625" style="136" customWidth="1"/>
    <col min="7694" max="7694" width="10.5" style="136" customWidth="1"/>
    <col min="7695" max="7695" width="22.1640625" style="136" customWidth="1"/>
    <col min="7696" max="7697" width="9.1640625" style="136" customWidth="1"/>
    <col min="7698" max="7698" width="10.5" style="136" customWidth="1"/>
    <col min="7699" max="7937" width="9.1640625" style="136" customWidth="1"/>
    <col min="7938" max="7939" width="4.83203125" style="136" customWidth="1"/>
    <col min="7940" max="7940" width="4.1640625" style="136" customWidth="1"/>
    <col min="7941" max="7941" width="11.1640625" style="136" customWidth="1"/>
    <col min="7942" max="7942" width="25.33203125" style="136" customWidth="1"/>
    <col min="7943" max="7943" width="9.5" style="136" customWidth="1"/>
    <col min="7944" max="7944" width="8.1640625" style="136" customWidth="1"/>
    <col min="7945" max="7945" width="7.83203125" style="136" customWidth="1"/>
    <col min="7946" max="7946" width="14.5" style="136" customWidth="1"/>
    <col min="7947" max="7947" width="6.33203125" style="136" customWidth="1"/>
    <col min="7948" max="7948" width="6.1640625" style="136" customWidth="1"/>
    <col min="7949" max="7949" width="9.1640625" style="136" customWidth="1"/>
    <col min="7950" max="7950" width="10.5" style="136" customWidth="1"/>
    <col min="7951" max="7951" width="22.1640625" style="136" customWidth="1"/>
    <col min="7952" max="7953" width="9.1640625" style="136" customWidth="1"/>
    <col min="7954" max="7954" width="10.5" style="136" customWidth="1"/>
    <col min="7955" max="8193" width="9.1640625" style="136" customWidth="1"/>
    <col min="8194" max="8195" width="4.83203125" style="136" customWidth="1"/>
    <col min="8196" max="8196" width="4.1640625" style="136" customWidth="1"/>
    <col min="8197" max="8197" width="11.1640625" style="136" customWidth="1"/>
    <col min="8198" max="8198" width="25.33203125" style="136" customWidth="1"/>
    <col min="8199" max="8199" width="9.5" style="136" customWidth="1"/>
    <col min="8200" max="8200" width="8.1640625" style="136" customWidth="1"/>
    <col min="8201" max="8201" width="7.83203125" style="136" customWidth="1"/>
    <col min="8202" max="8202" width="14.5" style="136" customWidth="1"/>
    <col min="8203" max="8203" width="6.33203125" style="136" customWidth="1"/>
    <col min="8204" max="8204" width="6.1640625" style="136" customWidth="1"/>
    <col min="8205" max="8205" width="9.1640625" style="136" customWidth="1"/>
    <col min="8206" max="8206" width="10.5" style="136" customWidth="1"/>
    <col min="8207" max="8207" width="22.1640625" style="136" customWidth="1"/>
    <col min="8208" max="8209" width="9.1640625" style="136" customWidth="1"/>
    <col min="8210" max="8210" width="10.5" style="136" customWidth="1"/>
    <col min="8211" max="8449" width="9.1640625" style="136" customWidth="1"/>
    <col min="8450" max="8451" width="4.83203125" style="136" customWidth="1"/>
    <col min="8452" max="8452" width="4.1640625" style="136" customWidth="1"/>
    <col min="8453" max="8453" width="11.1640625" style="136" customWidth="1"/>
    <col min="8454" max="8454" width="25.33203125" style="136" customWidth="1"/>
    <col min="8455" max="8455" width="9.5" style="136" customWidth="1"/>
    <col min="8456" max="8456" width="8.1640625" style="136" customWidth="1"/>
    <col min="8457" max="8457" width="7.83203125" style="136" customWidth="1"/>
    <col min="8458" max="8458" width="14.5" style="136" customWidth="1"/>
    <col min="8459" max="8459" width="6.33203125" style="136" customWidth="1"/>
    <col min="8460" max="8460" width="6.1640625" style="136" customWidth="1"/>
    <col min="8461" max="8461" width="9.1640625" style="136" customWidth="1"/>
    <col min="8462" max="8462" width="10.5" style="136" customWidth="1"/>
    <col min="8463" max="8463" width="22.1640625" style="136" customWidth="1"/>
    <col min="8464" max="8465" width="9.1640625" style="136" customWidth="1"/>
    <col min="8466" max="8466" width="10.5" style="136" customWidth="1"/>
    <col min="8467" max="8705" width="9.1640625" style="136" customWidth="1"/>
    <col min="8706" max="8707" width="4.83203125" style="136" customWidth="1"/>
    <col min="8708" max="8708" width="4.1640625" style="136" customWidth="1"/>
    <col min="8709" max="8709" width="11.1640625" style="136" customWidth="1"/>
    <col min="8710" max="8710" width="25.33203125" style="136" customWidth="1"/>
    <col min="8711" max="8711" width="9.5" style="136" customWidth="1"/>
    <col min="8712" max="8712" width="8.1640625" style="136" customWidth="1"/>
    <col min="8713" max="8713" width="7.83203125" style="136" customWidth="1"/>
    <col min="8714" max="8714" width="14.5" style="136" customWidth="1"/>
    <col min="8715" max="8715" width="6.33203125" style="136" customWidth="1"/>
    <col min="8716" max="8716" width="6.1640625" style="136" customWidth="1"/>
    <col min="8717" max="8717" width="9.1640625" style="136" customWidth="1"/>
    <col min="8718" max="8718" width="10.5" style="136" customWidth="1"/>
    <col min="8719" max="8719" width="22.1640625" style="136" customWidth="1"/>
    <col min="8720" max="8721" width="9.1640625" style="136" customWidth="1"/>
    <col min="8722" max="8722" width="10.5" style="136" customWidth="1"/>
    <col min="8723" max="8961" width="9.1640625" style="136" customWidth="1"/>
    <col min="8962" max="8963" width="4.83203125" style="136" customWidth="1"/>
    <col min="8964" max="8964" width="4.1640625" style="136" customWidth="1"/>
    <col min="8965" max="8965" width="11.1640625" style="136" customWidth="1"/>
    <col min="8966" max="8966" width="25.33203125" style="136" customWidth="1"/>
    <col min="8967" max="8967" width="9.5" style="136" customWidth="1"/>
    <col min="8968" max="8968" width="8.1640625" style="136" customWidth="1"/>
    <col min="8969" max="8969" width="7.83203125" style="136" customWidth="1"/>
    <col min="8970" max="8970" width="14.5" style="136" customWidth="1"/>
    <col min="8971" max="8971" width="6.33203125" style="136" customWidth="1"/>
    <col min="8972" max="8972" width="6.1640625" style="136" customWidth="1"/>
    <col min="8973" max="8973" width="9.1640625" style="136" customWidth="1"/>
    <col min="8974" max="8974" width="10.5" style="136" customWidth="1"/>
    <col min="8975" max="8975" width="22.1640625" style="136" customWidth="1"/>
    <col min="8976" max="8977" width="9.1640625" style="136" customWidth="1"/>
    <col min="8978" max="8978" width="10.5" style="136" customWidth="1"/>
    <col min="8979" max="9217" width="9.1640625" style="136" customWidth="1"/>
    <col min="9218" max="9219" width="4.83203125" style="136" customWidth="1"/>
    <col min="9220" max="9220" width="4.1640625" style="136" customWidth="1"/>
    <col min="9221" max="9221" width="11.1640625" style="136" customWidth="1"/>
    <col min="9222" max="9222" width="25.33203125" style="136" customWidth="1"/>
    <col min="9223" max="9223" width="9.5" style="136" customWidth="1"/>
    <col min="9224" max="9224" width="8.1640625" style="136" customWidth="1"/>
    <col min="9225" max="9225" width="7.83203125" style="136" customWidth="1"/>
    <col min="9226" max="9226" width="14.5" style="136" customWidth="1"/>
    <col min="9227" max="9227" width="6.33203125" style="136" customWidth="1"/>
    <col min="9228" max="9228" width="6.1640625" style="136" customWidth="1"/>
    <col min="9229" max="9229" width="9.1640625" style="136" customWidth="1"/>
    <col min="9230" max="9230" width="10.5" style="136" customWidth="1"/>
    <col min="9231" max="9231" width="22.1640625" style="136" customWidth="1"/>
    <col min="9232" max="9233" width="9.1640625" style="136" customWidth="1"/>
    <col min="9234" max="9234" width="10.5" style="136" customWidth="1"/>
    <col min="9235" max="9473" width="9.1640625" style="136" customWidth="1"/>
    <col min="9474" max="9475" width="4.83203125" style="136" customWidth="1"/>
    <col min="9476" max="9476" width="4.1640625" style="136" customWidth="1"/>
    <col min="9477" max="9477" width="11.1640625" style="136" customWidth="1"/>
    <col min="9478" max="9478" width="25.33203125" style="136" customWidth="1"/>
    <col min="9479" max="9479" width="9.5" style="136" customWidth="1"/>
    <col min="9480" max="9480" width="8.1640625" style="136" customWidth="1"/>
    <col min="9481" max="9481" width="7.83203125" style="136" customWidth="1"/>
    <col min="9482" max="9482" width="14.5" style="136" customWidth="1"/>
    <col min="9483" max="9483" width="6.33203125" style="136" customWidth="1"/>
    <col min="9484" max="9484" width="6.1640625" style="136" customWidth="1"/>
    <col min="9485" max="9485" width="9.1640625" style="136" customWidth="1"/>
    <col min="9486" max="9486" width="10.5" style="136" customWidth="1"/>
    <col min="9487" max="9487" width="22.1640625" style="136" customWidth="1"/>
    <col min="9488" max="9489" width="9.1640625" style="136" customWidth="1"/>
    <col min="9490" max="9490" width="10.5" style="136" customWidth="1"/>
    <col min="9491" max="9729" width="9.1640625" style="136" customWidth="1"/>
    <col min="9730" max="9731" width="4.83203125" style="136" customWidth="1"/>
    <col min="9732" max="9732" width="4.1640625" style="136" customWidth="1"/>
    <col min="9733" max="9733" width="11.1640625" style="136" customWidth="1"/>
    <col min="9734" max="9734" width="25.33203125" style="136" customWidth="1"/>
    <col min="9735" max="9735" width="9.5" style="136" customWidth="1"/>
    <col min="9736" max="9736" width="8.1640625" style="136" customWidth="1"/>
    <col min="9737" max="9737" width="7.83203125" style="136" customWidth="1"/>
    <col min="9738" max="9738" width="14.5" style="136" customWidth="1"/>
    <col min="9739" max="9739" width="6.33203125" style="136" customWidth="1"/>
    <col min="9740" max="9740" width="6.1640625" style="136" customWidth="1"/>
    <col min="9741" max="9741" width="9.1640625" style="136" customWidth="1"/>
    <col min="9742" max="9742" width="10.5" style="136" customWidth="1"/>
    <col min="9743" max="9743" width="22.1640625" style="136" customWidth="1"/>
    <col min="9744" max="9745" width="9.1640625" style="136" customWidth="1"/>
    <col min="9746" max="9746" width="10.5" style="136" customWidth="1"/>
    <col min="9747" max="9985" width="9.1640625" style="136" customWidth="1"/>
    <col min="9986" max="9987" width="4.83203125" style="136" customWidth="1"/>
    <col min="9988" max="9988" width="4.1640625" style="136" customWidth="1"/>
    <col min="9989" max="9989" width="11.1640625" style="136" customWidth="1"/>
    <col min="9990" max="9990" width="25.33203125" style="136" customWidth="1"/>
    <col min="9991" max="9991" width="9.5" style="136" customWidth="1"/>
    <col min="9992" max="9992" width="8.1640625" style="136" customWidth="1"/>
    <col min="9993" max="9993" width="7.83203125" style="136" customWidth="1"/>
    <col min="9994" max="9994" width="14.5" style="136" customWidth="1"/>
    <col min="9995" max="9995" width="6.33203125" style="136" customWidth="1"/>
    <col min="9996" max="9996" width="6.1640625" style="136" customWidth="1"/>
    <col min="9997" max="9997" width="9.1640625" style="136" customWidth="1"/>
    <col min="9998" max="9998" width="10.5" style="136" customWidth="1"/>
    <col min="9999" max="9999" width="22.1640625" style="136" customWidth="1"/>
    <col min="10000" max="10001" width="9.1640625" style="136" customWidth="1"/>
    <col min="10002" max="10002" width="10.5" style="136" customWidth="1"/>
    <col min="10003" max="10241" width="9.1640625" style="136" customWidth="1"/>
    <col min="10242" max="10243" width="4.83203125" style="136" customWidth="1"/>
    <col min="10244" max="10244" width="4.1640625" style="136" customWidth="1"/>
    <col min="10245" max="10245" width="11.1640625" style="136" customWidth="1"/>
    <col min="10246" max="10246" width="25.33203125" style="136" customWidth="1"/>
    <col min="10247" max="10247" width="9.5" style="136" customWidth="1"/>
    <col min="10248" max="10248" width="8.1640625" style="136" customWidth="1"/>
    <col min="10249" max="10249" width="7.83203125" style="136" customWidth="1"/>
    <col min="10250" max="10250" width="14.5" style="136" customWidth="1"/>
    <col min="10251" max="10251" width="6.33203125" style="136" customWidth="1"/>
    <col min="10252" max="10252" width="6.1640625" style="136" customWidth="1"/>
    <col min="10253" max="10253" width="9.1640625" style="136" customWidth="1"/>
    <col min="10254" max="10254" width="10.5" style="136" customWidth="1"/>
    <col min="10255" max="10255" width="22.1640625" style="136" customWidth="1"/>
    <col min="10256" max="10257" width="9.1640625" style="136" customWidth="1"/>
    <col min="10258" max="10258" width="10.5" style="136" customWidth="1"/>
    <col min="10259" max="10497" width="9.1640625" style="136" customWidth="1"/>
    <col min="10498" max="10499" width="4.83203125" style="136" customWidth="1"/>
    <col min="10500" max="10500" width="4.1640625" style="136" customWidth="1"/>
    <col min="10501" max="10501" width="11.1640625" style="136" customWidth="1"/>
    <col min="10502" max="10502" width="25.33203125" style="136" customWidth="1"/>
    <col min="10503" max="10503" width="9.5" style="136" customWidth="1"/>
    <col min="10504" max="10504" width="8.1640625" style="136" customWidth="1"/>
    <col min="10505" max="10505" width="7.83203125" style="136" customWidth="1"/>
    <col min="10506" max="10506" width="14.5" style="136" customWidth="1"/>
    <col min="10507" max="10507" width="6.33203125" style="136" customWidth="1"/>
    <col min="10508" max="10508" width="6.1640625" style="136" customWidth="1"/>
    <col min="10509" max="10509" width="9.1640625" style="136" customWidth="1"/>
    <col min="10510" max="10510" width="10.5" style="136" customWidth="1"/>
    <col min="10511" max="10511" width="22.1640625" style="136" customWidth="1"/>
    <col min="10512" max="10513" width="9.1640625" style="136" customWidth="1"/>
    <col min="10514" max="10514" width="10.5" style="136" customWidth="1"/>
    <col min="10515" max="10753" width="9.1640625" style="136" customWidth="1"/>
    <col min="10754" max="10755" width="4.83203125" style="136" customWidth="1"/>
    <col min="10756" max="10756" width="4.1640625" style="136" customWidth="1"/>
    <col min="10757" max="10757" width="11.1640625" style="136" customWidth="1"/>
    <col min="10758" max="10758" width="25.33203125" style="136" customWidth="1"/>
    <col min="10759" max="10759" width="9.5" style="136" customWidth="1"/>
    <col min="10760" max="10760" width="8.1640625" style="136" customWidth="1"/>
    <col min="10761" max="10761" width="7.83203125" style="136" customWidth="1"/>
    <col min="10762" max="10762" width="14.5" style="136" customWidth="1"/>
    <col min="10763" max="10763" width="6.33203125" style="136" customWidth="1"/>
    <col min="10764" max="10764" width="6.1640625" style="136" customWidth="1"/>
    <col min="10765" max="10765" width="9.1640625" style="136" customWidth="1"/>
    <col min="10766" max="10766" width="10.5" style="136" customWidth="1"/>
    <col min="10767" max="10767" width="22.1640625" style="136" customWidth="1"/>
    <col min="10768" max="10769" width="9.1640625" style="136" customWidth="1"/>
    <col min="10770" max="10770" width="10.5" style="136" customWidth="1"/>
    <col min="10771" max="11009" width="9.1640625" style="136" customWidth="1"/>
    <col min="11010" max="11011" width="4.83203125" style="136" customWidth="1"/>
    <col min="11012" max="11012" width="4.1640625" style="136" customWidth="1"/>
    <col min="11013" max="11013" width="11.1640625" style="136" customWidth="1"/>
    <col min="11014" max="11014" width="25.33203125" style="136" customWidth="1"/>
    <col min="11015" max="11015" width="9.5" style="136" customWidth="1"/>
    <col min="11016" max="11016" width="8.1640625" style="136" customWidth="1"/>
    <col min="11017" max="11017" width="7.83203125" style="136" customWidth="1"/>
    <col min="11018" max="11018" width="14.5" style="136" customWidth="1"/>
    <col min="11019" max="11019" width="6.33203125" style="136" customWidth="1"/>
    <col min="11020" max="11020" width="6.1640625" style="136" customWidth="1"/>
    <col min="11021" max="11021" width="9.1640625" style="136" customWidth="1"/>
    <col min="11022" max="11022" width="10.5" style="136" customWidth="1"/>
    <col min="11023" max="11023" width="22.1640625" style="136" customWidth="1"/>
    <col min="11024" max="11025" width="9.1640625" style="136" customWidth="1"/>
    <col min="11026" max="11026" width="10.5" style="136" customWidth="1"/>
    <col min="11027" max="11265" width="9.1640625" style="136" customWidth="1"/>
    <col min="11266" max="11267" width="4.83203125" style="136" customWidth="1"/>
    <col min="11268" max="11268" width="4.1640625" style="136" customWidth="1"/>
    <col min="11269" max="11269" width="11.1640625" style="136" customWidth="1"/>
    <col min="11270" max="11270" width="25.33203125" style="136" customWidth="1"/>
    <col min="11271" max="11271" width="9.5" style="136" customWidth="1"/>
    <col min="11272" max="11272" width="8.1640625" style="136" customWidth="1"/>
    <col min="11273" max="11273" width="7.83203125" style="136" customWidth="1"/>
    <col min="11274" max="11274" width="14.5" style="136" customWidth="1"/>
    <col min="11275" max="11275" width="6.33203125" style="136" customWidth="1"/>
    <col min="11276" max="11276" width="6.1640625" style="136" customWidth="1"/>
    <col min="11277" max="11277" width="9.1640625" style="136" customWidth="1"/>
    <col min="11278" max="11278" width="10.5" style="136" customWidth="1"/>
    <col min="11279" max="11279" width="22.1640625" style="136" customWidth="1"/>
    <col min="11280" max="11281" width="9.1640625" style="136" customWidth="1"/>
    <col min="11282" max="11282" width="10.5" style="136" customWidth="1"/>
    <col min="11283" max="11521" width="9.1640625" style="136" customWidth="1"/>
    <col min="11522" max="11523" width="4.83203125" style="136" customWidth="1"/>
    <col min="11524" max="11524" width="4.1640625" style="136" customWidth="1"/>
    <col min="11525" max="11525" width="11.1640625" style="136" customWidth="1"/>
    <col min="11526" max="11526" width="25.33203125" style="136" customWidth="1"/>
    <col min="11527" max="11527" width="9.5" style="136" customWidth="1"/>
    <col min="11528" max="11528" width="8.1640625" style="136" customWidth="1"/>
    <col min="11529" max="11529" width="7.83203125" style="136" customWidth="1"/>
    <col min="11530" max="11530" width="14.5" style="136" customWidth="1"/>
    <col min="11531" max="11531" width="6.33203125" style="136" customWidth="1"/>
    <col min="11532" max="11532" width="6.1640625" style="136" customWidth="1"/>
    <col min="11533" max="11533" width="9.1640625" style="136" customWidth="1"/>
    <col min="11534" max="11534" width="10.5" style="136" customWidth="1"/>
    <col min="11535" max="11535" width="22.1640625" style="136" customWidth="1"/>
    <col min="11536" max="11537" width="9.1640625" style="136" customWidth="1"/>
    <col min="11538" max="11538" width="10.5" style="136" customWidth="1"/>
    <col min="11539" max="11777" width="9.1640625" style="136" customWidth="1"/>
    <col min="11778" max="11779" width="4.83203125" style="136" customWidth="1"/>
    <col min="11780" max="11780" width="4.1640625" style="136" customWidth="1"/>
    <col min="11781" max="11781" width="11.1640625" style="136" customWidth="1"/>
    <col min="11782" max="11782" width="25.33203125" style="136" customWidth="1"/>
    <col min="11783" max="11783" width="9.5" style="136" customWidth="1"/>
    <col min="11784" max="11784" width="8.1640625" style="136" customWidth="1"/>
    <col min="11785" max="11785" width="7.83203125" style="136" customWidth="1"/>
    <col min="11786" max="11786" width="14.5" style="136" customWidth="1"/>
    <col min="11787" max="11787" width="6.33203125" style="136" customWidth="1"/>
    <col min="11788" max="11788" width="6.1640625" style="136" customWidth="1"/>
    <col min="11789" max="11789" width="9.1640625" style="136" customWidth="1"/>
    <col min="11790" max="11790" width="10.5" style="136" customWidth="1"/>
    <col min="11791" max="11791" width="22.1640625" style="136" customWidth="1"/>
    <col min="11792" max="11793" width="9.1640625" style="136" customWidth="1"/>
    <col min="11794" max="11794" width="10.5" style="136" customWidth="1"/>
    <col min="11795" max="12033" width="9.1640625" style="136" customWidth="1"/>
    <col min="12034" max="12035" width="4.83203125" style="136" customWidth="1"/>
    <col min="12036" max="12036" width="4.1640625" style="136" customWidth="1"/>
    <col min="12037" max="12037" width="11.1640625" style="136" customWidth="1"/>
    <col min="12038" max="12038" width="25.33203125" style="136" customWidth="1"/>
    <col min="12039" max="12039" width="9.5" style="136" customWidth="1"/>
    <col min="12040" max="12040" width="8.1640625" style="136" customWidth="1"/>
    <col min="12041" max="12041" width="7.83203125" style="136" customWidth="1"/>
    <col min="12042" max="12042" width="14.5" style="136" customWidth="1"/>
    <col min="12043" max="12043" width="6.33203125" style="136" customWidth="1"/>
    <col min="12044" max="12044" width="6.1640625" style="136" customWidth="1"/>
    <col min="12045" max="12045" width="9.1640625" style="136" customWidth="1"/>
    <col min="12046" max="12046" width="10.5" style="136" customWidth="1"/>
    <col min="12047" max="12047" width="22.1640625" style="136" customWidth="1"/>
    <col min="12048" max="12049" width="9.1640625" style="136" customWidth="1"/>
    <col min="12050" max="12050" width="10.5" style="136" customWidth="1"/>
    <col min="12051" max="12289" width="9.1640625" style="136" customWidth="1"/>
    <col min="12290" max="12291" width="4.83203125" style="136" customWidth="1"/>
    <col min="12292" max="12292" width="4.1640625" style="136" customWidth="1"/>
    <col min="12293" max="12293" width="11.1640625" style="136" customWidth="1"/>
    <col min="12294" max="12294" width="25.33203125" style="136" customWidth="1"/>
    <col min="12295" max="12295" width="9.5" style="136" customWidth="1"/>
    <col min="12296" max="12296" width="8.1640625" style="136" customWidth="1"/>
    <col min="12297" max="12297" width="7.83203125" style="136" customWidth="1"/>
    <col min="12298" max="12298" width="14.5" style="136" customWidth="1"/>
    <col min="12299" max="12299" width="6.33203125" style="136" customWidth="1"/>
    <col min="12300" max="12300" width="6.1640625" style="136" customWidth="1"/>
    <col min="12301" max="12301" width="9.1640625" style="136" customWidth="1"/>
    <col min="12302" max="12302" width="10.5" style="136" customWidth="1"/>
    <col min="12303" max="12303" width="22.1640625" style="136" customWidth="1"/>
    <col min="12304" max="12305" width="9.1640625" style="136" customWidth="1"/>
    <col min="12306" max="12306" width="10.5" style="136" customWidth="1"/>
    <col min="12307" max="12545" width="9.1640625" style="136" customWidth="1"/>
    <col min="12546" max="12547" width="4.83203125" style="136" customWidth="1"/>
    <col min="12548" max="12548" width="4.1640625" style="136" customWidth="1"/>
    <col min="12549" max="12549" width="11.1640625" style="136" customWidth="1"/>
    <col min="12550" max="12550" width="25.33203125" style="136" customWidth="1"/>
    <col min="12551" max="12551" width="9.5" style="136" customWidth="1"/>
    <col min="12552" max="12552" width="8.1640625" style="136" customWidth="1"/>
    <col min="12553" max="12553" width="7.83203125" style="136" customWidth="1"/>
    <col min="12554" max="12554" width="14.5" style="136" customWidth="1"/>
    <col min="12555" max="12555" width="6.33203125" style="136" customWidth="1"/>
    <col min="12556" max="12556" width="6.1640625" style="136" customWidth="1"/>
    <col min="12557" max="12557" width="9.1640625" style="136" customWidth="1"/>
    <col min="12558" max="12558" width="10.5" style="136" customWidth="1"/>
    <col min="12559" max="12559" width="22.1640625" style="136" customWidth="1"/>
    <col min="12560" max="12561" width="9.1640625" style="136" customWidth="1"/>
    <col min="12562" max="12562" width="10.5" style="136" customWidth="1"/>
    <col min="12563" max="12801" width="9.1640625" style="136" customWidth="1"/>
    <col min="12802" max="12803" width="4.83203125" style="136" customWidth="1"/>
    <col min="12804" max="12804" width="4.1640625" style="136" customWidth="1"/>
    <col min="12805" max="12805" width="11.1640625" style="136" customWidth="1"/>
    <col min="12806" max="12806" width="25.33203125" style="136" customWidth="1"/>
    <col min="12807" max="12807" width="9.5" style="136" customWidth="1"/>
    <col min="12808" max="12808" width="8.1640625" style="136" customWidth="1"/>
    <col min="12809" max="12809" width="7.83203125" style="136" customWidth="1"/>
    <col min="12810" max="12810" width="14.5" style="136" customWidth="1"/>
    <col min="12811" max="12811" width="6.33203125" style="136" customWidth="1"/>
    <col min="12812" max="12812" width="6.1640625" style="136" customWidth="1"/>
    <col min="12813" max="12813" width="9.1640625" style="136" customWidth="1"/>
    <col min="12814" max="12814" width="10.5" style="136" customWidth="1"/>
    <col min="12815" max="12815" width="22.1640625" style="136" customWidth="1"/>
    <col min="12816" max="12817" width="9.1640625" style="136" customWidth="1"/>
    <col min="12818" max="12818" width="10.5" style="136" customWidth="1"/>
    <col min="12819" max="13057" width="9.1640625" style="136" customWidth="1"/>
    <col min="13058" max="13059" width="4.83203125" style="136" customWidth="1"/>
    <col min="13060" max="13060" width="4.1640625" style="136" customWidth="1"/>
    <col min="13061" max="13061" width="11.1640625" style="136" customWidth="1"/>
    <col min="13062" max="13062" width="25.33203125" style="136" customWidth="1"/>
    <col min="13063" max="13063" width="9.5" style="136" customWidth="1"/>
    <col min="13064" max="13064" width="8.1640625" style="136" customWidth="1"/>
    <col min="13065" max="13065" width="7.83203125" style="136" customWidth="1"/>
    <col min="13066" max="13066" width="14.5" style="136" customWidth="1"/>
    <col min="13067" max="13067" width="6.33203125" style="136" customWidth="1"/>
    <col min="13068" max="13068" width="6.1640625" style="136" customWidth="1"/>
    <col min="13069" max="13069" width="9.1640625" style="136" customWidth="1"/>
    <col min="13070" max="13070" width="10.5" style="136" customWidth="1"/>
    <col min="13071" max="13071" width="22.1640625" style="136" customWidth="1"/>
    <col min="13072" max="13073" width="9.1640625" style="136" customWidth="1"/>
    <col min="13074" max="13074" width="10.5" style="136" customWidth="1"/>
    <col min="13075" max="13313" width="9.1640625" style="136" customWidth="1"/>
    <col min="13314" max="13315" width="4.83203125" style="136" customWidth="1"/>
    <col min="13316" max="13316" width="4.1640625" style="136" customWidth="1"/>
    <col min="13317" max="13317" width="11.1640625" style="136" customWidth="1"/>
    <col min="13318" max="13318" width="25.33203125" style="136" customWidth="1"/>
    <col min="13319" max="13319" width="9.5" style="136" customWidth="1"/>
    <col min="13320" max="13320" width="8.1640625" style="136" customWidth="1"/>
    <col min="13321" max="13321" width="7.83203125" style="136" customWidth="1"/>
    <col min="13322" max="13322" width="14.5" style="136" customWidth="1"/>
    <col min="13323" max="13323" width="6.33203125" style="136" customWidth="1"/>
    <col min="13324" max="13324" width="6.1640625" style="136" customWidth="1"/>
    <col min="13325" max="13325" width="9.1640625" style="136" customWidth="1"/>
    <col min="13326" max="13326" width="10.5" style="136" customWidth="1"/>
    <col min="13327" max="13327" width="22.1640625" style="136" customWidth="1"/>
    <col min="13328" max="13329" width="9.1640625" style="136" customWidth="1"/>
    <col min="13330" max="13330" width="10.5" style="136" customWidth="1"/>
    <col min="13331" max="13569" width="9.1640625" style="136" customWidth="1"/>
    <col min="13570" max="13571" width="4.83203125" style="136" customWidth="1"/>
    <col min="13572" max="13572" width="4.1640625" style="136" customWidth="1"/>
    <col min="13573" max="13573" width="11.1640625" style="136" customWidth="1"/>
    <col min="13574" max="13574" width="25.33203125" style="136" customWidth="1"/>
    <col min="13575" max="13575" width="9.5" style="136" customWidth="1"/>
    <col min="13576" max="13576" width="8.1640625" style="136" customWidth="1"/>
    <col min="13577" max="13577" width="7.83203125" style="136" customWidth="1"/>
    <col min="13578" max="13578" width="14.5" style="136" customWidth="1"/>
    <col min="13579" max="13579" width="6.33203125" style="136" customWidth="1"/>
    <col min="13580" max="13580" width="6.1640625" style="136" customWidth="1"/>
    <col min="13581" max="13581" width="9.1640625" style="136" customWidth="1"/>
    <col min="13582" max="13582" width="10.5" style="136" customWidth="1"/>
    <col min="13583" max="13583" width="22.1640625" style="136" customWidth="1"/>
    <col min="13584" max="13585" width="9.1640625" style="136" customWidth="1"/>
    <col min="13586" max="13586" width="10.5" style="136" customWidth="1"/>
    <col min="13587" max="13825" width="9.1640625" style="136" customWidth="1"/>
    <col min="13826" max="13827" width="4.83203125" style="136" customWidth="1"/>
    <col min="13828" max="13828" width="4.1640625" style="136" customWidth="1"/>
    <col min="13829" max="13829" width="11.1640625" style="136" customWidth="1"/>
    <col min="13830" max="13830" width="25.33203125" style="136" customWidth="1"/>
    <col min="13831" max="13831" width="9.5" style="136" customWidth="1"/>
    <col min="13832" max="13832" width="8.1640625" style="136" customWidth="1"/>
    <col min="13833" max="13833" width="7.83203125" style="136" customWidth="1"/>
    <col min="13834" max="13834" width="14.5" style="136" customWidth="1"/>
    <col min="13835" max="13835" width="6.33203125" style="136" customWidth="1"/>
    <col min="13836" max="13836" width="6.1640625" style="136" customWidth="1"/>
    <col min="13837" max="13837" width="9.1640625" style="136" customWidth="1"/>
    <col min="13838" max="13838" width="10.5" style="136" customWidth="1"/>
    <col min="13839" max="13839" width="22.1640625" style="136" customWidth="1"/>
    <col min="13840" max="13841" width="9.1640625" style="136" customWidth="1"/>
    <col min="13842" max="13842" width="10.5" style="136" customWidth="1"/>
    <col min="13843" max="14081" width="9.1640625" style="136" customWidth="1"/>
    <col min="14082" max="14083" width="4.83203125" style="136" customWidth="1"/>
    <col min="14084" max="14084" width="4.1640625" style="136" customWidth="1"/>
    <col min="14085" max="14085" width="11.1640625" style="136" customWidth="1"/>
    <col min="14086" max="14086" width="25.33203125" style="136" customWidth="1"/>
    <col min="14087" max="14087" width="9.5" style="136" customWidth="1"/>
    <col min="14088" max="14088" width="8.1640625" style="136" customWidth="1"/>
    <col min="14089" max="14089" width="7.83203125" style="136" customWidth="1"/>
    <col min="14090" max="14090" width="14.5" style="136" customWidth="1"/>
    <col min="14091" max="14091" width="6.33203125" style="136" customWidth="1"/>
    <col min="14092" max="14092" width="6.1640625" style="136" customWidth="1"/>
    <col min="14093" max="14093" width="9.1640625" style="136" customWidth="1"/>
    <col min="14094" max="14094" width="10.5" style="136" customWidth="1"/>
    <col min="14095" max="14095" width="22.1640625" style="136" customWidth="1"/>
    <col min="14096" max="14097" width="9.1640625" style="136" customWidth="1"/>
    <col min="14098" max="14098" width="10.5" style="136" customWidth="1"/>
    <col min="14099" max="14337" width="9.1640625" style="136" customWidth="1"/>
    <col min="14338" max="14339" width="4.83203125" style="136" customWidth="1"/>
    <col min="14340" max="14340" width="4.1640625" style="136" customWidth="1"/>
    <col min="14341" max="14341" width="11.1640625" style="136" customWidth="1"/>
    <col min="14342" max="14342" width="25.33203125" style="136" customWidth="1"/>
    <col min="14343" max="14343" width="9.5" style="136" customWidth="1"/>
    <col min="14344" max="14344" width="8.1640625" style="136" customWidth="1"/>
    <col min="14345" max="14345" width="7.83203125" style="136" customWidth="1"/>
    <col min="14346" max="14346" width="14.5" style="136" customWidth="1"/>
    <col min="14347" max="14347" width="6.33203125" style="136" customWidth="1"/>
    <col min="14348" max="14348" width="6.1640625" style="136" customWidth="1"/>
    <col min="14349" max="14349" width="9.1640625" style="136" customWidth="1"/>
    <col min="14350" max="14350" width="10.5" style="136" customWidth="1"/>
    <col min="14351" max="14351" width="22.1640625" style="136" customWidth="1"/>
    <col min="14352" max="14353" width="9.1640625" style="136" customWidth="1"/>
    <col min="14354" max="14354" width="10.5" style="136" customWidth="1"/>
    <col min="14355" max="14593" width="9.1640625" style="136" customWidth="1"/>
    <col min="14594" max="14595" width="4.83203125" style="136" customWidth="1"/>
    <col min="14596" max="14596" width="4.1640625" style="136" customWidth="1"/>
    <col min="14597" max="14597" width="11.1640625" style="136" customWidth="1"/>
    <col min="14598" max="14598" width="25.33203125" style="136" customWidth="1"/>
    <col min="14599" max="14599" width="9.5" style="136" customWidth="1"/>
    <col min="14600" max="14600" width="8.1640625" style="136" customWidth="1"/>
    <col min="14601" max="14601" width="7.83203125" style="136" customWidth="1"/>
    <col min="14602" max="14602" width="14.5" style="136" customWidth="1"/>
    <col min="14603" max="14603" width="6.33203125" style="136" customWidth="1"/>
    <col min="14604" max="14604" width="6.1640625" style="136" customWidth="1"/>
    <col min="14605" max="14605" width="9.1640625" style="136" customWidth="1"/>
    <col min="14606" max="14606" width="10.5" style="136" customWidth="1"/>
    <col min="14607" max="14607" width="22.1640625" style="136" customWidth="1"/>
    <col min="14608" max="14609" width="9.1640625" style="136" customWidth="1"/>
    <col min="14610" max="14610" width="10.5" style="136" customWidth="1"/>
    <col min="14611" max="14849" width="9.1640625" style="136" customWidth="1"/>
    <col min="14850" max="14851" width="4.83203125" style="136" customWidth="1"/>
    <col min="14852" max="14852" width="4.1640625" style="136" customWidth="1"/>
    <col min="14853" max="14853" width="11.1640625" style="136" customWidth="1"/>
    <col min="14854" max="14854" width="25.33203125" style="136" customWidth="1"/>
    <col min="14855" max="14855" width="9.5" style="136" customWidth="1"/>
    <col min="14856" max="14856" width="8.1640625" style="136" customWidth="1"/>
    <col min="14857" max="14857" width="7.83203125" style="136" customWidth="1"/>
    <col min="14858" max="14858" width="14.5" style="136" customWidth="1"/>
    <col min="14859" max="14859" width="6.33203125" style="136" customWidth="1"/>
    <col min="14860" max="14860" width="6.1640625" style="136" customWidth="1"/>
    <col min="14861" max="14861" width="9.1640625" style="136" customWidth="1"/>
    <col min="14862" max="14862" width="10.5" style="136" customWidth="1"/>
    <col min="14863" max="14863" width="22.1640625" style="136" customWidth="1"/>
    <col min="14864" max="14865" width="9.1640625" style="136" customWidth="1"/>
    <col min="14866" max="14866" width="10.5" style="136" customWidth="1"/>
    <col min="14867" max="15105" width="9.1640625" style="136" customWidth="1"/>
    <col min="15106" max="15107" width="4.83203125" style="136" customWidth="1"/>
    <col min="15108" max="15108" width="4.1640625" style="136" customWidth="1"/>
    <col min="15109" max="15109" width="11.1640625" style="136" customWidth="1"/>
    <col min="15110" max="15110" width="25.33203125" style="136" customWidth="1"/>
    <col min="15111" max="15111" width="9.5" style="136" customWidth="1"/>
    <col min="15112" max="15112" width="8.1640625" style="136" customWidth="1"/>
    <col min="15113" max="15113" width="7.83203125" style="136" customWidth="1"/>
    <col min="15114" max="15114" width="14.5" style="136" customWidth="1"/>
    <col min="15115" max="15115" width="6.33203125" style="136" customWidth="1"/>
    <col min="15116" max="15116" width="6.1640625" style="136" customWidth="1"/>
    <col min="15117" max="15117" width="9.1640625" style="136" customWidth="1"/>
    <col min="15118" max="15118" width="10.5" style="136" customWidth="1"/>
    <col min="15119" max="15119" width="22.1640625" style="136" customWidth="1"/>
    <col min="15120" max="15121" width="9.1640625" style="136" customWidth="1"/>
    <col min="15122" max="15122" width="10.5" style="136" customWidth="1"/>
    <col min="15123" max="15361" width="9.1640625" style="136" customWidth="1"/>
    <col min="15362" max="15363" width="4.83203125" style="136" customWidth="1"/>
    <col min="15364" max="15364" width="4.1640625" style="136" customWidth="1"/>
    <col min="15365" max="15365" width="11.1640625" style="136" customWidth="1"/>
    <col min="15366" max="15366" width="25.33203125" style="136" customWidth="1"/>
    <col min="15367" max="15367" width="9.5" style="136" customWidth="1"/>
    <col min="15368" max="15368" width="8.1640625" style="136" customWidth="1"/>
    <col min="15369" max="15369" width="7.83203125" style="136" customWidth="1"/>
    <col min="15370" max="15370" width="14.5" style="136" customWidth="1"/>
    <col min="15371" max="15371" width="6.33203125" style="136" customWidth="1"/>
    <col min="15372" max="15372" width="6.1640625" style="136" customWidth="1"/>
    <col min="15373" max="15373" width="9.1640625" style="136" customWidth="1"/>
    <col min="15374" max="15374" width="10.5" style="136" customWidth="1"/>
    <col min="15375" max="15375" width="22.1640625" style="136" customWidth="1"/>
    <col min="15376" max="15377" width="9.1640625" style="136" customWidth="1"/>
    <col min="15378" max="15378" width="10.5" style="136" customWidth="1"/>
    <col min="15379" max="15617" width="9.1640625" style="136" customWidth="1"/>
    <col min="15618" max="15619" width="4.83203125" style="136" customWidth="1"/>
    <col min="15620" max="15620" width="4.1640625" style="136" customWidth="1"/>
    <col min="15621" max="15621" width="11.1640625" style="136" customWidth="1"/>
    <col min="15622" max="15622" width="25.33203125" style="136" customWidth="1"/>
    <col min="15623" max="15623" width="9.5" style="136" customWidth="1"/>
    <col min="15624" max="15624" width="8.1640625" style="136" customWidth="1"/>
    <col min="15625" max="15625" width="7.83203125" style="136" customWidth="1"/>
    <col min="15626" max="15626" width="14.5" style="136" customWidth="1"/>
    <col min="15627" max="15627" width="6.33203125" style="136" customWidth="1"/>
    <col min="15628" max="15628" width="6.1640625" style="136" customWidth="1"/>
    <col min="15629" max="15629" width="9.1640625" style="136" customWidth="1"/>
    <col min="15630" max="15630" width="10.5" style="136" customWidth="1"/>
    <col min="15631" max="15631" width="22.1640625" style="136" customWidth="1"/>
    <col min="15632" max="15633" width="9.1640625" style="136" customWidth="1"/>
    <col min="15634" max="15634" width="10.5" style="136" customWidth="1"/>
    <col min="15635" max="15873" width="9.1640625" style="136" customWidth="1"/>
    <col min="15874" max="15875" width="4.83203125" style="136" customWidth="1"/>
    <col min="15876" max="15876" width="4.1640625" style="136" customWidth="1"/>
    <col min="15877" max="15877" width="11.1640625" style="136" customWidth="1"/>
    <col min="15878" max="15878" width="25.33203125" style="136" customWidth="1"/>
    <col min="15879" max="15879" width="9.5" style="136" customWidth="1"/>
    <col min="15880" max="15880" width="8.1640625" style="136" customWidth="1"/>
    <col min="15881" max="15881" width="7.83203125" style="136" customWidth="1"/>
    <col min="15882" max="15882" width="14.5" style="136" customWidth="1"/>
    <col min="15883" max="15883" width="6.33203125" style="136" customWidth="1"/>
    <col min="15884" max="15884" width="6.1640625" style="136" customWidth="1"/>
    <col min="15885" max="15885" width="9.1640625" style="136" customWidth="1"/>
    <col min="15886" max="15886" width="10.5" style="136" customWidth="1"/>
    <col min="15887" max="15887" width="22.1640625" style="136" customWidth="1"/>
    <col min="15888" max="15889" width="9.1640625" style="136" customWidth="1"/>
    <col min="15890" max="15890" width="10.5" style="136" customWidth="1"/>
    <col min="15891" max="16129" width="9.1640625" style="136" customWidth="1"/>
    <col min="16130" max="16131" width="4.83203125" style="136" customWidth="1"/>
    <col min="16132" max="16132" width="4.1640625" style="136" customWidth="1"/>
    <col min="16133" max="16133" width="11.1640625" style="136" customWidth="1"/>
    <col min="16134" max="16134" width="25.33203125" style="136" customWidth="1"/>
    <col min="16135" max="16135" width="9.5" style="136" customWidth="1"/>
    <col min="16136" max="16136" width="8.1640625" style="136" customWidth="1"/>
    <col min="16137" max="16137" width="7.83203125" style="136" customWidth="1"/>
    <col min="16138" max="16138" width="14.5" style="136" customWidth="1"/>
    <col min="16139" max="16139" width="6.33203125" style="136" customWidth="1"/>
    <col min="16140" max="16140" width="6.1640625" style="136" customWidth="1"/>
    <col min="16141" max="16141" width="9.1640625" style="136" customWidth="1"/>
    <col min="16142" max="16142" width="10.5" style="136" customWidth="1"/>
    <col min="16143" max="16143" width="22.1640625" style="136" customWidth="1"/>
    <col min="16144" max="16145" width="9.1640625" style="136" customWidth="1"/>
    <col min="16146" max="16146" width="10.5" style="136" customWidth="1"/>
    <col min="16147" max="16384" width="9.1640625" style="136" customWidth="1"/>
  </cols>
  <sheetData>
    <row r="1" spans="1:12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ht="13.5" customHeight="1" spans="1:12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ht="9" customHeight="1" spans="1:12" x14ac:dyDescent="0.2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ht="17.25" customHeight="1" spans="1:16" s="139" customFormat="1" x14ac:dyDescent="0.25">
      <c r="A5" s="140" t="s">
        <v>374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39"/>
      <c r="N5" s="139"/>
      <c r="O5" s="139"/>
      <c r="P5" s="142"/>
    </row>
    <row r="6" ht="17.25" customHeight="1" spans="1:21" s="139" customFormat="1" x14ac:dyDescent="0.25">
      <c r="A6" s="140" t="s">
        <v>375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39"/>
      <c r="N6" s="139"/>
      <c r="O6" s="139"/>
      <c r="P6" s="142"/>
      <c r="Q6" s="139"/>
      <c r="R6" s="139"/>
      <c r="S6" s="143"/>
      <c r="T6" s="143"/>
      <c r="U6" s="143"/>
    </row>
    <row r="7" ht="31.5" customHeight="1" spans="1:21" s="139" customFormat="1" x14ac:dyDescent="0.25">
      <c r="A7" s="144" t="s">
        <v>376</v>
      </c>
      <c r="B7" s="145"/>
      <c r="C7" s="145"/>
      <c r="D7" s="145"/>
      <c r="E7" s="145"/>
      <c r="F7" s="151"/>
      <c r="G7" s="141"/>
      <c r="H7" s="141"/>
      <c r="I7" s="141"/>
      <c r="J7" s="141"/>
      <c r="K7" s="145"/>
      <c r="L7" s="145"/>
      <c r="M7" s="139"/>
      <c r="N7" s="139"/>
      <c r="O7" s="139"/>
      <c r="P7" s="142"/>
      <c r="Q7" s="139"/>
      <c r="R7" s="139"/>
      <c r="S7" s="143"/>
      <c r="T7" s="143"/>
      <c r="U7" s="143"/>
    </row>
    <row r="8" ht="31.5" customHeight="1" spans="1:21" s="139" customFormat="1" x14ac:dyDescent="0.25">
      <c r="A8" s="144" t="s">
        <v>377</v>
      </c>
      <c r="B8" s="145"/>
      <c r="C8" s="145"/>
      <c r="D8" s="145"/>
      <c r="E8" s="145"/>
      <c r="F8" s="151"/>
      <c r="G8" s="145" t="s">
        <v>378</v>
      </c>
      <c r="H8" s="145"/>
      <c r="I8" s="145"/>
      <c r="J8" s="146" t="s">
        <v>379</v>
      </c>
      <c r="K8" s="146"/>
      <c r="L8" s="146"/>
      <c r="M8" s="139"/>
      <c r="N8" s="139"/>
      <c r="O8" s="139"/>
      <c r="P8" s="142"/>
      <c r="Q8" s="139"/>
      <c r="R8" s="139"/>
      <c r="S8" s="143"/>
      <c r="T8" s="143"/>
      <c r="U8" s="143"/>
    </row>
    <row r="9" ht="31.5" customHeight="1" spans="1:21" s="147" customFormat="1" x14ac:dyDescent="0.25">
      <c r="A9" s="102" t="s">
        <v>380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7"/>
      <c r="N9" s="147"/>
      <c r="O9" s="149"/>
      <c r="P9" s="150"/>
      <c r="Q9" s="147"/>
      <c r="R9" s="147"/>
      <c r="S9" s="143"/>
      <c r="T9" s="143"/>
      <c r="U9" s="143"/>
    </row>
    <row r="10" ht="31.5" customHeight="1" spans="1:24" x14ac:dyDescent="0.25">
      <c r="A10" s="151" t="s">
        <v>381</v>
      </c>
      <c r="B10" s="152"/>
      <c r="C10" s="152"/>
      <c r="D10" s="152"/>
      <c r="E10" s="146" t="s">
        <v>382</v>
      </c>
      <c r="F10" s="153">
        <f>IF(OR(VLOOKUP($F$12,'Sem1-2'!$B$7:$ZZ$37,2,FALSE)="ຊາຍ", VLOOKUP($F$12,'Sem1-2'!$B$7:$ZZ$37,2,FALSE)="ທ້າວ"),"ທ້າວ","ນາງ")&amp;" "&amp;VLOOKUP($F$12,'Sem1-2'!$B$7:$ZZ$37,3,FALSE)&amp;" "&amp;VLOOKUP($F$12,'Sem1-2'!$B$7:$ZZ$37,4,FALSE)</f>
      </c>
      <c r="G10" s="154"/>
      <c r="H10" s="154"/>
      <c r="I10" s="151" t="s">
        <v>15</v>
      </c>
      <c r="J10" s="151"/>
      <c r="K10" s="145" t="s">
        <v>383</v>
      </c>
      <c r="L10" s="145"/>
      <c r="M10" s="136"/>
      <c r="N10" s="156"/>
      <c r="O10" s="156"/>
      <c r="P10" s="156"/>
      <c r="Q10" s="156"/>
      <c r="R10" s="157"/>
      <c r="S10" s="47"/>
      <c r="T10" s="47"/>
      <c r="U10" s="156"/>
      <c r="V10" s="158"/>
      <c r="W10" s="158"/>
      <c r="X10" s="158"/>
    </row>
    <row r="11" ht="31.5" customHeight="1" spans="1:24" x14ac:dyDescent="0.25">
      <c r="A11" s="151" t="s">
        <v>384</v>
      </c>
      <c r="B11" s="152"/>
      <c r="C11" s="152"/>
      <c r="D11" s="152"/>
      <c r="E11" s="145" t="s">
        <v>382</v>
      </c>
      <c r="F11" s="159">
        <f>VLOOKUP($F$12,'Sem1-2'!$B$7:$ZZ$37,7,FALSE)</f>
      </c>
      <c r="G11" s="145"/>
      <c r="H11" s="145"/>
      <c r="I11" s="151" t="s">
        <v>385</v>
      </c>
      <c r="J11" s="151"/>
      <c r="K11" s="145" t="s">
        <v>386</v>
      </c>
      <c r="L11" s="145"/>
      <c r="M11" s="136"/>
      <c r="N11" s="156"/>
      <c r="O11" s="156"/>
      <c r="P11" s="156"/>
      <c r="Q11" s="156"/>
      <c r="R11" s="160"/>
      <c r="S11" s="47"/>
      <c r="T11" s="47"/>
      <c r="U11" s="156"/>
      <c r="V11" s="158"/>
      <c r="W11" s="158"/>
      <c r="X11" s="158"/>
    </row>
    <row r="12" ht="31.5" customHeight="1" spans="1:24" s="161" customFormat="1" x14ac:dyDescent="0.25">
      <c r="A12" s="151" t="s">
        <v>387</v>
      </c>
      <c r="B12" s="146"/>
      <c r="C12" s="146"/>
      <c r="D12" s="146"/>
      <c r="E12" s="145" t="s">
        <v>382</v>
      </c>
      <c r="F12" s="145" t="s">
        <v>79</v>
      </c>
      <c r="G12" s="145"/>
      <c r="H12" s="145"/>
      <c r="I12" s="277" t="s">
        <v>388</v>
      </c>
      <c r="J12" s="277"/>
      <c r="K12" s="145" t="str">
        <f>": "&amp;G83</f>
        <v>: 130</v>
      </c>
      <c r="L12" s="145"/>
      <c r="M12" s="161"/>
      <c r="N12" s="156"/>
      <c r="O12" s="156"/>
      <c r="P12" s="156"/>
      <c r="Q12" s="47"/>
      <c r="R12" s="158"/>
      <c r="S12" s="47"/>
      <c r="T12" s="47"/>
      <c r="U12" s="156"/>
      <c r="V12" s="156"/>
      <c r="W12" s="162"/>
      <c r="X12" s="163"/>
    </row>
    <row r="13" ht="31.5" customHeight="1" spans="1:24" s="161" customFormat="1" x14ac:dyDescent="0.25">
      <c r="A13" s="164" t="s">
        <v>389</v>
      </c>
      <c r="B13" s="165"/>
      <c r="C13" s="165"/>
      <c r="D13" s="165"/>
      <c r="E13" s="166" t="s">
        <v>382</v>
      </c>
      <c r="F13" s="164" t="s">
        <v>390</v>
      </c>
      <c r="G13" s="166"/>
      <c r="H13" s="166"/>
      <c r="I13" s="164" t="s">
        <v>391</v>
      </c>
      <c r="J13" s="164"/>
      <c r="K13" s="166" t="s">
        <v>495</v>
      </c>
      <c r="L13" s="166"/>
      <c r="M13" s="161"/>
      <c r="N13" s="170"/>
      <c r="O13" s="170"/>
      <c r="P13" s="47"/>
      <c r="Q13" s="47"/>
      <c r="R13" s="151"/>
      <c r="S13" s="47"/>
      <c r="T13" s="47"/>
      <c r="U13" s="171"/>
      <c r="V13" s="171"/>
      <c r="W13" s="163"/>
      <c r="X13" s="171"/>
    </row>
    <row r="14" ht="30" customHeight="1" spans="1:21" x14ac:dyDescent="0.25">
      <c r="A14" s="172" t="s">
        <v>393</v>
      </c>
      <c r="B14" s="173"/>
      <c r="C14" s="174">
        <v>1</v>
      </c>
      <c r="D14" s="175" t="s">
        <v>715</v>
      </c>
      <c r="E14" s="174" t="s">
        <v>716</v>
      </c>
      <c r="F14" s="176"/>
      <c r="G14" s="177" t="s">
        <v>388</v>
      </c>
      <c r="H14" s="178">
        <f>VLOOKUP($F$12,'Sem7-8'!$B$7:$ZZ$37,NaN,FALSE)</f>
      </c>
      <c r="I14" s="179">
        <f>IF(H15&gt;=91, 4.00, IF(H15&gt;=81, 3.50, IF(H15&gt;=70, 3.00, IF(H15&gt;=65, 2.50, IF(H15&gt;=60, 2.00, IF(H15&gt;=55, 1.50, IF(H15&gt;=50, 1.00, 0.00)))))))</f>
      </c>
      <c r="J14" s="175">
        <f>IF(H15&gt;=91,"A",IF(H15&gt;=81,"B+",IF(H15&gt;=70,"B",IF(H15&gt;=65,"C+",IF(H15&gt;=60,"C",IF(H15&gt;=55,"D+",IF(H15&gt;=50,"D","F")))))))</f>
      </c>
      <c r="K14" s="175" t="s">
        <v>396</v>
      </c>
      <c r="L14" s="175" t="s">
        <v>397</v>
      </c>
      <c r="M14" s="136"/>
      <c r="N14" s="136"/>
      <c r="O14" s="180"/>
      <c r="P14" s="137"/>
      <c r="Q14" s="136"/>
      <c r="R14" s="136"/>
      <c r="S14" s="181"/>
      <c r="T14" s="181"/>
      <c r="U14" s="181"/>
    </row>
    <row r="15" ht="19" customHeight="1" spans="1:43" s="182" customFormat="1" x14ac:dyDescent="0.25">
      <c r="A15" s="183"/>
      <c r="B15" s="184"/>
      <c r="C15" s="185"/>
      <c r="D15" s="186"/>
      <c r="E15" s="185"/>
      <c r="F15" s="187"/>
      <c r="G15" s="188">
        <v>2</v>
      </c>
      <c r="H15" s="189"/>
      <c r="I15" s="190"/>
      <c r="J15" s="186"/>
      <c r="K15" s="186"/>
      <c r="L15" s="186"/>
      <c r="M15" s="136"/>
      <c r="N15" s="136"/>
      <c r="O15" s="180"/>
      <c r="P15" s="137"/>
      <c r="Q15" s="136"/>
      <c r="R15" s="136"/>
      <c r="S15" s="181"/>
      <c r="T15" s="181"/>
      <c r="U15" s="181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ht="19" customHeight="1" spans="1:15" x14ac:dyDescent="0.25">
      <c r="A16" s="183"/>
      <c r="B16" s="184"/>
      <c r="C16" s="185">
        <v>2</v>
      </c>
      <c r="D16" s="186" t="s">
        <v>628</v>
      </c>
      <c r="E16" s="185" t="s">
        <v>717</v>
      </c>
      <c r="F16" s="187"/>
      <c r="G16" s="188">
        <v>2</v>
      </c>
      <c r="H16" s="189">
        <f>VLOOKUP($F$12,'Sem7-8'!$B$7:$ZZ$37,NaN,FALSE)</f>
      </c>
      <c r="I16" s="190">
        <f>IF(H16&gt;=91, 4.00, IF(H16&gt;=81, 3.50, IF(H16&gt;=70, 3.00, IF(H16&gt;=65, 2.50, IF(H16&gt;=60, 2.00, IF(H16&gt;=55, 1.50, IF(H16&gt;=50, 1.00, 0.00)))))))</f>
      </c>
      <c r="J16" s="186">
        <f>IF(H16&gt;=91,"A",IF(H16&gt;=81,"B+",IF(H16&gt;=70,"B",IF(H16&gt;=65,"C+",IF(H16&gt;=60,"C",IF(H16&gt;=55,"D+",IF(H16&gt;=50,"D","F")))))))</f>
      </c>
      <c r="K16" s="186"/>
      <c r="L16" s="186"/>
      <c r="M16" s="136"/>
      <c r="N16" s="136"/>
      <c r="O16" s="180"/>
    </row>
    <row r="17" ht="19" customHeight="1" spans="1:15" x14ac:dyDescent="0.25">
      <c r="A17" s="183"/>
      <c r="B17" s="184"/>
      <c r="C17" s="185">
        <v>3</v>
      </c>
      <c r="D17" s="186" t="s">
        <v>718</v>
      </c>
      <c r="E17" s="185" t="s">
        <v>719</v>
      </c>
      <c r="F17" s="187"/>
      <c r="G17" s="188">
        <v>2</v>
      </c>
      <c r="H17" s="189">
        <f>VLOOKUP($F$12,'Sem7-8'!$B$7:$ZZ$37,NaN,FALSE)</f>
      </c>
      <c r="I17" s="190">
        <f>IF(H17&gt;=91, 4.00, IF(H17&gt;=81, 3.50, IF(H17&gt;=70, 3.00, IF(H17&gt;=65, 2.50, IF(H17&gt;=60, 2.00, IF(H17&gt;=55, 1.50, IF(H17&gt;=50, 1.00, 0.00)))))))</f>
      </c>
      <c r="J17" s="186">
        <f>IF(H17&gt;=91,"A",IF(H17&gt;=81,"B+",IF(H17&gt;=70,"B",IF(H17&gt;=65,"C+",IF(H17&gt;=60,"C",IF(H17&gt;=55,"D+",IF(H17&gt;=50,"D","F")))))))</f>
      </c>
      <c r="K17" s="186"/>
      <c r="L17" s="186"/>
      <c r="M17" s="136"/>
      <c r="N17" s="136"/>
      <c r="O17" s="180"/>
    </row>
    <row r="18" ht="19" customHeight="1" spans="1:15" x14ac:dyDescent="0.25">
      <c r="A18" s="183"/>
      <c r="B18" s="184"/>
      <c r="C18" s="185">
        <v>4</v>
      </c>
      <c r="D18" s="186" t="s">
        <v>720</v>
      </c>
      <c r="E18" s="185" t="s">
        <v>721</v>
      </c>
      <c r="F18" s="187"/>
      <c r="G18" s="188">
        <v>2</v>
      </c>
      <c r="H18" s="189">
        <f>VLOOKUP($F$12,'Sem7-8'!$B$7:$ZZ$37,NaN,FALSE)</f>
      </c>
      <c r="I18" s="190">
        <f>IF(H18&gt;=91, 4.00, IF(H18&gt;=81, 3.50, IF(H18&gt;=70, 3.00, IF(H18&gt;=65, 2.50, IF(H18&gt;=60, 2.00, IF(H18&gt;=55, 1.50, IF(H18&gt;=50, 1.00, 0.00)))))))</f>
      </c>
      <c r="J18" s="186">
        <f>IF(H18&gt;=91,"A",IF(H18&gt;=81,"B+",IF(H18&gt;=70,"B",IF(H18&gt;=65,"C+",IF(H18&gt;=60,"C",IF(H18&gt;=55,"D+",IF(H18&gt;=50,"D","F")))))))</f>
      </c>
      <c r="K18" s="186"/>
      <c r="L18" s="186"/>
      <c r="M18" s="136"/>
      <c r="N18" s="136"/>
      <c r="O18" s="180"/>
    </row>
    <row r="19" ht="19" customHeight="1" spans="1:15" x14ac:dyDescent="0.25">
      <c r="A19" s="183"/>
      <c r="B19" s="184"/>
      <c r="C19" s="185">
        <v>5</v>
      </c>
      <c r="D19" s="186" t="s">
        <v>722</v>
      </c>
      <c r="E19" s="185" t="s">
        <v>723</v>
      </c>
      <c r="F19" s="187"/>
      <c r="G19" s="188">
        <v>2</v>
      </c>
      <c r="H19" s="189">
        <f>VLOOKUP($F$12,'Sem7-8'!$B$7:$ZZ$37,NaN,FALSE)</f>
      </c>
      <c r="I19" s="190">
        <f>IF(H19&gt;=91, 4.00, IF(H19&gt;=81, 3.50, IF(H19&gt;=70, 3.00, IF(H19&gt;=65, 2.50, IF(H19&gt;=60, 2.00, IF(H19&gt;=55, 1.50, IF(H19&gt;=50, 1.00, 0.00)))))))</f>
      </c>
      <c r="J19" s="186">
        <f>IF(H19&gt;=91,"A",IF(H19&gt;=81,"B+",IF(H19&gt;=70,"B",IF(H19&gt;=65,"C+",IF(H19&gt;=60,"C",IF(H19&gt;=55,"D+",IF(H19&gt;=50,"D","F")))))))</f>
      </c>
      <c r="K19" s="186"/>
      <c r="L19" s="186"/>
      <c r="M19" s="136"/>
      <c r="N19" s="136"/>
      <c r="O19" s="180"/>
    </row>
    <row r="20" ht="19" customHeight="1" spans="1:15" x14ac:dyDescent="0.25">
      <c r="A20" s="183"/>
      <c r="B20" s="184"/>
      <c r="C20" s="185">
        <v>6</v>
      </c>
      <c r="D20" s="186" t="s">
        <v>724</v>
      </c>
      <c r="E20" s="185" t="s">
        <v>725</v>
      </c>
      <c r="F20" s="187"/>
      <c r="G20" s="188">
        <v>1</v>
      </c>
      <c r="H20" s="189">
        <f>VLOOKUP($F$12,'Sem7-8'!$B$7:$ZZ$37,NaN,FALSE)</f>
      </c>
      <c r="I20" s="190">
        <f>IF(H20&gt;=91, 4.00, IF(H20&gt;=81, 3.50, IF(H20&gt;=70, 3.00, IF(H20&gt;=65, 2.50, IF(H20&gt;=60, 2.00, IF(H20&gt;=55, 1.50, IF(H20&gt;=50, 1.00, 0.00)))))))</f>
      </c>
      <c r="J20" s="186">
        <f>IF(H20&gt;=91,"A",IF(H20&gt;=81,"B+",IF(H20&gt;=70,"B",IF(H20&gt;=65,"C+",IF(H20&gt;=60,"C",IF(H20&gt;=55,"D+",IF(H20&gt;=50,"D","F")))))))</f>
      </c>
      <c r="K20" s="186"/>
      <c r="L20" s="186"/>
      <c r="M20" s="136"/>
      <c r="N20" s="136"/>
      <c r="O20" s="180"/>
    </row>
    <row r="21" ht="19" customHeight="1" spans="1:43" s="192" customFormat="1" x14ac:dyDescent="0.25">
      <c r="A21" s="193" t="s">
        <v>514</v>
      </c>
      <c r="B21" s="278" t="s">
        <v>415</v>
      </c>
      <c r="C21" s="194">
        <v>1</v>
      </c>
      <c r="D21" s="195" t="s">
        <v>726</v>
      </c>
      <c r="E21" s="196" t="s">
        <v>727</v>
      </c>
      <c r="F21" s="197" t="s">
        <v>395</v>
      </c>
      <c r="G21" s="194">
        <f>SUM(G15:G20)</f>
      </c>
      <c r="H21" s="198">
        <f>VLOOKUP($F$12,'Sem7-8'!$B$7:$ZZ$37,NaN,FALSE)</f>
      </c>
      <c r="I21" s="279">
        <f>ROUND((G15*I15+G16*I16+G17*I17+G18*I18+G19*I19+G20*I20)/G21, 2)</f>
      </c>
      <c r="J21" s="280">
        <f>IF(H21&gt;=91,"A",IF(H21&gt;=81,"B+",IF(H21&gt;=70,"B",IF(H21&gt;=65,"C+",IF(H21&gt;=60,"C",IF(H21&gt;=55,"D+",IF(H21&gt;=50,"D","F")))))))</f>
      </c>
      <c r="K21" s="264" t="e">
        <f>(I16*G16+I17*G17+G18*I18+I19*G19+I20*G20+I21*G21+I22*G22)/(G16+G17+G18+G19+G20+G21+G22)</f>
        <v>#REF!</v>
      </c>
      <c r="L21" s="264" t="e">
        <f>(K16+K23)/2</f>
        <v>#REF!</v>
      </c>
      <c r="M21" s="181"/>
      <c r="N21" s="161"/>
      <c r="O21" s="163"/>
      <c r="P21" s="20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  <c r="AQ21" s="161"/>
    </row>
    <row r="22" ht="19" customHeight="1" spans="1:43" s="202" customFormat="1" x14ac:dyDescent="0.25">
      <c r="A22" s="203" t="s">
        <v>514</v>
      </c>
      <c r="B22" s="281" t="s">
        <v>415</v>
      </c>
      <c r="C22" s="204">
        <v>2</v>
      </c>
      <c r="D22" s="205" t="s">
        <v>728</v>
      </c>
      <c r="E22" s="206" t="s">
        <v>729</v>
      </c>
      <c r="F22" s="207" t="s">
        <v>403</v>
      </c>
      <c r="G22" s="204">
        <v>2</v>
      </c>
      <c r="H22" s="282">
        <f>VLOOKUP($F$12,'Sem7-8'!$B$7:$ZZ$37,NaN,FALSE)</f>
      </c>
      <c r="I22" s="208">
        <f>IF(H22&gt;=91, 4.00, IF(H22&gt;=81, 3.50, IF(H22&gt;=70, 3.00, IF(H22&gt;=65, 2.50, IF(H22&gt;=60, 2.00, IF(H22&gt;=55, 1.50, IF(H22&gt;=50, 1.00, 0.00)))))))</f>
      </c>
      <c r="J22" s="204">
        <f>IF(H22&gt;=91,"A",IF(H22&gt;=81,"B+",IF(H22&gt;=70,"B",IF(H22&gt;=65,"C+",IF(H22&gt;=60,"C",IF(H22&gt;=55,"D+",IF(H22&gt;=50,"D","F")))))))</f>
      </c>
      <c r="K22" s="266" t="e">
        <f>(I16*G16+I17*G17+G18*I18+I19*G19+I20*G20+I21*G21+I22*G22)/(G16+G17+G18+G19+G20+G21+G22)</f>
        <v>#REF!</v>
      </c>
      <c r="L22" s="266" t="e">
        <f>(K16+K23)/2</f>
        <v>#REF!</v>
      </c>
      <c r="M22" s="181"/>
      <c r="N22" s="161"/>
      <c r="O22" s="163"/>
      <c r="P22" s="20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  <c r="AQ22" s="161"/>
    </row>
    <row r="23" ht="19" customHeight="1" spans="1:43" s="202" customFormat="1" x14ac:dyDescent="0.25">
      <c r="A23" s="203" t="s">
        <v>514</v>
      </c>
      <c r="B23" s="281" t="s">
        <v>415</v>
      </c>
      <c r="C23" s="210">
        <v>3</v>
      </c>
      <c r="D23" s="205" t="s">
        <v>730</v>
      </c>
      <c r="E23" s="211" t="s">
        <v>731</v>
      </c>
      <c r="F23" s="212" t="s">
        <v>405</v>
      </c>
      <c r="G23" s="204">
        <v>2</v>
      </c>
      <c r="H23" s="282">
        <f>VLOOKUP($F$12,'Sem7-8'!$B$7:$ZZ$37,NaN,FALSE)</f>
      </c>
      <c r="I23" s="208">
        <f>IF(H23&gt;=91, 4.00, IF(H23&gt;=81, 3.50, IF(H23&gt;=70, 3.00, IF(H23&gt;=65, 2.50, IF(H23&gt;=60, 2.00, IF(H23&gt;=55, 1.50, IF(H23&gt;=50, 1.00, 0.00)))))))</f>
      </c>
      <c r="J23" s="204">
        <f>IF(H23&gt;=91,"A",IF(H23&gt;=81,"B+",IF(H23&gt;=70,"B",IF(H23&gt;=65,"C+",IF(H23&gt;=60,"C",IF(H23&gt;=55,"D+",IF(H23&gt;=50,"D","F")))))))</f>
      </c>
      <c r="K23" s="266" t="e">
        <f>(I16*G16+I17*G17+G18*I18+I19*G19+I20*G20+I21*G21+I22*G22)/(G16+G17+G18+G19+G20+G21+G22)</f>
        <v>#REF!</v>
      </c>
      <c r="L23" s="266" t="e">
        <f>(K16+K23)/2</f>
        <v>#REF!</v>
      </c>
      <c r="M23" s="181"/>
      <c r="N23" s="161"/>
      <c r="O23" s="163"/>
      <c r="P23" s="20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  <c r="AQ23" s="161"/>
    </row>
    <row r="24" ht="19" customHeight="1" spans="1:43" s="202" customFormat="1" x14ac:dyDescent="0.25">
      <c r="A24" s="203" t="s">
        <v>514</v>
      </c>
      <c r="B24" s="281" t="s">
        <v>415</v>
      </c>
      <c r="C24" s="210">
        <v>4</v>
      </c>
      <c r="D24" s="205" t="s">
        <v>732</v>
      </c>
      <c r="E24" s="211" t="s">
        <v>733</v>
      </c>
      <c r="F24" s="212" t="s">
        <v>401</v>
      </c>
      <c r="G24" s="204">
        <v>6</v>
      </c>
      <c r="H24" s="282">
        <f>VLOOKUP($F$12,'Sem7-8'!$B$7:$ZZ$37,NaN,FALSE)</f>
      </c>
      <c r="I24" s="208">
        <f>IF(H24&gt;=91, 4.00, IF(H24&gt;=81, 3.50, IF(H24&gt;=70, 3.00, IF(H24&gt;=65, 2.50, IF(H24&gt;=60, 2.00, IF(H24&gt;=55, 1.50, IF(H24&gt;=50, 1.00, 0.00)))))))</f>
      </c>
      <c r="J24" s="204">
        <f>IF(H24&gt;=91,"A",IF(H24&gt;=81,"B+",IF(H24&gt;=70,"B",IF(H24&gt;=65,"C+",IF(H24&gt;=60,"C",IF(H24&gt;=55,"D+",IF(H24&gt;=50,"D","F")))))))</f>
      </c>
      <c r="K24" s="266" t="e">
        <f>(I16*G16+I17*G17+G18*I18+I19*G19+I20*G20+I21*G21+I22*G22)/(G16+G17+G18+G19+G20+G21+G22)</f>
        <v>#REF!</v>
      </c>
      <c r="L24" s="266" t="e">
        <f>(K16+K23)/2</f>
        <v>#REF!</v>
      </c>
      <c r="M24" s="181"/>
      <c r="N24" s="161"/>
      <c r="O24" s="163"/>
      <c r="P24" s="20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</row>
    <row r="25" ht="30" customHeight="1" spans="1:17" x14ac:dyDescent="0.25">
      <c r="A25" s="352" t="s">
        <v>642</v>
      </c>
      <c r="B25" s="305" t="s">
        <v>643</v>
      </c>
      <c r="C25" s="204">
        <v>10</v>
      </c>
      <c r="D25" s="204" t="s">
        <v>644</v>
      </c>
      <c r="E25" s="211" t="s">
        <v>645</v>
      </c>
      <c r="F25" s="212" t="s">
        <v>645</v>
      </c>
      <c r="G25" s="205">
        <f>SUM(G21:G24)</f>
      </c>
      <c r="H25" s="282" t="e">
        <f>VLOOKUP($F$12,#REF!,55,FALSE)</f>
        <v>#REF!</v>
      </c>
      <c r="I25" s="208">
        <f>ROUND((G21*I21+G22*I22+G23*I23+G24*I24)/G25, 2)</f>
      </c>
      <c r="J25" s="204" t="e">
        <f>IF(H61&gt;90,"A",IF(H61&gt;80,"B+",IF(H61&gt;69,"B",IF(H61&gt;64,"C+",IF(H61&gt;59,"C",IF(H61&gt;54,"D+",IF(H61&gt;49,"D",IF(H61&gt;=0,"F"))))))))</f>
        <v>#REF!</v>
      </c>
      <c r="K25" s="353" t="e">
        <f>(I52*G52+I53*G53+I54*G54+I55*G55+I56*G56+I57*G57+I58*G58+I59*G59+I60*G60+I61*G61+I62*G62)/(G52+G53+G54+G55+G56+G57+G58+G59+G60+G61+G62)</f>
        <v>#REF!</v>
      </c>
      <c r="L25" s="266" t="e">
        <f>(K52+K63)/2</f>
        <v>#REF!</v>
      </c>
      <c r="M25" s="181"/>
      <c r="N25" s="136"/>
      <c r="O25" s="136"/>
      <c r="P25" s="354"/>
      <c r="Q25" s="354"/>
    </row>
    <row r="26" ht="30" customHeight="1" spans="1:16" x14ac:dyDescent="0.25">
      <c r="A26" s="352" t="s">
        <v>642</v>
      </c>
      <c r="B26" s="305" t="s">
        <v>643</v>
      </c>
      <c r="C26" s="210">
        <v>11</v>
      </c>
      <c r="D26" s="284" t="s">
        <v>646</v>
      </c>
      <c r="E26" s="218" t="s">
        <v>530</v>
      </c>
      <c r="F26" s="219" t="s">
        <v>530</v>
      </c>
      <c r="G26" s="205">
        <v>2</v>
      </c>
      <c r="H26" s="355" t="e">
        <f>VLOOKUP($F$12,#REF!,56,FALSE)</f>
        <v>#REF!</v>
      </c>
      <c r="I26" s="285" t="e">
        <f>IF(H62&gt;90,"4.00",IF(H62&gt;80,"3.50",IF(H62&gt;69,"3.00",IF(H62&gt;64,"2.50",IF(H62&gt;59,"2.00",IF(H62&gt;54,"1.50",IF(H62&gt;49,"1.00","0.00")))))))</f>
        <v>#REF!</v>
      </c>
      <c r="J26" s="284" t="e">
        <f>IF(H62&gt;90,"A",IF(H62&gt;80,"B+",IF(H62&gt;69,"B",IF(H62&gt;64,"C+",IF(H62&gt;59,"C",IF(H62&gt;54,"D+",IF(H62&gt;49,"D",IF(H62&gt;=0,"F"))))))))</f>
        <v>#REF!</v>
      </c>
      <c r="K26" s="356" t="e">
        <f>(I52*G52+I53*G53+I54*G54+I55*G55+I56*G56+I57*G57+I58*G58+I59*G59+I60*G60+I61*G61+I62*G62)/(G52+G53+G54+G55+G56+G57+G58+G59+G60+G61+G62)</f>
        <v>#REF!</v>
      </c>
      <c r="L26" s="266" t="e">
        <f>(K52+K63)/2</f>
        <v>#REF!</v>
      </c>
      <c r="M26" s="181"/>
      <c r="N26" s="357"/>
      <c r="O26" s="357"/>
      <c r="P26" s="136"/>
    </row>
    <row r="27" ht="30" customHeight="1" spans="1:15" x14ac:dyDescent="0.25">
      <c r="A27" s="352" t="s">
        <v>642</v>
      </c>
      <c r="B27" s="193" t="s">
        <v>647</v>
      </c>
      <c r="C27" s="194">
        <v>1</v>
      </c>
      <c r="D27" s="198" t="s">
        <v>648</v>
      </c>
      <c r="E27" s="196" t="s">
        <v>623</v>
      </c>
      <c r="F27" s="197" t="s">
        <v>623</v>
      </c>
      <c r="G27" s="195">
        <v>3</v>
      </c>
      <c r="H27" s="287" t="e">
        <f>VLOOKUP($F$12,#REF!,57,FALSE)</f>
        <v>#REF!</v>
      </c>
      <c r="I27" s="223">
        <f>ROUND((I21+I25)/2, 2)</f>
      </c>
      <c r="J27" s="210" t="e">
        <f>IF(H63&gt;90,"A",IF(H63&gt;80,"B+",IF(H63&gt;69,"B",IF(H63&gt;64,"C+",IF(H63&gt;59,"C",IF(H63&gt;54,"D+",IF(H63&gt;49,"D",IF(H63&gt;=0,"F"))))))))</f>
        <v>#REF!</v>
      </c>
      <c r="K27" s="304" t="e">
        <f>(I63*G63+I64*G64+I65*G65+I66*G66+I67*G67+I68*G68+I69*G69+I70*G70+G71*I71+I72*G72)/(G63+G64+G65+G66+G67+G68+G69+G70+G71+G72)</f>
        <v>#REF!</v>
      </c>
      <c r="L27" s="266" t="e">
        <f>(K52+K63)/2</f>
        <v>#REF!</v>
      </c>
      <c r="M27" s="181"/>
      <c r="N27" s="357"/>
      <c r="O27" s="357"/>
    </row>
    <row r="28" ht="30" customHeight="1" spans="1:15" x14ac:dyDescent="0.25">
      <c r="A28" s="352" t="s">
        <v>642</v>
      </c>
      <c r="B28" s="203" t="s">
        <v>647</v>
      </c>
      <c r="C28" s="210">
        <v>2</v>
      </c>
      <c r="D28" s="204" t="s">
        <v>649</v>
      </c>
      <c r="E28" s="211" t="s">
        <v>627</v>
      </c>
      <c r="F28" s="212" t="s">
        <v>627</v>
      </c>
      <c r="G28" s="205">
        <v>1</v>
      </c>
      <c r="H28" s="282" t="e">
        <f>VLOOKUP($F$12,#REF!,58,FALSE)</f>
        <v>#REF!</v>
      </c>
      <c r="I28" s="223" t="e">
        <f>IF(H64&gt;90,"4.00",IF(H64&gt;80,"3.50",IF(H64&gt;69,"3.00",IF(H64&gt;64,"2.50",IF(H64&gt;59,"2.00",IF(H64&gt;54,"1.50",IF(H64&gt;49,"1.00","0.00")))))))</f>
        <v>#REF!</v>
      </c>
      <c r="J28" s="210" t="e">
        <f>IF(H64&gt;90,"A",IF(H64&gt;80,"B+",IF(H64&gt;69,"B",IF(H64&gt;64,"C+",IF(H64&gt;59,"C",IF(H64&gt;54,"D+",IF(H64&gt;49,"D",IF(H64&gt;=0,"F"))))))))</f>
        <v>#REF!</v>
      </c>
      <c r="K28" s="266" t="e">
        <f>(I63*G63+I64*G64+I65*G65+I66*G66+I67*G67+I68*G68+I69*G69+I70*G70+G71*I71+I72*G72)/(G63+G64+G65+G66+G67+G68+G69+G70+G71+G72)</f>
        <v>#REF!</v>
      </c>
      <c r="L28" s="266" t="e">
        <f>(K52+K63)/2</f>
        <v>#REF!</v>
      </c>
      <c r="M28" s="181"/>
      <c r="N28" s="357"/>
      <c r="O28" s="357"/>
    </row>
    <row r="29" ht="30" customHeight="1" spans="1:15" x14ac:dyDescent="0.25">
      <c r="A29" s="352" t="s">
        <v>642</v>
      </c>
      <c r="B29" s="203" t="s">
        <v>647</v>
      </c>
      <c r="C29" s="204">
        <v>3</v>
      </c>
      <c r="D29" s="204" t="s">
        <v>650</v>
      </c>
      <c r="E29" s="211" t="s">
        <v>625</v>
      </c>
      <c r="F29" s="212" t="s">
        <v>625</v>
      </c>
      <c r="G29" s="358">
        <v>2</v>
      </c>
      <c r="H29" s="282" t="e">
        <f>VLOOKUP($F$12,#REF!,59,FALSE)</f>
        <v>#REF!</v>
      </c>
      <c r="I29" s="223" t="e">
        <f>IF(H65&gt;90,"4.00",IF(H65&gt;80,"3.50",IF(H65&gt;69,"3.00",IF(H65&gt;64,"2.50",IF(H65&gt;59,"2.00",IF(H65&gt;54,"1.50",IF(H65&gt;49,"1.00","0.00")))))))</f>
        <v>#REF!</v>
      </c>
      <c r="J29" s="210" t="e">
        <f>IF(H65&gt;90,"A",IF(H65&gt;80,"B+",IF(H65&gt;69,"B",IF(H65&gt;64,"C+",IF(H65&gt;59,"C",IF(H65&gt;54,"D+",IF(H65&gt;49,"D",IF(H65&gt;=0,"F"))))))))</f>
        <v>#REF!</v>
      </c>
      <c r="K29" s="266" t="e">
        <f>(I63*G63+I64*G64+I65*G65+I66*G66+I67*G67+I68*G68+I69*G69+I70*G70+G71*I71+I72*G72)/(G63+G64+G65+G66+G67+G68+G69+G70+G71+G72)</f>
        <v>#REF!</v>
      </c>
      <c r="L29" s="266" t="e">
        <f>(K52+K63)/2</f>
        <v>#REF!</v>
      </c>
      <c r="M29" s="181"/>
      <c r="N29" s="357"/>
      <c r="O29" s="357"/>
    </row>
    <row r="30" ht="30" customHeight="1" spans="1:15" x14ac:dyDescent="0.25">
      <c r="A30" s="352" t="s">
        <v>642</v>
      </c>
      <c r="B30" s="203" t="s">
        <v>647</v>
      </c>
      <c r="C30" s="204">
        <v>4</v>
      </c>
      <c r="D30" s="204" t="s">
        <v>651</v>
      </c>
      <c r="E30" s="211" t="s">
        <v>652</v>
      </c>
      <c r="F30" s="212" t="s">
        <v>652</v>
      </c>
      <c r="G30" s="358">
        <v>1</v>
      </c>
      <c r="H30" s="282" t="e">
        <f>VLOOKUP($F$12,#REF!,60,FALSE)</f>
        <v>#REF!</v>
      </c>
      <c r="I30" s="223" t="e">
        <f>IF(H66&gt;90,"4.00",IF(H66&gt;80,"3.50",IF(H66&gt;69,"3.00",IF(H66&gt;64,"2.50",IF(H66&gt;59,"2.00",IF(H66&gt;54,"1.50",IF(H66&gt;49,"1.00","0.00")))))))</f>
        <v>#REF!</v>
      </c>
      <c r="J30" s="210" t="e">
        <f>IF(H66&gt;90,"A",IF(H66&gt;80,"B+",IF(H66&gt;69,"B",IF(H66&gt;64,"C+",IF(H66&gt;59,"C",IF(H66&gt;54,"D+",IF(H66&gt;49,"D",IF(H66&gt;=0,"F"))))))))</f>
        <v>#REF!</v>
      </c>
      <c r="K30" s="266" t="e">
        <f>(I63*G63+I64*G64+I65*G65+I66*G66+I67*G67+I68*G68+I69*G69+I70*G70+G71*I71+I72*G72)/(G63+G64+G65+G66+G67+G68+G69+G70+G71+G72)</f>
        <v>#REF!</v>
      </c>
      <c r="L30" s="266" t="e">
        <f>(K52+K63)/2</f>
        <v>#REF!</v>
      </c>
      <c r="M30" s="181"/>
      <c r="N30" s="357"/>
      <c r="O30" s="357"/>
    </row>
    <row r="31" ht="30" customHeight="1" spans="1:15" x14ac:dyDescent="0.25">
      <c r="A31" s="352" t="s">
        <v>642</v>
      </c>
      <c r="B31" s="203" t="s">
        <v>647</v>
      </c>
      <c r="C31" s="204">
        <v>5</v>
      </c>
      <c r="D31" s="204" t="s">
        <v>653</v>
      </c>
      <c r="E31" s="211" t="s">
        <v>654</v>
      </c>
      <c r="F31" s="212" t="s">
        <v>654</v>
      </c>
      <c r="G31" s="205">
        <v>1</v>
      </c>
      <c r="H31" s="282" t="e">
        <f>VLOOKUP($F$12,#REF!,61,FALSE)</f>
        <v>#REF!</v>
      </c>
      <c r="I31" s="223" t="e">
        <f>IF(H67&gt;90,"4.00",IF(H67&gt;80,"3.50",IF(H67&gt;69,"3.00",IF(H67&gt;64,"2.50",IF(H67&gt;59,"2.00",IF(H67&gt;54,"1.50",IF(H67&gt;49,"1.00","0.00")))))))</f>
        <v>#REF!</v>
      </c>
      <c r="J31" s="210" t="e">
        <f>IF(H67&gt;90,"A",IF(H67&gt;80,"B+",IF(H67&gt;69,"B",IF(H67&gt;64,"C+",IF(H67&gt;59,"C",IF(H67&gt;54,"D+",IF(H67&gt;49,"D",IF(H67&gt;=0,"F"))))))))</f>
        <v>#REF!</v>
      </c>
      <c r="K31" s="266" t="e">
        <f>(I63*G63+I64*G64+I65*G65+I66*G66+I67*G67+I68*G68+I69*G69+I70*G70+G71*I71+I72*G72)/(G63+G64+G65+G66+G67+G68+G69+G70+G71+G72)</f>
        <v>#REF!</v>
      </c>
      <c r="L31" s="266" t="e">
        <f>(K52+K63)/2</f>
        <v>#REF!</v>
      </c>
      <c r="M31" s="181"/>
      <c r="N31" s="357"/>
      <c r="O31" s="357"/>
    </row>
    <row r="32" ht="30" customHeight="1" spans="1:15" x14ac:dyDescent="0.25">
      <c r="A32" s="352" t="s">
        <v>642</v>
      </c>
      <c r="B32" s="203" t="s">
        <v>647</v>
      </c>
      <c r="C32" s="204">
        <v>6</v>
      </c>
      <c r="D32" s="204" t="s">
        <v>655</v>
      </c>
      <c r="E32" s="211" t="s">
        <v>656</v>
      </c>
      <c r="F32" s="212" t="s">
        <v>656</v>
      </c>
      <c r="G32" s="205">
        <v>1</v>
      </c>
      <c r="H32" s="282" t="e">
        <f>VLOOKUP($F$12,#REF!,62,FALSE)</f>
        <v>#REF!</v>
      </c>
      <c r="I32" s="223" t="e">
        <f>IF(H68&gt;90,"4.00",IF(H68&gt;80,"3.50",IF(H68&gt;69,"3.00",IF(H68&gt;64,"2.50",IF(H68&gt;59,"2.00",IF(H68&gt;54,"1.50",IF(H68&gt;49,"1.00","0.00")))))))</f>
        <v>#REF!</v>
      </c>
      <c r="J32" s="210" t="e">
        <f>IF(H68&gt;90,"A",IF(H68&gt;80,"B+",IF(H68&gt;69,"B",IF(H68&gt;64,"C+",IF(H68&gt;59,"C",IF(H68&gt;54,"D+",IF(H68&gt;49,"D",IF(H68&gt;=0,"F"))))))))</f>
        <v>#REF!</v>
      </c>
      <c r="K32" s="266" t="e">
        <f>(I63*G63+I64*G64+I65*G65+I66*G66+I67*G67+I68*G68+I69*G69+I70*G70+G71*I71+I72*G72)/(G63+G64+G65+G66+G67+G68+G69+G70+G71+G72)</f>
        <v>#REF!</v>
      </c>
      <c r="L32" s="266" t="e">
        <f>(K52+K63)/2</f>
        <v>#REF!</v>
      </c>
      <c r="M32" s="181"/>
      <c r="N32" s="357"/>
      <c r="O32" s="357"/>
    </row>
    <row r="33" ht="30" customHeight="1" spans="1:15" x14ac:dyDescent="0.25">
      <c r="A33" s="352" t="s">
        <v>642</v>
      </c>
      <c r="B33" s="203" t="s">
        <v>647</v>
      </c>
      <c r="C33" s="204">
        <v>7</v>
      </c>
      <c r="D33" s="216" t="s">
        <v>657</v>
      </c>
      <c r="E33" s="211" t="s">
        <v>658</v>
      </c>
      <c r="F33" s="212" t="s">
        <v>658</v>
      </c>
      <c r="G33" s="205">
        <v>1</v>
      </c>
      <c r="H33" s="282" t="e">
        <f>VLOOKUP($F$12,#REF!,63,FALSE)</f>
        <v>#REF!</v>
      </c>
      <c r="I33" s="223" t="e">
        <f>IF(H69&gt;90,"4.00",IF(H69&gt;80,"3.50",IF(H69&gt;69,"3.00",IF(H69&gt;64,"2.50",IF(H69&gt;59,"2.00",IF(H69&gt;54,"1.50",IF(H69&gt;49,"1.00","0.00")))))))</f>
        <v>#REF!</v>
      </c>
      <c r="J33" s="210" t="e">
        <f>IF(H69&gt;90,"A",IF(H69&gt;80,"B+",IF(H69&gt;69,"B",IF(H69&gt;64,"C+",IF(H69&gt;59,"C",IF(H69&gt;54,"D+",IF(H69&gt;49,"D",IF(H69&gt;=0,"F"))))))))</f>
        <v>#REF!</v>
      </c>
      <c r="K33" s="266" t="e">
        <f>(I63*G63+I64*G64+I65*G65+I66*G66+I67*G67+I68*G68+I69*G69+I70*G70+G71*I71+I72*G72)/(G63+G64+G65+G66+G67+G68+G69+G70+G71+G72)</f>
        <v>#REF!</v>
      </c>
      <c r="L33" s="266" t="e">
        <f>(K52+K63)/2</f>
        <v>#REF!</v>
      </c>
      <c r="M33" s="181"/>
      <c r="N33" s="357"/>
      <c r="O33" s="357"/>
    </row>
    <row r="34" ht="30" customHeight="1" spans="1:17" x14ac:dyDescent="0.25">
      <c r="A34" s="352" t="s">
        <v>642</v>
      </c>
      <c r="B34" s="203" t="s">
        <v>647</v>
      </c>
      <c r="C34" s="204">
        <v>8</v>
      </c>
      <c r="D34" s="204" t="s">
        <v>659</v>
      </c>
      <c r="E34" s="211" t="s">
        <v>660</v>
      </c>
      <c r="F34" s="212" t="s">
        <v>660</v>
      </c>
      <c r="G34" s="205">
        <v>2</v>
      </c>
      <c r="H34" s="282" t="e">
        <f>VLOOKUP($F$12,#REF!,64,FALSE)</f>
        <v>#REF!</v>
      </c>
      <c r="I34" s="223" t="e">
        <f>IF(H70&gt;90,"4.00",IF(H70&gt;80,"3.50",IF(H70&gt;69,"3.00",IF(H70&gt;64,"2.50",IF(H70&gt;59,"2.00",IF(H70&gt;54,"1.50",IF(H70&gt;49,"1.00","0.00")))))))</f>
        <v>#REF!</v>
      </c>
      <c r="J34" s="210" t="e">
        <f>IF(H70&gt;90,"A",IF(H70&gt;80,"B+",IF(H70&gt;69,"B",IF(H70&gt;64,"C+",IF(H70&gt;59,"C",IF(H70&gt;54,"D+",IF(H70&gt;49,"D",IF(H70&gt;=0,"F"))))))))</f>
        <v>#REF!</v>
      </c>
      <c r="K34" s="266" t="e">
        <f>(I63*G63+I64*G64+I65*G65+I66*G66+I67*G67+I68*G68+I69*G69+I70*G70+G71*I71+I72*G72)/(G63+G64+G65+G66+G67+G68+G69+G70+G71+G72)</f>
        <v>#REF!</v>
      </c>
      <c r="L34" s="266" t="e">
        <f>(K52+K63)/2</f>
        <v>#REF!</v>
      </c>
      <c r="M34" s="181"/>
      <c r="N34" s="136"/>
      <c r="O34" s="136"/>
      <c r="P34" s="357"/>
      <c r="Q34" s="357"/>
    </row>
    <row r="35" ht="30" customHeight="1" spans="1:15" x14ac:dyDescent="0.25">
      <c r="A35" s="352" t="s">
        <v>642</v>
      </c>
      <c r="B35" s="203" t="s">
        <v>647</v>
      </c>
      <c r="C35" s="204">
        <v>9</v>
      </c>
      <c r="D35" s="210" t="s">
        <v>661</v>
      </c>
      <c r="E35" s="211" t="s">
        <v>662</v>
      </c>
      <c r="F35" s="212" t="s">
        <v>662</v>
      </c>
      <c r="G35" s="205">
        <v>2</v>
      </c>
      <c r="H35" s="282" t="e">
        <f>VLOOKUP($F$12,#REF!,65,FALSE)</f>
        <v>#REF!</v>
      </c>
      <c r="I35" s="223" t="e">
        <f>IF(H71&gt;90,"4.00",IF(H71&gt;80,"3.50",IF(H71&gt;69,"3.00",IF(H71&gt;64,"2.50",IF(H71&gt;59,"2.00",IF(H71&gt;54,"1.50",IF(H71&gt;49,"1.00","0.00")))))))</f>
        <v>#REF!</v>
      </c>
      <c r="J35" s="210" t="e">
        <f>IF(H71&gt;90,"A",IF(H71&gt;80,"B+",IF(H71&gt;69,"B",IF(H71&gt;64,"C+",IF(H71&gt;59,"C",IF(H71&gt;54,"D+",IF(H71&gt;49,"D",IF(H71&gt;=0,"F"))))))))</f>
        <v>#REF!</v>
      </c>
      <c r="K35" s="266" t="e">
        <f>(I63*G63+I64*G64+I65*G65+I66*G66+I67*G67+I68*G68+I69*G69+I70*G70+G71*I71+I72*G72)/(G63+G64+G65+G66+G67+G68+G69+G70+G71+G72)</f>
        <v>#REF!</v>
      </c>
      <c r="L35" s="266" t="e">
        <f>(K52+K63)/2</f>
        <v>#REF!</v>
      </c>
      <c r="M35" s="181"/>
      <c r="N35" s="357"/>
      <c r="O35" s="357"/>
    </row>
    <row r="36" ht="30" customHeight="1" spans="1:15" x14ac:dyDescent="0.25">
      <c r="A36" s="359" t="s">
        <v>642</v>
      </c>
      <c r="B36" s="301" t="s">
        <v>647</v>
      </c>
      <c r="C36" s="284">
        <v>10</v>
      </c>
      <c r="D36" s="303" t="s">
        <v>663</v>
      </c>
      <c r="E36" s="218" t="s">
        <v>617</v>
      </c>
      <c r="F36" s="219" t="s">
        <v>617</v>
      </c>
      <c r="G36" s="205">
        <v>2</v>
      </c>
      <c r="H36" s="285" t="e">
        <f>VLOOKUP($F$12,#REF!,66,FALSE)</f>
        <v>#REF!</v>
      </c>
      <c r="I36" s="220" t="e">
        <f>IF(H72&gt;90,"4.00",IF(H72&gt;80,"3.50",IF(H72&gt;69,"3.00",IF(H72&gt;64,"2.50",IF(H72&gt;59,"2.00",IF(H72&gt;54,"1.50",IF(H72&gt;49,"1.00","0.00")))))))</f>
        <v>#REF!</v>
      </c>
      <c r="J36" s="303" t="e">
        <f>IF(H72&gt;90,"A",IF(H72&gt;80,"B+",IF(H72&gt;69,"B",IF(H72&gt;64,"C+",IF(H72&gt;59,"C",IF(H72&gt;54,"D+",IF(H72&gt;49,"D",IF(H72&gt;=0,"F"))))))))</f>
        <v>#REF!</v>
      </c>
      <c r="K36" s="286" t="e">
        <f>(I63*G63+I64*G64+I65*G65+I66*G66+I67*G67+I68*G68+I69*G69+I70*G70+G71*I71+I72*G72)/(G63+G64+G65+G66+G67+G68+G69+G70+G71+G72)</f>
        <v>#REF!</v>
      </c>
      <c r="L36" s="286" t="e">
        <f>(K52+K63)/2</f>
        <v>#REF!</v>
      </c>
      <c r="M36" s="181"/>
      <c r="N36" s="357"/>
      <c r="O36" s="357"/>
    </row>
    <row r="37" ht="30" customHeight="1" spans="1:15" x14ac:dyDescent="0.25">
      <c r="A37" s="203" t="s">
        <v>734</v>
      </c>
      <c r="B37" s="203" t="s">
        <v>735</v>
      </c>
      <c r="C37" s="210">
        <v>1</v>
      </c>
      <c r="D37" s="216" t="s">
        <v>736</v>
      </c>
      <c r="E37" s="221" t="s">
        <v>737</v>
      </c>
      <c r="F37" s="222" t="s">
        <v>737</v>
      </c>
      <c r="G37" s="195">
        <v>2</v>
      </c>
      <c r="H37" s="368" t="e">
        <f>VLOOKUP($F$12,#REF!,67,FALSE)</f>
        <v>#REF!</v>
      </c>
      <c r="I37" s="223" t="e">
        <f>IF(H73&gt;90,"4.00",IF(H73&gt;80,"3.50",IF(H73&gt;69,"3.00",IF(H73&gt;64,"2.50",IF(H73&gt;59,"2.00",IF(H73&gt;54,"1.50",IF(H73&gt;49,"1.00","0.00")))))))</f>
        <v>#REF!</v>
      </c>
      <c r="J37" s="210" t="e">
        <f>IF(H73&gt;90,"A",IF(H73&gt;80,"B+",IF(H73&gt;69,"B",IF(H73&gt;64,"C+",IF(H73&gt;59,"C",IF(H73&gt;54,"D+",IF(H73&gt;49,"D",IF(H73&gt;=0,"F"))))))))</f>
        <v>#REF!</v>
      </c>
      <c r="K37" s="369" t="e">
        <f>(I73*G73+I74*G74+I75*G75+I76*G76+I77*G77+I78*G78)/(G73+G74+G75+G76+G77+G78)</f>
        <v>#REF!</v>
      </c>
      <c r="L37" s="200" t="e">
        <f>(K73)</f>
        <v>#REF!</v>
      </c>
      <c r="M37" s="181"/>
      <c r="N37" s="161"/>
      <c r="O37" s="161"/>
    </row>
    <row r="38" ht="30" customHeight="1" spans="1:16" x14ac:dyDescent="0.25">
      <c r="A38" s="305" t="s">
        <v>734</v>
      </c>
      <c r="B38" s="305" t="s">
        <v>735</v>
      </c>
      <c r="C38" s="204">
        <v>2</v>
      </c>
      <c r="D38" s="204" t="s">
        <v>738</v>
      </c>
      <c r="E38" s="211" t="s">
        <v>739</v>
      </c>
      <c r="F38" s="212" t="s">
        <v>739</v>
      </c>
      <c r="G38" s="204">
        <v>2</v>
      </c>
      <c r="H38" s="282" t="e">
        <f>VLOOKUP($F$12,#REF!,68,FALSE)</f>
        <v>#REF!</v>
      </c>
      <c r="I38" s="208" t="e">
        <f>IF(H74&gt;90,"4.00",IF(H74&gt;80,"3.50",IF(H74&gt;69,"3.00",IF(H74&gt;64,"2.50",IF(H74&gt;59,"2.00",IF(H74&gt;54,"1.50",IF(H74&gt;49,"1.00","0.00")))))))</f>
        <v>#REF!</v>
      </c>
      <c r="J38" s="210" t="e">
        <f>IF(H74&gt;90,"A",IF(H74&gt;80,"B+",IF(H74&gt;69,"B",IF(H74&gt;64,"C+",IF(H74&gt;59,"C",IF(H74&gt;54,"D+",IF(H74&gt;49,"D",IF(H74&gt;=0,"F"))))))))</f>
        <v>#REF!</v>
      </c>
      <c r="K38" s="369" t="e">
        <f>(I73*G73+I74*G74+I75*G75+I76*G76+I77*G77+I78*G78)/(G73+G74+G75+G76+G77+G78)</f>
        <v>#REF!</v>
      </c>
      <c r="L38" s="209" t="e">
        <f>(K73)</f>
        <v>#REF!</v>
      </c>
      <c r="M38" s="181"/>
      <c r="N38" s="161"/>
      <c r="O38" s="161"/>
      <c r="P38" s="136"/>
    </row>
    <row r="39" ht="30" customHeight="1" spans="1:15" x14ac:dyDescent="0.25">
      <c r="A39" s="305" t="s">
        <v>734</v>
      </c>
      <c r="B39" s="305" t="s">
        <v>735</v>
      </c>
      <c r="C39" s="204">
        <v>3</v>
      </c>
      <c r="D39" s="204" t="s">
        <v>740</v>
      </c>
      <c r="E39" s="211" t="s">
        <v>719</v>
      </c>
      <c r="F39" s="212" t="s">
        <v>719</v>
      </c>
      <c r="G39" s="204">
        <v>2</v>
      </c>
      <c r="H39" s="282" t="e">
        <f>VLOOKUP($F$12,#REF!,69,FALSE)</f>
        <v>#REF!</v>
      </c>
      <c r="I39" s="208" t="e">
        <f>IF(H75&gt;90,"4.00",IF(H75&gt;80,"3.50",IF(H75&gt;69,"3.00",IF(H75&gt;64,"2.50",IF(H75&gt;59,"2.00",IF(H75&gt;54,"1.50",IF(H75&gt;49,"1.00","0.00")))))))</f>
        <v>#REF!</v>
      </c>
      <c r="J39" s="204" t="e">
        <f>IF(H75&gt;90,"A",IF(H75&gt;80,"B+",IF(H75&gt;69,"B",IF(H75&gt;64,"C+",IF(H75&gt;59,"C",IF(H75&gt;54,"D+",IF(H75&gt;49,"D",IF(H75&gt;=0,"F"))))))))</f>
        <v>#REF!</v>
      </c>
      <c r="K39" s="369" t="e">
        <f>(I73*G73+I74*G74+I75*G75+I76*G76+I77*G77+I78*G78)/(G73+G74+G75+G76+G77+G78)</f>
        <v>#REF!</v>
      </c>
      <c r="L39" s="209" t="e">
        <f>(K73)</f>
        <v>#REF!</v>
      </c>
      <c r="M39" s="181"/>
      <c r="N39" s="161"/>
      <c r="O39" s="161"/>
    </row>
    <row r="40" ht="30" customHeight="1" spans="1:15" x14ac:dyDescent="0.25">
      <c r="A40" s="305" t="s">
        <v>734</v>
      </c>
      <c r="B40" s="305" t="s">
        <v>735</v>
      </c>
      <c r="C40" s="210">
        <v>4</v>
      </c>
      <c r="D40" s="204" t="s">
        <v>741</v>
      </c>
      <c r="E40" s="211" t="s">
        <v>742</v>
      </c>
      <c r="F40" s="212" t="s">
        <v>742</v>
      </c>
      <c r="G40" s="204">
        <v>3</v>
      </c>
      <c r="H40" s="282" t="e">
        <f>VLOOKUP($F$12,#REF!,70,FALSE)</f>
        <v>#REF!</v>
      </c>
      <c r="I40" s="208" t="e">
        <f>IF(H76&gt;90,"4.00",IF(H76&gt;80,"3.50",IF(H76&gt;69,"3.00",IF(H76&gt;64,"2.50",IF(H76&gt;59,"2.00",IF(H76&gt;54,"1.50",IF(H76&gt;49,"1.00","0.00")))))))</f>
        <v>#REF!</v>
      </c>
      <c r="J40" s="204" t="e">
        <f>IF(H76&gt;90,"A",IF(H76&gt;80,"B+",IF(H76&gt;69,"B",IF(H76&gt;64,"C+",IF(H76&gt;59,"C",IF(H76&gt;54,"D+",IF(H76&gt;49,"D",IF(H76&gt;=0,"F"))))))))</f>
        <v>#REF!</v>
      </c>
      <c r="K40" s="369" t="e">
        <f>(I73*G73+I74*G74+I75*G75+I76*G76+I77*G77+I78*G78)/(G73+G74+G75+G76+G77+G78)</f>
        <v>#REF!</v>
      </c>
      <c r="L40" s="209" t="e">
        <f>(K73)</f>
        <v>#REF!</v>
      </c>
      <c r="M40" s="181"/>
      <c r="N40" s="161"/>
      <c r="O40" s="161"/>
    </row>
    <row r="41" ht="30" customHeight="1" spans="1:15" x14ac:dyDescent="0.25">
      <c r="A41" s="305" t="s">
        <v>734</v>
      </c>
      <c r="B41" s="305" t="s">
        <v>735</v>
      </c>
      <c r="C41" s="204">
        <v>5</v>
      </c>
      <c r="D41" s="204" t="s">
        <v>743</v>
      </c>
      <c r="E41" s="211" t="s">
        <v>744</v>
      </c>
      <c r="F41" s="212" t="s">
        <v>744</v>
      </c>
      <c r="G41" s="204">
        <v>3</v>
      </c>
      <c r="H41" s="282" t="e">
        <f>VLOOKUP($F$12,#REF!,71,FALSE)</f>
        <v>#REF!</v>
      </c>
      <c r="I41" s="208" t="e">
        <f>IF(H77&gt;90,"4.00",IF(H77&gt;80,"3.50",IF(H77&gt;69,"3.00",IF(H77&gt;64,"2.50",IF(H77&gt;59,"2.00",IF(H77&gt;54,"1.50",IF(H77&gt;49,"1.00","0.00")))))))</f>
        <v>#REF!</v>
      </c>
      <c r="J41" s="204" t="e">
        <f>IF(H77&gt;90,"A",IF(H77&gt;80,"B+",IF(H77&gt;69,"B",IF(H77&gt;64,"C+",IF(H77&gt;59,"C",IF(H77&gt;54,"D+",IF(H77&gt;49,"D",IF(H77&gt;=0,"F"))))))))</f>
        <v>#REF!</v>
      </c>
      <c r="K41" s="369" t="e">
        <f>(I73*G73+I74*G74+I75*G75+I76*G76+I77*G77+I78*G78)/(G73+G74+G75+G76+G77+G78)</f>
        <v>#REF!</v>
      </c>
      <c r="L41" s="209" t="e">
        <f>(K73)</f>
        <v>#REF!</v>
      </c>
      <c r="M41" s="181"/>
      <c r="N41" s="161"/>
      <c r="O41" s="161"/>
    </row>
    <row r="42" ht="30" customHeight="1" spans="1:13" x14ac:dyDescent="0.25">
      <c r="A42" s="305" t="s">
        <v>734</v>
      </c>
      <c r="B42" s="305" t="s">
        <v>735</v>
      </c>
      <c r="C42" s="204">
        <v>6</v>
      </c>
      <c r="D42" s="215" t="s">
        <v>745</v>
      </c>
      <c r="E42" s="218" t="s">
        <v>746</v>
      </c>
      <c r="F42" s="219" t="s">
        <v>746</v>
      </c>
      <c r="G42" s="284">
        <v>3</v>
      </c>
      <c r="H42" s="285" t="e">
        <f>VLOOKUP($F$12,#REF!,72,FALSE)</f>
        <v>#REF!</v>
      </c>
      <c r="I42" s="285" t="e">
        <f>IF(H78&gt;90,"4.00",IF(H78&gt;80,"3.50",IF(H78&gt;69,"3.00",IF(H78&gt;64,"2.50",IF(H78&gt;59,"2.00",IF(H78&gt;54,"1.50",IF(H78&gt;49,"1.00","0.00")))))))</f>
        <v>#REF!</v>
      </c>
      <c r="J42" s="210" t="e">
        <f>IF(H78&gt;90,"A",IF(H78&gt;80,"B+",IF(H78&gt;69,"B",IF(H78&gt;64,"C+",IF(H78&gt;59,"C",IF(H78&gt;54,"D+",IF(H78&gt;49,"D",IF(H78&gt;=0,"F"))))))))</f>
        <v>#REF!</v>
      </c>
      <c r="K42" s="369" t="e">
        <f>(I73*G73+I74*G74+I75*G75+I76*G76+I77*G77+I78*G78)/(G73+G74+G75+G76+G77+G78)</f>
        <v>#REF!</v>
      </c>
      <c r="L42" s="209" t="e">
        <f>(K73)</f>
        <v>#REF!</v>
      </c>
      <c r="M42" s="47"/>
    </row>
    <row r="43" ht="30" customHeight="1" spans="1:16" x14ac:dyDescent="0.25">
      <c r="A43" s="370"/>
      <c r="B43" s="193" t="s">
        <v>747</v>
      </c>
      <c r="C43" s="194">
        <v>1</v>
      </c>
      <c r="D43" s="371" t="s">
        <v>748</v>
      </c>
      <c r="E43" s="196" t="s">
        <v>727</v>
      </c>
      <c r="F43" s="197" t="s">
        <v>727</v>
      </c>
      <c r="G43" s="372">
        <v>2</v>
      </c>
      <c r="H43" s="372" t="e">
        <f>VLOOKUP($F$12,#REF!,74,FALSE)</f>
        <v>#REF!</v>
      </c>
      <c r="I43" s="223" t="e">
        <f>IF(H79&gt;90,"4.00",IF(H79&gt;80,"3.50",IF(H79&gt;69,"3.00",IF(H79&gt;64,"2.50",IF(H79&gt;59,"2.00",IF(H79&gt;54,"1.50",IF(H79&gt;49,"1.00","0.00")))))))</f>
        <v>#REF!</v>
      </c>
      <c r="J43" s="194" t="e">
        <f>IF(H79&gt;90,"A",IF(H79&gt;80,"B+",IF(H79&gt;69,"B",IF(H79&gt;64,"C+",IF(H79&gt;59,"C",IF(H79&gt;54,"D+",IF(H79&gt;49,"D",IF(H79&gt;=0,"F"))))))))</f>
        <v>#REF!</v>
      </c>
      <c r="K43" s="373" t="e">
        <f>(I79*G79+I80*G80+I81*G81+I82*G82)/(G79+G80+G81+G82)</f>
        <v>#REF!</v>
      </c>
      <c r="L43" s="209"/>
      <c r="M43" s="181"/>
      <c r="N43" s="161"/>
      <c r="O43" s="161"/>
      <c r="P43" s="201"/>
    </row>
    <row r="44" ht="30" customHeight="1" spans="1:16" x14ac:dyDescent="0.25">
      <c r="A44" s="370"/>
      <c r="B44" s="305" t="s">
        <v>747</v>
      </c>
      <c r="C44" s="204">
        <v>2</v>
      </c>
      <c r="D44" s="374" t="s">
        <v>749</v>
      </c>
      <c r="E44" s="211" t="s">
        <v>750</v>
      </c>
      <c r="F44" s="212" t="s">
        <v>750</v>
      </c>
      <c r="G44" s="375">
        <v>2</v>
      </c>
      <c r="H44" s="376" t="e">
        <f>VLOOKUP($F$12,#REF!,75,FALSE)</f>
        <v>#REF!</v>
      </c>
      <c r="I44" s="208" t="e">
        <f>IF(H80&gt;90,"4.00",IF(H80&gt;80,"3.50",IF(H80&gt;69,"3.00",IF(H80&gt;64,"2.50",IF(H80&gt;59,"2.00",IF(H80&gt;54,"1.50",IF(H80&gt;49,"1.00","0.00")))))))</f>
        <v>#REF!</v>
      </c>
      <c r="J44" s="204" t="e">
        <f>IF(H80&gt;90,"A",IF(H80&gt;80,"B+",IF(H80&gt;69,"B",IF(H80&gt;64,"C+",IF(H80&gt;59,"C",IF(H80&gt;54,"D+",IF(H80&gt;49,"D",IF(H80&gt;=0,"F"))))))))</f>
        <v>#REF!</v>
      </c>
      <c r="K44" s="369" t="e">
        <f>(I79*G79+I80*G80+I81*G81+I82*G82)/(G79+G80+G81+G82)</f>
        <v>#REF!</v>
      </c>
      <c r="L44" s="209"/>
      <c r="M44" s="181"/>
      <c r="N44" s="161"/>
      <c r="O44" s="161"/>
      <c r="P44" s="201"/>
    </row>
    <row r="45" ht="30" customHeight="1" spans="1:16" x14ac:dyDescent="0.25">
      <c r="A45" s="370"/>
      <c r="B45" s="305" t="s">
        <v>747</v>
      </c>
      <c r="C45" s="204">
        <v>3</v>
      </c>
      <c r="D45" s="374" t="s">
        <v>751</v>
      </c>
      <c r="E45" s="211" t="s">
        <v>731</v>
      </c>
      <c r="F45" s="212" t="s">
        <v>731</v>
      </c>
      <c r="G45" s="375">
        <v>2</v>
      </c>
      <c r="H45" s="375" t="e">
        <f>VLOOKUP($F$12,#REF!,76,FALSE)</f>
        <v>#REF!</v>
      </c>
      <c r="I45" s="208" t="e">
        <f>IF(H81&gt;90,"4.00",IF(H81&gt;80,"3.50",IF(H81&gt;69,"3.00",IF(H81&gt;64,"2.50",IF(H81&gt;59,"2.00",IF(H81&gt;54,"1.50",IF(H81&gt;49,"1.00","0.00")))))))</f>
        <v>#REF!</v>
      </c>
      <c r="J45" s="204" t="e">
        <f>IF(H81&gt;90,"A",IF(H81&gt;80,"B+",IF(H81&gt;69,"B",IF(H81&gt;64,"C+",IF(H81&gt;59,"C",IF(H81&gt;54,"D+",IF(H81&gt;49,"D",IF(H81&gt;=0,"F"))))))))</f>
        <v>#REF!</v>
      </c>
      <c r="K45" s="369" t="e">
        <f>(I79*G79+I80*G80+I81*G81+I82*G82)/(G79+G80+G81+G82)</f>
        <v>#REF!</v>
      </c>
      <c r="L45" s="209"/>
      <c r="M45" s="181"/>
      <c r="N45" s="161"/>
      <c r="O45" s="161"/>
      <c r="P45" s="201"/>
    </row>
    <row r="46" ht="30" customHeight="1" spans="1:15" x14ac:dyDescent="0.25">
      <c r="A46" s="370"/>
      <c r="B46" s="305" t="s">
        <v>747</v>
      </c>
      <c r="C46" s="215">
        <v>4</v>
      </c>
      <c r="D46" s="377"/>
      <c r="E46" s="213" t="s">
        <v>752</v>
      </c>
      <c r="F46" s="214" t="s">
        <v>752</v>
      </c>
      <c r="G46" s="376">
        <v>9</v>
      </c>
      <c r="H46" s="378" t="e">
        <f>VLOOKUP($F$12,#REF!,76,FALSE)</f>
        <v>#REF!</v>
      </c>
      <c r="I46" s="379" t="e">
        <f>IF(H82&gt;90,"4.00",IF(H82&gt;80,"3.50",IF(H82&gt;69,"3.00",IF(H82&gt;64,"2.50",IF(H82&gt;59,"2.00",IF(H82&gt;54,"1.50",IF(H82&gt;49,"1.00","0.00")))))))</f>
        <v>#REF!</v>
      </c>
      <c r="J46" s="216" t="e">
        <f>IF(H82&gt;90,"A",IF(H82&gt;80,"B+",IF(H82&gt;69,"B",IF(H82&gt;64,"C+",IF(H82&gt;59,"C",IF(H82&gt;54,"D+",IF(H82&gt;49,"D",IF(H82&gt;=0,"F"))))))))</f>
        <v>#REF!</v>
      </c>
      <c r="K46" s="369" t="e">
        <f>(I79*G79+I80*G80+I81*G81+I82*G82)/(G79+G80+G81+G82)</f>
        <v>#REF!</v>
      </c>
      <c r="L46" s="269"/>
      <c r="M46" s="181"/>
      <c r="N46" s="161"/>
      <c r="O46" s="161"/>
    </row>
    <row r="47" ht="30" customHeight="1" spans="1:13" x14ac:dyDescent="0.25">
      <c r="A47" s="288" t="s">
        <v>438</v>
      </c>
      <c r="B47" s="289" t="s">
        <v>438</v>
      </c>
      <c r="C47" s="289" t="s">
        <v>438</v>
      </c>
      <c r="D47" s="289" t="s">
        <v>438</v>
      </c>
      <c r="E47" s="289" t="s">
        <v>438</v>
      </c>
      <c r="F47" s="290" t="s">
        <v>438</v>
      </c>
      <c r="G47" s="291">
        <f>SUM(G16:G82)</f>
        <v>130</v>
      </c>
      <c r="H47" s="292"/>
      <c r="I47" s="293"/>
      <c r="J47" s="292" t="e">
        <f>IF(K83&gt;4,"A",IF(K83&gt;3.5,"B+",IF(K83&gt;3,"B",IF(K83&gt;2.5,"C+",IF(K83&gt;2,"C",IF(K83&gt;1.5,"D+",IF(K83&gt;1,"D",IF(K83&gt;0.5,"F"))))))))</f>
        <v>#REF!</v>
      </c>
      <c r="K47" s="294" t="e">
        <f>AVERAGE(L16:L78)</f>
        <v>#REF!</v>
      </c>
      <c r="L47" s="295" t="e">
        <f>AVERAGE(L16:L78)</f>
        <v>#REF!</v>
      </c>
      <c r="M47" s="296"/>
    </row>
    <row r="48" ht="24.75" customHeight="1" spans="1:9" x14ac:dyDescent="0.25">
      <c r="A48" s="136"/>
      <c r="B48" s="136"/>
      <c r="C48" s="136"/>
      <c r="D48" s="181"/>
      <c r="E48" s="181"/>
      <c r="F48" s="276"/>
      <c r="G48" s="136"/>
      <c r="H48" s="136"/>
      <c r="I48" s="136" t="s">
        <v>533</v>
      </c>
    </row>
    <row r="49" ht="22.5" customHeight="1" spans="1:9" x14ac:dyDescent="0.25">
      <c r="A49" s="150" t="s">
        <v>441</v>
      </c>
      <c r="B49" s="231"/>
      <c r="C49" s="142"/>
      <c r="D49" s="149"/>
      <c r="E49" s="149"/>
      <c r="F49" s="276"/>
      <c r="G49" s="136"/>
      <c r="H49" s="136"/>
      <c r="I49" s="150" t="s">
        <v>442</v>
      </c>
    </row>
    <row r="50" ht="22.5" customHeight="1" spans="1:10" x14ac:dyDescent="0.25">
      <c r="A50" s="150" t="s">
        <v>443</v>
      </c>
      <c r="B50" s="231"/>
      <c r="C50" s="142"/>
      <c r="D50" s="136"/>
      <c r="E50" s="136"/>
      <c r="F50" s="276"/>
      <c r="G50" s="136"/>
      <c r="H50" s="136"/>
      <c r="I50" s="232" t="s">
        <v>444</v>
      </c>
      <c r="J50" s="142"/>
    </row>
    <row r="51" ht="22.5" customHeight="1" spans="1:12" x14ac:dyDescent="0.25">
      <c r="A51" s="136"/>
      <c r="B51" s="233"/>
      <c r="C51" s="233"/>
      <c r="D51" s="233"/>
      <c r="E51" s="233"/>
      <c r="F51" s="234"/>
      <c r="G51" s="136"/>
      <c r="H51" s="136"/>
      <c r="I51" s="136"/>
      <c r="J51" s="180"/>
      <c r="K51" s="180"/>
      <c r="L51" s="180"/>
    </row>
    <row r="52" spans="1:12" x14ac:dyDescent="0.25">
      <c r="A52" s="136"/>
      <c r="B52" s="136"/>
      <c r="C52" s="136"/>
      <c r="D52" s="136"/>
      <c r="E52" s="136"/>
      <c r="F52" s="276"/>
      <c r="G52" s="136"/>
      <c r="H52" s="136"/>
      <c r="I52" s="136"/>
      <c r="J52" s="180"/>
      <c r="K52" s="180"/>
      <c r="L52" s="180"/>
    </row>
    <row r="53" spans="1:12" x14ac:dyDescent="0.25">
      <c r="A53" s="136"/>
      <c r="B53" s="136"/>
      <c r="C53" s="136"/>
      <c r="D53" s="136"/>
      <c r="E53" s="136"/>
      <c r="F53" s="276"/>
      <c r="G53" s="136"/>
      <c r="H53" s="136"/>
      <c r="I53" s="136"/>
      <c r="J53" s="235"/>
      <c r="K53" s="235"/>
      <c r="L53" s="235"/>
    </row>
    <row r="54" ht="30" customHeight="1" spans="1:43" s="202" customFormat="1" x14ac:dyDescent="0.25">
      <c r="A54" s="203" t="s">
        <v>535</v>
      </c>
      <c r="B54" s="305" t="s">
        <v>550</v>
      </c>
      <c r="C54" s="204">
        <v>7</v>
      </c>
      <c r="D54" s="204" t="s">
        <v>558</v>
      </c>
      <c r="E54" s="211" t="s">
        <v>559</v>
      </c>
      <c r="F54" s="212" t="s">
        <v>559</v>
      </c>
      <c r="G54" s="306">
        <v>2</v>
      </c>
      <c r="H54" s="282" t="e">
        <f>VLOOKUP($F$12,#REF!,43,FALSE)</f>
        <v>#REF!</v>
      </c>
      <c r="I54" s="223" t="e">
        <f>IF(H49&gt;90,"4.00",IF(H49&gt;80,"3.50",IF(H49&gt;69,"3.00",IF(H49&gt;64,"2.50",IF(H49&gt;59,"2.00",IF(H49&gt;54,"1.50",IF(H49&gt;49,"1.00","0.00")))))))</f>
        <v>#REF!</v>
      </c>
      <c r="J54" s="210" t="e">
        <f>IF(H49&gt;90,"A",IF(H49&gt;80,"B+",IF(H49&gt;69,"B",IF(H49&gt;64,"C+",IF(H49&gt;59,"C",IF(H49&gt;54,"D+",IF(H49&gt;49,"D",IF(H49&gt;=0,"F"))))))))</f>
        <v>#REF!</v>
      </c>
      <c r="K54" s="283" t="e">
        <f>(I43*G43+I44*G44+I45*G45+I46*G46+I47*G47+I48*G48+I49*G49+I50*G50+I51*G51)/(G43+G44+G45+G46+G47+G48+G49+G50+G51)</f>
        <v>#REF!</v>
      </c>
      <c r="L54" s="283" t="e">
        <f>(K33+K43)/2</f>
        <v>#REF!</v>
      </c>
      <c r="M54" s="181"/>
      <c r="N54" s="161"/>
      <c r="O54" s="161"/>
      <c r="P54" s="20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</row>
    <row r="55" ht="30" customHeight="1" spans="1:43" s="202" customFormat="1" x14ac:dyDescent="0.25">
      <c r="A55" s="203" t="s">
        <v>535</v>
      </c>
      <c r="B55" s="305" t="s">
        <v>550</v>
      </c>
      <c r="C55" s="210">
        <v>8</v>
      </c>
      <c r="D55" s="204" t="s">
        <v>560</v>
      </c>
      <c r="E55" s="211" t="s">
        <v>511</v>
      </c>
      <c r="F55" s="212" t="s">
        <v>511</v>
      </c>
      <c r="G55" s="204">
        <v>2</v>
      </c>
      <c r="H55" s="282" t="e">
        <f>VLOOKUP($F$12,#REF!,44,FALSE)</f>
        <v>#REF!</v>
      </c>
      <c r="I55" s="223" t="e">
        <f>IF(H50&gt;90,"4.00",IF(H50&gt;80,"3.50",IF(H50&gt;69,"3.00",IF(H50&gt;64,"2.50",IF(H50&gt;59,"2.00",IF(H50&gt;54,"1.50",IF(H50&gt;49,"1.00","0.00")))))))</f>
        <v>#REF!</v>
      </c>
      <c r="J55" s="210" t="e">
        <f>IF(H50&gt;90,"A",IF(H50&gt;80,"B+",IF(H50&gt;69,"B",IF(H50&gt;64,"C+",IF(H50&gt;59,"C",IF(H50&gt;54,"D+",IF(H50&gt;49,"D",IF(H50&gt;=0,"F"))))))))</f>
        <v>#REF!</v>
      </c>
      <c r="K55" s="283" t="e">
        <f>(I43*G43+I44*G44+I45*G45+I46*G46+I47*G47+I48*G48+I49*G49+I50*G50+I51*G51)/(G43+G44+G45+G46+G47+G48+G49+G50+G51)</f>
        <v>#REF!</v>
      </c>
      <c r="L55" s="283" t="e">
        <f>(K33+K43)/2</f>
        <v>#REF!</v>
      </c>
      <c r="M55" s="181"/>
      <c r="N55" s="161"/>
      <c r="O55" s="161"/>
      <c r="P55" s="20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</row>
    <row r="56" ht="30" customHeight="1" spans="1:43" s="202" customFormat="1" x14ac:dyDescent="0.25">
      <c r="A56" s="301" t="s">
        <v>535</v>
      </c>
      <c r="B56" s="307" t="s">
        <v>550</v>
      </c>
      <c r="C56" s="284">
        <v>9</v>
      </c>
      <c r="D56" s="284" t="s">
        <v>561</v>
      </c>
      <c r="E56" s="218" t="s">
        <v>562</v>
      </c>
      <c r="F56" s="219" t="s">
        <v>562</v>
      </c>
      <c r="G56" s="284">
        <v>2</v>
      </c>
      <c r="H56" s="285" t="e">
        <f>VLOOKUP($F$12,#REF!,45,FALSE)</f>
        <v>#REF!</v>
      </c>
      <c r="I56" s="285" t="e">
        <f>IF(H51&gt;90,"4.00",IF(H51&gt;80,"3.50",IF(H51&gt;69,"3.00",IF(H51&gt;64,"2.50",IF(H51&gt;59,"2.00",IF(H51&gt;54,"1.50",IF(H51&gt;49,"1.00","0.00")))))))</f>
        <v>#REF!</v>
      </c>
      <c r="J56" s="284" t="e">
        <f>IF(H51&gt;90,"A",IF(H51&gt;80,"B+",IF(H51&gt;69,"B",IF(H51&gt;64,"C+",IF(H51&gt;59,"C",IF(H51&gt;54,"D+",IF(H51&gt;49,"D",IF(H51&gt;=0,"F"))))))))</f>
        <v>#REF!</v>
      </c>
      <c r="K56" s="286" t="e">
        <f>(I43*G43+I44*G44+I45*G45+I46*G46+I47*G47+I48*G48+I49*G49+I50*G50+I51*G51)/(G43+G44+G45+G46+G47+G48+G49+G50+G51)</f>
        <v>#REF!</v>
      </c>
      <c r="L56" s="286" t="e">
        <f>(K33+K43)/2</f>
        <v>#REF!</v>
      </c>
      <c r="M56" s="181"/>
      <c r="N56" s="161"/>
      <c r="O56" s="161"/>
      <c r="P56" s="20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</row>
    <row r="57" ht="30" customHeight="1" spans="1:13" x14ac:dyDescent="0.25">
      <c r="A57" s="360" t="s">
        <v>642</v>
      </c>
      <c r="B57" s="193" t="s">
        <v>643</v>
      </c>
      <c r="C57" s="194">
        <v>1</v>
      </c>
      <c r="D57" s="194" t="s">
        <v>664</v>
      </c>
      <c r="E57" s="361" t="s">
        <v>665</v>
      </c>
      <c r="F57" s="362" t="s">
        <v>665</v>
      </c>
      <c r="G57" s="299">
        <v>3</v>
      </c>
      <c r="H57" s="287" t="e">
        <f>VLOOKUP($F$12,#REF!,46,FALSE)</f>
        <v>#REF!</v>
      </c>
      <c r="I57" s="340" t="e">
        <f>IF(H52&gt;90,"4.00",IF(H52&gt;80,"3.50",IF(H52&gt;69,"3.00",IF(H52&gt;64,"2.50",IF(H52&gt;59,"2.00",IF(H52&gt;54,"1.50",IF(H52&gt;49,"1.00","0.00")))))))</f>
        <v>#REF!</v>
      </c>
      <c r="J57" s="194" t="e">
        <f>IF(H52&gt;90,"A",IF(H52&gt;80,"B+",IF(H52&gt;69,"B",IF(H52&gt;64,"C+",IF(H52&gt;59,"C",IF(H52&gt;54,"D+",IF(H52&gt;49,"D",IF(H52&gt;=0,"F"))))))))</f>
        <v>#REF!</v>
      </c>
      <c r="K57" s="363" t="e">
        <f>(I52*G52+I53*G53+I54*G54+I55*G55+I56*G56+I57*G57+I58*G58+I59*G59+I60*G60+I61*G61+I62*G62)/(G52+G53+G54+G55+G56+G57+G58+G59+G60+G61+G62)</f>
        <v>#REF!</v>
      </c>
      <c r="L57" s="264" t="e">
        <f>(K52+K63)/2</f>
        <v>#REF!</v>
      </c>
      <c r="M57" s="181"/>
    </row>
    <row r="58" ht="30" customHeight="1" spans="1:13" x14ac:dyDescent="0.25">
      <c r="A58" s="364" t="s">
        <v>642</v>
      </c>
      <c r="B58" s="203" t="s">
        <v>643</v>
      </c>
      <c r="C58" s="210">
        <v>2</v>
      </c>
      <c r="D58" s="216" t="s">
        <v>666</v>
      </c>
      <c r="E58" s="221" t="s">
        <v>605</v>
      </c>
      <c r="F58" s="222" t="s">
        <v>605</v>
      </c>
      <c r="G58" s="358">
        <v>1</v>
      </c>
      <c r="H58" s="282" t="e">
        <f>VLOOKUP($F$12,#REF!,47,FALSE)</f>
        <v>#REF!</v>
      </c>
      <c r="I58" s="208" t="e">
        <f>IF(H53&gt;90,"4.00",IF(H53&gt;80,"3.50",IF(H53&gt;69,"3.00",IF(H53&gt;64,"2.50",IF(H53&gt;59,"2.00",IF(H53&gt;54,"1.50",IF(H53&gt;49,"1.00","0.00")))))))</f>
        <v>#REF!</v>
      </c>
      <c r="J58" s="204" t="e">
        <f>IF(H53&gt;90,"A",IF(H53&gt;80,"B+",IF(H53&gt;69,"B",IF(H53&gt;64,"C+",IF(H53&gt;59,"C",IF(H53&gt;54,"D+",IF(H53&gt;49,"D",IF(H53&gt;=0,"F"))))))))</f>
        <v>#REF!</v>
      </c>
      <c r="K58" s="353" t="e">
        <f>(I52*G52+I53*G53+I54*G54+I55*G55+I56*G56+I57*G57+I58*G58+I59*G59+I60*G60+I61*G61+I62*G62)/(G52+G53+G54+G55+G56+G57+G58+G59+G60+G61+G62)</f>
        <v>#REF!</v>
      </c>
      <c r="L58" s="304" t="e">
        <f>(K52+K63)/2</f>
        <v>#REF!</v>
      </c>
      <c r="M58" s="181"/>
    </row>
    <row r="59" ht="30" customHeight="1" spans="1:16" x14ac:dyDescent="0.25">
      <c r="A59" s="352" t="s">
        <v>642</v>
      </c>
      <c r="B59" s="305" t="s">
        <v>643</v>
      </c>
      <c r="C59" s="210">
        <v>3</v>
      </c>
      <c r="D59" s="204" t="s">
        <v>667</v>
      </c>
      <c r="E59" s="211" t="s">
        <v>603</v>
      </c>
      <c r="F59" s="212" t="s">
        <v>603</v>
      </c>
      <c r="G59" s="205">
        <v>2</v>
      </c>
      <c r="H59" s="282" t="e">
        <f>VLOOKUP($F$12,#REF!,48,FALSE)</f>
        <v>#REF!</v>
      </c>
      <c r="I59" s="208" t="e">
        <f>IF(H54&gt;90,"4.00",IF(H54&gt;80,"3.50",IF(H54&gt;69,"3.00",IF(H54&gt;64,"2.50",IF(H54&gt;59,"2.00",IF(H54&gt;54,"1.50",IF(H54&gt;49,"1.00","0.00")))))))</f>
        <v>#REF!</v>
      </c>
      <c r="J59" s="204" t="e">
        <f>IF(H54&gt;90,"A",IF(H54&gt;80,"B+",IF(H54&gt;69,"B",IF(H54&gt;64,"C+",IF(H54&gt;59,"C",IF(H54&gt;54,"D+",IF(H54&gt;49,"D",IF(H54&gt;=0,"F"))))))))</f>
        <v>#REF!</v>
      </c>
      <c r="K59" s="353" t="e">
        <f>(I52*G52+I53*G53+I54*G54+I55*G55+I56*G56+I57*G57+I58*G58+I59*G59+I60*G60+I61*G61+I62*G62)/(G52+G53+G54+G55+G56+G57+G58+G59+G60+G61+G62)</f>
        <v>#REF!</v>
      </c>
      <c r="L59" s="266" t="e">
        <f>(K52+K63)/2</f>
        <v>#REF!</v>
      </c>
      <c r="M59" s="181"/>
      <c r="N59" s="357"/>
      <c r="O59" s="357"/>
      <c r="P59" s="136"/>
    </row>
    <row r="60" ht="30" customHeight="1" spans="1:16" x14ac:dyDescent="0.25">
      <c r="A60" s="352" t="s">
        <v>642</v>
      </c>
      <c r="B60" s="305" t="s">
        <v>643</v>
      </c>
      <c r="C60" s="204">
        <v>4</v>
      </c>
      <c r="D60" s="204" t="s">
        <v>668</v>
      </c>
      <c r="E60" s="211" t="s">
        <v>669</v>
      </c>
      <c r="F60" s="212" t="s">
        <v>669</v>
      </c>
      <c r="G60" s="205">
        <v>1</v>
      </c>
      <c r="H60" s="282" t="e">
        <f>VLOOKUP($F$12,#REF!,49,FALSE)</f>
        <v>#REF!</v>
      </c>
      <c r="I60" s="208" t="e">
        <f>IF(H55&gt;90,"4.00",IF(H55&gt;80,"3.50",IF(H55&gt;69,"3.00",IF(H55&gt;64,"2.50",IF(H55&gt;59,"2.00",IF(H55&gt;54,"1.50",IF(H55&gt;49,"1.00","0.00")))))))</f>
        <v>#REF!</v>
      </c>
      <c r="J60" s="204" t="e">
        <f>IF(H55&gt;90,"A",IF(H55&gt;80,"B+",IF(H55&gt;69,"B",IF(H55&gt;64,"C+",IF(H55&gt;59,"C",IF(H55&gt;54,"D+",IF(H55&gt;49,"D",IF(H55&gt;=0,"F"))))))))</f>
        <v>#REF!</v>
      </c>
      <c r="K60" s="353" t="e">
        <f>(I52*G52+I53*G53+I54*G54+I55*G55+I56*G56+I57*G57+I58*G58+I59*G59+I60*G60+I61*G61+I62*G62)/(G52+G53+G54+G55+G56+G57+G58+G59+G60+G61+G62)</f>
        <v>#REF!</v>
      </c>
      <c r="L60" s="266" t="e">
        <f>(K52+K63)/2</f>
        <v>#REF!</v>
      </c>
      <c r="M60" s="181"/>
      <c r="N60" s="357"/>
      <c r="O60" s="357"/>
      <c r="P60" s="136"/>
    </row>
    <row r="61" ht="30" customHeight="1" spans="1:17" x14ac:dyDescent="0.25">
      <c r="A61" s="352" t="s">
        <v>642</v>
      </c>
      <c r="B61" s="305" t="s">
        <v>643</v>
      </c>
      <c r="C61" s="204">
        <v>5</v>
      </c>
      <c r="D61" s="204" t="s">
        <v>670</v>
      </c>
      <c r="E61" s="211" t="s">
        <v>671</v>
      </c>
      <c r="F61" s="212" t="s">
        <v>671</v>
      </c>
      <c r="G61" s="205">
        <v>1</v>
      </c>
      <c r="H61" s="282" t="e">
        <f>VLOOKUP($F$12,#REF!,50,FALSE)</f>
        <v>#REF!</v>
      </c>
      <c r="I61" s="208" t="e">
        <f>IF(H56&gt;90,"4.00",IF(H56&gt;80,"3.50",IF(H56&gt;69,"3.00",IF(H56&gt;64,"2.50",IF(H56&gt;59,"2.00",IF(H56&gt;54,"1.50",IF(H56&gt;49,"1.00","0.00")))))))</f>
        <v>#REF!</v>
      </c>
      <c r="J61" s="204" t="e">
        <f>IF(H56&gt;90,"A",IF(H56&gt;80,"B+",IF(H56&gt;69,"B",IF(H56&gt;64,"C+",IF(H56&gt;59,"C",IF(H56&gt;54,"D+",IF(H56&gt;49,"D",IF(H56&gt;=0,"F"))))))))</f>
        <v>#REF!</v>
      </c>
      <c r="K61" s="353" t="e">
        <f>(I52*G52+I53*G53+I54*G54+I55*G55+I56*G56+I57*G57+I58*G58+I59*G59+I60*G60+I61*G61+I62*G62)/(G52+G53+G54+G55+G56+G57+G58+G59+G60+G61+G62)</f>
        <v>#REF!</v>
      </c>
      <c r="L61" s="266" t="e">
        <f>(K52+K63)/2</f>
        <v>#REF!</v>
      </c>
      <c r="M61" s="181"/>
      <c r="N61" s="136"/>
      <c r="O61" s="136"/>
      <c r="P61" s="354"/>
      <c r="Q61" s="354"/>
    </row>
    <row r="62" ht="30" customHeight="1" spans="1:17" x14ac:dyDescent="0.25">
      <c r="A62" s="352" t="s">
        <v>642</v>
      </c>
      <c r="B62" s="305" t="s">
        <v>643</v>
      </c>
      <c r="C62" s="210">
        <v>6</v>
      </c>
      <c r="D62" s="204" t="s">
        <v>672</v>
      </c>
      <c r="E62" s="211" t="s">
        <v>673</v>
      </c>
      <c r="F62" s="212" t="s">
        <v>673</v>
      </c>
      <c r="G62" s="358">
        <v>1</v>
      </c>
      <c r="H62" s="282" t="e">
        <f>VLOOKUP($F$12,#REF!,51,FALSE)</f>
        <v>#REF!</v>
      </c>
      <c r="I62" s="208" t="e">
        <f>IF(H57&gt;90,"4.00",IF(H57&gt;80,"3.50",IF(H57&gt;69,"3.00",IF(H57&gt;64,"2.50",IF(H57&gt;59,"2.00",IF(H57&gt;54,"1.50",IF(H57&gt;49,"1.00","0.00")))))))</f>
        <v>#REF!</v>
      </c>
      <c r="J62" s="204" t="e">
        <f>IF(H57&gt;90,"A",IF(H57&gt;80,"B+",IF(H57&gt;69,"B",IF(H57&gt;64,"C+",IF(H57&gt;59,"C",IF(H57&gt;54,"D+",IF(H57&gt;49,"D",IF(H57&gt;=0,"F"))))))))</f>
        <v>#REF!</v>
      </c>
      <c r="K62" s="353" t="e">
        <f>(I52*G52+I53*G53+I54*G54+I55*G55+I56*G56+I57*G57+I58*G58+I59*G59+I60*G60+I61*G61+I62*G62)/(G52+G53+G54+G55+G56+G57+G58+G59+G60+G61+G62)</f>
        <v>#REF!</v>
      </c>
      <c r="L62" s="266" t="e">
        <f>(K52+K63)/2</f>
        <v>#REF!</v>
      </c>
      <c r="M62" s="181"/>
      <c r="N62" s="136"/>
      <c r="O62" s="136"/>
      <c r="P62" s="354"/>
      <c r="Q62" s="354"/>
    </row>
    <row r="63" ht="30" customHeight="1" spans="1:17" x14ac:dyDescent="0.25">
      <c r="A63" s="352" t="s">
        <v>642</v>
      </c>
      <c r="B63" s="305" t="s">
        <v>643</v>
      </c>
      <c r="C63" s="210">
        <v>7</v>
      </c>
      <c r="D63" s="204" t="s">
        <v>674</v>
      </c>
      <c r="E63" s="211" t="s">
        <v>675</v>
      </c>
      <c r="F63" s="212" t="s">
        <v>675</v>
      </c>
      <c r="G63" s="205">
        <v>1</v>
      </c>
      <c r="H63" s="282" t="e">
        <f>VLOOKUP($F$12,#REF!,52,FALSE)</f>
        <v>#REF!</v>
      </c>
      <c r="I63" s="208" t="e">
        <f>IF(H58&gt;90,"4.00",IF(H58&gt;80,"3.50",IF(H58&gt;69,"3.00",IF(H58&gt;64,"2.50",IF(H58&gt;59,"2.00",IF(H58&gt;54,"1.50",IF(H58&gt;49,"1.00","0.00")))))))</f>
        <v>#REF!</v>
      </c>
      <c r="J63" s="204" t="e">
        <f>IF(H58&gt;90,"A",IF(H58&gt;80,"B+",IF(H58&gt;69,"B",IF(H58&gt;64,"C+",IF(H58&gt;59,"C",IF(H58&gt;54,"D+",IF(H58&gt;49,"D",IF(H58&gt;=0,"F"))))))))</f>
        <v>#REF!</v>
      </c>
      <c r="K63" s="353" t="e">
        <f>(I52*G52+I53*G53+I54*G54+I55*G55+I56*G56+I57*G57+I58*G58+I59*G59+I60*G60+I61*G61+I62*G62)/(G52+G53+G54+G55+G56+G57+G58+G59+G60+G61+G62)</f>
        <v>#REF!</v>
      </c>
      <c r="L63" s="266" t="e">
        <f>(K52+K63)/2</f>
        <v>#REF!</v>
      </c>
      <c r="M63" s="181"/>
      <c r="N63" s="136"/>
      <c r="O63" s="136"/>
      <c r="P63" s="354"/>
      <c r="Q63" s="354"/>
    </row>
    <row r="64" ht="30" customHeight="1" spans="1:17" x14ac:dyDescent="0.25">
      <c r="A64" s="352" t="s">
        <v>642</v>
      </c>
      <c r="B64" s="305" t="s">
        <v>643</v>
      </c>
      <c r="C64" s="210">
        <v>8</v>
      </c>
      <c r="D64" s="216" t="s">
        <v>676</v>
      </c>
      <c r="E64" s="221" t="s">
        <v>677</v>
      </c>
      <c r="F64" s="222" t="s">
        <v>677</v>
      </c>
      <c r="G64" s="205">
        <v>2</v>
      </c>
      <c r="H64" s="282" t="e">
        <f>VLOOKUP($F$12,#REF!,53,FALSE)</f>
        <v>#REF!</v>
      </c>
      <c r="I64" s="208" t="e">
        <f>IF(H59&gt;90,"4.00",IF(H59&gt;80,"3.50",IF(H59&gt;69,"3.00",IF(H59&gt;64,"2.50",IF(H59&gt;59,"2.00",IF(H59&gt;54,"1.50",IF(H59&gt;49,"1.00","0.00")))))))</f>
        <v>#REF!</v>
      </c>
      <c r="J64" s="204" t="e">
        <f>IF(H59&gt;90,"A",IF(H59&gt;80,"B+",IF(H59&gt;69,"B",IF(H59&gt;64,"C+",IF(H59&gt;59,"C",IF(H59&gt;54,"D+",IF(H59&gt;49,"D",IF(H59&gt;=0,"F"))))))))</f>
        <v>#REF!</v>
      </c>
      <c r="K64" s="353" t="e">
        <f>(I52*G52+I53*G53+I54*G54+I55*G55+I56*G56+I57*G57+I58*G58+I59*G59+I60*G60+I61*G61+I62*G62)/(G52+G53+G54+G55+G56+G57+G58+G59+G60+G61+G62)</f>
        <v>#REF!</v>
      </c>
      <c r="L64" s="266" t="e">
        <f>(K52+K63)/2</f>
        <v>#REF!</v>
      </c>
      <c r="M64" s="181"/>
      <c r="N64" s="136"/>
      <c r="O64" s="136"/>
      <c r="P64" s="354"/>
      <c r="Q64" s="354"/>
    </row>
    <row r="65" ht="30" customHeight="1" spans="1:17" x14ac:dyDescent="0.25">
      <c r="A65" s="352" t="s">
        <v>642</v>
      </c>
      <c r="B65" s="305" t="s">
        <v>643</v>
      </c>
      <c r="C65" s="204">
        <v>9</v>
      </c>
      <c r="D65" s="204" t="s">
        <v>678</v>
      </c>
      <c r="E65" s="211" t="s">
        <v>662</v>
      </c>
      <c r="F65" s="212" t="s">
        <v>662</v>
      </c>
      <c r="G65" s="205">
        <v>2</v>
      </c>
      <c r="H65" s="282" t="e">
        <f>VLOOKUP($F$12,#REF!,54,FALSE)</f>
        <v>#REF!</v>
      </c>
      <c r="I65" s="208" t="e">
        <f>IF(H60&gt;90,"4.00",IF(H60&gt;80,"3.50",IF(H60&gt;69,"3.00",IF(H60&gt;64,"2.50",IF(H60&gt;59,"2.00",IF(H60&gt;54,"1.50",IF(H60&gt;49,"1.00","0.00")))))))</f>
        <v>#REF!</v>
      </c>
      <c r="J65" s="204" t="e">
        <f>IF(H60&gt;90,"A",IF(H60&gt;80,"B+",IF(H60&gt;69,"B",IF(H60&gt;64,"C+",IF(H60&gt;59,"C",IF(H60&gt;54,"D+",IF(H60&gt;49,"D",IF(H60&gt;=0,"F"))))))))</f>
        <v>#REF!</v>
      </c>
      <c r="K65" s="353" t="e">
        <f>(I52*G52+I53*G53+I54*G54+I55*G55+I56*G56+I57*G57+I58*G58+I59*G59+I60*G60+I61*G61+I62*G62)/(G52+G53+G54+G55+G56+G57+G58+G59+G60+G61+G62)</f>
        <v>#REF!</v>
      </c>
      <c r="L65" s="266" t="e">
        <f>(K52+K63)/2</f>
        <v>#REF!</v>
      </c>
      <c r="M65" s="181"/>
      <c r="N65" s="136"/>
      <c r="O65" s="136"/>
      <c r="P65" s="354"/>
      <c r="Q65" s="354"/>
    </row>
  </sheetData>
  <mergeCells count="1">
    <mergeCell ref="A1:X15"/>
  </mergeCells>
  <printOptions horizontalCentered="1"/>
  <pageMargins left="0.7" right="0.7" top="0.75" bottom="0.75" header="0.3" footer="0.3"/>
  <pageSetup paperSize="9" orientation="portrait" horizontalDpi="0" verticalDpi="0" scale="38" fitToWidth="1" fitToHeight="1" firstPageNumber="1" useFirstPageNumber="1" copies="1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5"/>
  <sheetViews>
    <sheetView workbookViewId="0">
      <selection activeCell="A1" sqref="A1"/>
    </sheetView>
  </sheetViews>
  <sheetFormatPr defaultRowHeight="14" outlineLevelRow="0" outlineLevelCol="0" x14ac:dyDescent="0" defaultColWidth="8.83203125" customHeight="1"/>
  <cols>
    <col min="1" max="1" width="6.5" style="136" customWidth="1"/>
    <col min="2" max="2" width="7.33203125" style="136" customWidth="1"/>
    <col min="3" max="3" width="4.5" style="136" customWidth="1"/>
    <col min="4" max="4" width="2.33203125" style="136" customWidth="1"/>
    <col min="5" max="5" width="22.33203125" style="136" customWidth="1"/>
    <col min="6" max="6" width="8.5" style="136" customWidth="1"/>
    <col min="7" max="7" width="8" style="136" customWidth="1"/>
    <col min="8" max="8" width="8.6640625" style="136" customWidth="1"/>
    <col min="9" max="9" width="8.33203125" style="136" customWidth="1"/>
    <col min="10" max="11" width="6.5" style="136" customWidth="1"/>
    <col min="12" max="12" width="9.1640625" style="136" customWidth="1"/>
    <col min="13" max="13" width="10.5" style="136" customWidth="1"/>
    <col min="14" max="14" width="22.1640625" style="136" customWidth="1"/>
    <col min="15" max="15" width="9.1640625" style="137" customWidth="1"/>
    <col min="16" max="255" width="9.1640625" style="136" customWidth="1"/>
    <col min="256" max="256" width="6.33203125" style="136" customWidth="1"/>
    <col min="257" max="258" width="5.5" style="136" customWidth="1"/>
    <col min="259" max="259" width="11.5" style="136" customWidth="1"/>
    <col min="260" max="260" width="2.33203125" style="136" customWidth="1"/>
    <col min="261" max="261" width="29.6640625" style="136" customWidth="1"/>
    <col min="262" max="262" width="10.1640625" style="136" customWidth="1"/>
    <col min="263" max="263" width="8" style="136" customWidth="1"/>
    <col min="264" max="264" width="8.6640625" style="136" customWidth="1"/>
    <col min="265" max="265" width="8.33203125" style="136" customWidth="1"/>
    <col min="266" max="266" width="8" style="136" customWidth="1"/>
    <col min="267" max="267" width="9.33203125" style="136" customWidth="1"/>
    <col min="268" max="268" width="9.1640625" style="136" customWidth="1"/>
    <col min="269" max="269" width="10.5" style="136" customWidth="1"/>
    <col min="270" max="270" width="22.1640625" style="136" customWidth="1"/>
    <col min="271" max="511" width="9.1640625" style="136" customWidth="1"/>
    <col min="512" max="512" width="6.33203125" style="136" customWidth="1"/>
    <col min="513" max="514" width="5.5" style="136" customWidth="1"/>
    <col min="515" max="515" width="11.5" style="136" customWidth="1"/>
    <col min="516" max="516" width="2.33203125" style="136" customWidth="1"/>
    <col min="517" max="517" width="29.6640625" style="136" customWidth="1"/>
    <col min="518" max="518" width="10.1640625" style="136" customWidth="1"/>
    <col min="519" max="519" width="8" style="136" customWidth="1"/>
    <col min="520" max="520" width="8.6640625" style="136" customWidth="1"/>
    <col min="521" max="521" width="8.33203125" style="136" customWidth="1"/>
    <col min="522" max="522" width="8" style="136" customWidth="1"/>
    <col min="523" max="523" width="9.33203125" style="136" customWidth="1"/>
    <col min="524" max="524" width="9.1640625" style="136" customWidth="1"/>
    <col min="525" max="525" width="10.5" style="136" customWidth="1"/>
    <col min="526" max="526" width="22.1640625" style="136" customWidth="1"/>
    <col min="527" max="767" width="9.1640625" style="136" customWidth="1"/>
    <col min="768" max="768" width="6.33203125" style="136" customWidth="1"/>
    <col min="769" max="770" width="5.5" style="136" customWidth="1"/>
    <col min="771" max="771" width="11.5" style="136" customWidth="1"/>
    <col min="772" max="772" width="2.33203125" style="136" customWidth="1"/>
    <col min="773" max="773" width="29.6640625" style="136" customWidth="1"/>
    <col min="774" max="774" width="10.1640625" style="136" customWidth="1"/>
    <col min="775" max="775" width="8" style="136" customWidth="1"/>
    <col min="776" max="776" width="8.6640625" style="136" customWidth="1"/>
    <col min="777" max="777" width="8.33203125" style="136" customWidth="1"/>
    <col min="778" max="778" width="8" style="136" customWidth="1"/>
    <col min="779" max="779" width="9.33203125" style="136" customWidth="1"/>
    <col min="780" max="780" width="9.1640625" style="136" customWidth="1"/>
    <col min="781" max="781" width="10.5" style="136" customWidth="1"/>
    <col min="782" max="782" width="22.1640625" style="136" customWidth="1"/>
    <col min="783" max="1023" width="9.1640625" style="136" customWidth="1"/>
    <col min="1024" max="1024" width="6.33203125" style="136" customWidth="1"/>
    <col min="1025" max="1026" width="5.5" style="136" customWidth="1"/>
    <col min="1027" max="1027" width="11.5" style="136" customWidth="1"/>
    <col min="1028" max="1028" width="2.33203125" style="136" customWidth="1"/>
    <col min="1029" max="1029" width="29.6640625" style="136" customWidth="1"/>
    <col min="1030" max="1030" width="10.1640625" style="136" customWidth="1"/>
    <col min="1031" max="1031" width="8" style="136" customWidth="1"/>
    <col min="1032" max="1032" width="8.6640625" style="136" customWidth="1"/>
    <col min="1033" max="1033" width="8.33203125" style="136" customWidth="1"/>
    <col min="1034" max="1034" width="8" style="136" customWidth="1"/>
    <col min="1035" max="1035" width="9.33203125" style="136" customWidth="1"/>
    <col min="1036" max="1036" width="9.1640625" style="136" customWidth="1"/>
    <col min="1037" max="1037" width="10.5" style="136" customWidth="1"/>
    <col min="1038" max="1038" width="22.1640625" style="136" customWidth="1"/>
    <col min="1039" max="1279" width="9.1640625" style="136" customWidth="1"/>
    <col min="1280" max="1280" width="6.33203125" style="136" customWidth="1"/>
    <col min="1281" max="1282" width="5.5" style="136" customWidth="1"/>
    <col min="1283" max="1283" width="11.5" style="136" customWidth="1"/>
    <col min="1284" max="1284" width="2.33203125" style="136" customWidth="1"/>
    <col min="1285" max="1285" width="29.6640625" style="136" customWidth="1"/>
    <col min="1286" max="1286" width="10.1640625" style="136" customWidth="1"/>
    <col min="1287" max="1287" width="8" style="136" customWidth="1"/>
    <col min="1288" max="1288" width="8.6640625" style="136" customWidth="1"/>
    <col min="1289" max="1289" width="8.33203125" style="136" customWidth="1"/>
    <col min="1290" max="1290" width="8" style="136" customWidth="1"/>
    <col min="1291" max="1291" width="9.33203125" style="136" customWidth="1"/>
    <col min="1292" max="1292" width="9.1640625" style="136" customWidth="1"/>
    <col min="1293" max="1293" width="10.5" style="136" customWidth="1"/>
    <col min="1294" max="1294" width="22.1640625" style="136" customWidth="1"/>
    <col min="1295" max="1535" width="9.1640625" style="136" customWidth="1"/>
    <col min="1536" max="1536" width="6.33203125" style="136" customWidth="1"/>
    <col min="1537" max="1538" width="5.5" style="136" customWidth="1"/>
    <col min="1539" max="1539" width="11.5" style="136" customWidth="1"/>
    <col min="1540" max="1540" width="2.33203125" style="136" customWidth="1"/>
    <col min="1541" max="1541" width="29.6640625" style="136" customWidth="1"/>
    <col min="1542" max="1542" width="10.1640625" style="136" customWidth="1"/>
    <col min="1543" max="1543" width="8" style="136" customWidth="1"/>
    <col min="1544" max="1544" width="8.6640625" style="136" customWidth="1"/>
    <col min="1545" max="1545" width="8.33203125" style="136" customWidth="1"/>
    <col min="1546" max="1546" width="8" style="136" customWidth="1"/>
    <col min="1547" max="1547" width="9.33203125" style="136" customWidth="1"/>
    <col min="1548" max="1548" width="9.1640625" style="136" customWidth="1"/>
    <col min="1549" max="1549" width="10.5" style="136" customWidth="1"/>
    <col min="1550" max="1550" width="22.1640625" style="136" customWidth="1"/>
    <col min="1551" max="1791" width="9.1640625" style="136" customWidth="1"/>
    <col min="1792" max="1792" width="6.33203125" style="136" customWidth="1"/>
    <col min="1793" max="1794" width="5.5" style="136" customWidth="1"/>
    <col min="1795" max="1795" width="11.5" style="136" customWidth="1"/>
    <col min="1796" max="1796" width="2.33203125" style="136" customWidth="1"/>
    <col min="1797" max="1797" width="29.6640625" style="136" customWidth="1"/>
    <col min="1798" max="1798" width="10.1640625" style="136" customWidth="1"/>
    <col min="1799" max="1799" width="8" style="136" customWidth="1"/>
    <col min="1800" max="1800" width="8.6640625" style="136" customWidth="1"/>
    <col min="1801" max="1801" width="8.33203125" style="136" customWidth="1"/>
    <col min="1802" max="1802" width="8" style="136" customWidth="1"/>
    <col min="1803" max="1803" width="9.33203125" style="136" customWidth="1"/>
    <col min="1804" max="1804" width="9.1640625" style="136" customWidth="1"/>
    <col min="1805" max="1805" width="10.5" style="136" customWidth="1"/>
    <col min="1806" max="1806" width="22.1640625" style="136" customWidth="1"/>
    <col min="1807" max="2047" width="9.1640625" style="136" customWidth="1"/>
    <col min="2048" max="2048" width="6.33203125" style="136" customWidth="1"/>
    <col min="2049" max="2050" width="5.5" style="136" customWidth="1"/>
    <col min="2051" max="2051" width="11.5" style="136" customWidth="1"/>
    <col min="2052" max="2052" width="2.33203125" style="136" customWidth="1"/>
    <col min="2053" max="2053" width="29.6640625" style="136" customWidth="1"/>
    <col min="2054" max="2054" width="10.1640625" style="136" customWidth="1"/>
    <col min="2055" max="2055" width="8" style="136" customWidth="1"/>
    <col min="2056" max="2056" width="8.6640625" style="136" customWidth="1"/>
    <col min="2057" max="2057" width="8.33203125" style="136" customWidth="1"/>
    <col min="2058" max="2058" width="8" style="136" customWidth="1"/>
    <col min="2059" max="2059" width="9.33203125" style="136" customWidth="1"/>
    <col min="2060" max="2060" width="9.1640625" style="136" customWidth="1"/>
    <col min="2061" max="2061" width="10.5" style="136" customWidth="1"/>
    <col min="2062" max="2062" width="22.1640625" style="136" customWidth="1"/>
    <col min="2063" max="2303" width="9.1640625" style="136" customWidth="1"/>
    <col min="2304" max="2304" width="6.33203125" style="136" customWidth="1"/>
    <col min="2305" max="2306" width="5.5" style="136" customWidth="1"/>
    <col min="2307" max="2307" width="11.5" style="136" customWidth="1"/>
    <col min="2308" max="2308" width="2.33203125" style="136" customWidth="1"/>
    <col min="2309" max="2309" width="29.6640625" style="136" customWidth="1"/>
    <col min="2310" max="2310" width="10.1640625" style="136" customWidth="1"/>
    <col min="2311" max="2311" width="8" style="136" customWidth="1"/>
    <col min="2312" max="2312" width="8.6640625" style="136" customWidth="1"/>
    <col min="2313" max="2313" width="8.33203125" style="136" customWidth="1"/>
    <col min="2314" max="2314" width="8" style="136" customWidth="1"/>
    <col min="2315" max="2315" width="9.33203125" style="136" customWidth="1"/>
    <col min="2316" max="2316" width="9.1640625" style="136" customWidth="1"/>
    <col min="2317" max="2317" width="10.5" style="136" customWidth="1"/>
    <col min="2318" max="2318" width="22.1640625" style="136" customWidth="1"/>
    <col min="2319" max="2559" width="9.1640625" style="136" customWidth="1"/>
    <col min="2560" max="2560" width="6.33203125" style="136" customWidth="1"/>
    <col min="2561" max="2562" width="5.5" style="136" customWidth="1"/>
    <col min="2563" max="2563" width="11.5" style="136" customWidth="1"/>
    <col min="2564" max="2564" width="2.33203125" style="136" customWidth="1"/>
    <col min="2565" max="2565" width="29.6640625" style="136" customWidth="1"/>
    <col min="2566" max="2566" width="10.1640625" style="136" customWidth="1"/>
    <col min="2567" max="2567" width="8" style="136" customWidth="1"/>
    <col min="2568" max="2568" width="8.6640625" style="136" customWidth="1"/>
    <col min="2569" max="2569" width="8.33203125" style="136" customWidth="1"/>
    <col min="2570" max="2570" width="8" style="136" customWidth="1"/>
    <col min="2571" max="2571" width="9.33203125" style="136" customWidth="1"/>
    <col min="2572" max="2572" width="9.1640625" style="136" customWidth="1"/>
    <col min="2573" max="2573" width="10.5" style="136" customWidth="1"/>
    <col min="2574" max="2574" width="22.1640625" style="136" customWidth="1"/>
    <col min="2575" max="2815" width="9.1640625" style="136" customWidth="1"/>
    <col min="2816" max="2816" width="6.33203125" style="136" customWidth="1"/>
    <col min="2817" max="2818" width="5.5" style="136" customWidth="1"/>
    <col min="2819" max="2819" width="11.5" style="136" customWidth="1"/>
    <col min="2820" max="2820" width="2.33203125" style="136" customWidth="1"/>
    <col min="2821" max="2821" width="29.6640625" style="136" customWidth="1"/>
    <col min="2822" max="2822" width="10.1640625" style="136" customWidth="1"/>
    <col min="2823" max="2823" width="8" style="136" customWidth="1"/>
    <col min="2824" max="2824" width="8.6640625" style="136" customWidth="1"/>
    <col min="2825" max="2825" width="8.33203125" style="136" customWidth="1"/>
    <col min="2826" max="2826" width="8" style="136" customWidth="1"/>
    <col min="2827" max="2827" width="9.33203125" style="136" customWidth="1"/>
    <col min="2828" max="2828" width="9.1640625" style="136" customWidth="1"/>
    <col min="2829" max="2829" width="10.5" style="136" customWidth="1"/>
    <col min="2830" max="2830" width="22.1640625" style="136" customWidth="1"/>
    <col min="2831" max="3071" width="9.1640625" style="136" customWidth="1"/>
    <col min="3072" max="3072" width="6.33203125" style="136" customWidth="1"/>
    <col min="3073" max="3074" width="5.5" style="136" customWidth="1"/>
    <col min="3075" max="3075" width="11.5" style="136" customWidth="1"/>
    <col min="3076" max="3076" width="2.33203125" style="136" customWidth="1"/>
    <col min="3077" max="3077" width="29.6640625" style="136" customWidth="1"/>
    <col min="3078" max="3078" width="10.1640625" style="136" customWidth="1"/>
    <col min="3079" max="3079" width="8" style="136" customWidth="1"/>
    <col min="3080" max="3080" width="8.6640625" style="136" customWidth="1"/>
    <col min="3081" max="3081" width="8.33203125" style="136" customWidth="1"/>
    <col min="3082" max="3082" width="8" style="136" customWidth="1"/>
    <col min="3083" max="3083" width="9.33203125" style="136" customWidth="1"/>
    <col min="3084" max="3084" width="9.1640625" style="136" customWidth="1"/>
    <col min="3085" max="3085" width="10.5" style="136" customWidth="1"/>
    <col min="3086" max="3086" width="22.1640625" style="136" customWidth="1"/>
    <col min="3087" max="3327" width="9.1640625" style="136" customWidth="1"/>
    <col min="3328" max="3328" width="6.33203125" style="136" customWidth="1"/>
    <col min="3329" max="3330" width="5.5" style="136" customWidth="1"/>
    <col min="3331" max="3331" width="11.5" style="136" customWidth="1"/>
    <col min="3332" max="3332" width="2.33203125" style="136" customWidth="1"/>
    <col min="3333" max="3333" width="29.6640625" style="136" customWidth="1"/>
    <col min="3334" max="3334" width="10.1640625" style="136" customWidth="1"/>
    <col min="3335" max="3335" width="8" style="136" customWidth="1"/>
    <col min="3336" max="3336" width="8.6640625" style="136" customWidth="1"/>
    <col min="3337" max="3337" width="8.33203125" style="136" customWidth="1"/>
    <col min="3338" max="3338" width="8" style="136" customWidth="1"/>
    <col min="3339" max="3339" width="9.33203125" style="136" customWidth="1"/>
    <col min="3340" max="3340" width="9.1640625" style="136" customWidth="1"/>
    <col min="3341" max="3341" width="10.5" style="136" customWidth="1"/>
    <col min="3342" max="3342" width="22.1640625" style="136" customWidth="1"/>
    <col min="3343" max="3583" width="9.1640625" style="136" customWidth="1"/>
    <col min="3584" max="3584" width="6.33203125" style="136" customWidth="1"/>
    <col min="3585" max="3586" width="5.5" style="136" customWidth="1"/>
    <col min="3587" max="3587" width="11.5" style="136" customWidth="1"/>
    <col min="3588" max="3588" width="2.33203125" style="136" customWidth="1"/>
    <col min="3589" max="3589" width="29.6640625" style="136" customWidth="1"/>
    <col min="3590" max="3590" width="10.1640625" style="136" customWidth="1"/>
    <col min="3591" max="3591" width="8" style="136" customWidth="1"/>
    <col min="3592" max="3592" width="8.6640625" style="136" customWidth="1"/>
    <col min="3593" max="3593" width="8.33203125" style="136" customWidth="1"/>
    <col min="3594" max="3594" width="8" style="136" customWidth="1"/>
    <col min="3595" max="3595" width="9.33203125" style="136" customWidth="1"/>
    <col min="3596" max="3596" width="9.1640625" style="136" customWidth="1"/>
    <col min="3597" max="3597" width="10.5" style="136" customWidth="1"/>
    <col min="3598" max="3598" width="22.1640625" style="136" customWidth="1"/>
    <col min="3599" max="3839" width="9.1640625" style="136" customWidth="1"/>
    <col min="3840" max="3840" width="6.33203125" style="136" customWidth="1"/>
    <col min="3841" max="3842" width="5.5" style="136" customWidth="1"/>
    <col min="3843" max="3843" width="11.5" style="136" customWidth="1"/>
    <col min="3844" max="3844" width="2.33203125" style="136" customWidth="1"/>
    <col min="3845" max="3845" width="29.6640625" style="136" customWidth="1"/>
    <col min="3846" max="3846" width="10.1640625" style="136" customWidth="1"/>
    <col min="3847" max="3847" width="8" style="136" customWidth="1"/>
    <col min="3848" max="3848" width="8.6640625" style="136" customWidth="1"/>
    <col min="3849" max="3849" width="8.33203125" style="136" customWidth="1"/>
    <col min="3850" max="3850" width="8" style="136" customWidth="1"/>
    <col min="3851" max="3851" width="9.33203125" style="136" customWidth="1"/>
    <col min="3852" max="3852" width="9.1640625" style="136" customWidth="1"/>
    <col min="3853" max="3853" width="10.5" style="136" customWidth="1"/>
    <col min="3854" max="3854" width="22.1640625" style="136" customWidth="1"/>
    <col min="3855" max="4095" width="9.1640625" style="136" customWidth="1"/>
    <col min="4096" max="4096" width="6.33203125" style="136" customWidth="1"/>
    <col min="4097" max="4098" width="5.5" style="136" customWidth="1"/>
    <col min="4099" max="4099" width="11.5" style="136" customWidth="1"/>
    <col min="4100" max="4100" width="2.33203125" style="136" customWidth="1"/>
    <col min="4101" max="4101" width="29.6640625" style="136" customWidth="1"/>
    <col min="4102" max="4102" width="10.1640625" style="136" customWidth="1"/>
    <col min="4103" max="4103" width="8" style="136" customWidth="1"/>
    <col min="4104" max="4104" width="8.6640625" style="136" customWidth="1"/>
    <col min="4105" max="4105" width="8.33203125" style="136" customWidth="1"/>
    <col min="4106" max="4106" width="8" style="136" customWidth="1"/>
    <col min="4107" max="4107" width="9.33203125" style="136" customWidth="1"/>
    <col min="4108" max="4108" width="9.1640625" style="136" customWidth="1"/>
    <col min="4109" max="4109" width="10.5" style="136" customWidth="1"/>
    <col min="4110" max="4110" width="22.1640625" style="136" customWidth="1"/>
    <col min="4111" max="4351" width="9.1640625" style="136" customWidth="1"/>
    <col min="4352" max="4352" width="6.33203125" style="136" customWidth="1"/>
    <col min="4353" max="4354" width="5.5" style="136" customWidth="1"/>
    <col min="4355" max="4355" width="11.5" style="136" customWidth="1"/>
    <col min="4356" max="4356" width="2.33203125" style="136" customWidth="1"/>
    <col min="4357" max="4357" width="29.6640625" style="136" customWidth="1"/>
    <col min="4358" max="4358" width="10.1640625" style="136" customWidth="1"/>
    <col min="4359" max="4359" width="8" style="136" customWidth="1"/>
    <col min="4360" max="4360" width="8.6640625" style="136" customWidth="1"/>
    <col min="4361" max="4361" width="8.33203125" style="136" customWidth="1"/>
    <col min="4362" max="4362" width="8" style="136" customWidth="1"/>
    <col min="4363" max="4363" width="9.33203125" style="136" customWidth="1"/>
    <col min="4364" max="4364" width="9.1640625" style="136" customWidth="1"/>
    <col min="4365" max="4365" width="10.5" style="136" customWidth="1"/>
    <col min="4366" max="4366" width="22.1640625" style="136" customWidth="1"/>
    <col min="4367" max="4607" width="9.1640625" style="136" customWidth="1"/>
    <col min="4608" max="4608" width="6.33203125" style="136" customWidth="1"/>
    <col min="4609" max="4610" width="5.5" style="136" customWidth="1"/>
    <col min="4611" max="4611" width="11.5" style="136" customWidth="1"/>
    <col min="4612" max="4612" width="2.33203125" style="136" customWidth="1"/>
    <col min="4613" max="4613" width="29.6640625" style="136" customWidth="1"/>
    <col min="4614" max="4614" width="10.1640625" style="136" customWidth="1"/>
    <col min="4615" max="4615" width="8" style="136" customWidth="1"/>
    <col min="4616" max="4616" width="8.6640625" style="136" customWidth="1"/>
    <col min="4617" max="4617" width="8.33203125" style="136" customWidth="1"/>
    <col min="4618" max="4618" width="8" style="136" customWidth="1"/>
    <col min="4619" max="4619" width="9.33203125" style="136" customWidth="1"/>
    <col min="4620" max="4620" width="9.1640625" style="136" customWidth="1"/>
    <col min="4621" max="4621" width="10.5" style="136" customWidth="1"/>
    <col min="4622" max="4622" width="22.1640625" style="136" customWidth="1"/>
    <col min="4623" max="4863" width="9.1640625" style="136" customWidth="1"/>
    <col min="4864" max="4864" width="6.33203125" style="136" customWidth="1"/>
    <col min="4865" max="4866" width="5.5" style="136" customWidth="1"/>
    <col min="4867" max="4867" width="11.5" style="136" customWidth="1"/>
    <col min="4868" max="4868" width="2.33203125" style="136" customWidth="1"/>
    <col min="4869" max="4869" width="29.6640625" style="136" customWidth="1"/>
    <col min="4870" max="4870" width="10.1640625" style="136" customWidth="1"/>
    <col min="4871" max="4871" width="8" style="136" customWidth="1"/>
    <col min="4872" max="4872" width="8.6640625" style="136" customWidth="1"/>
    <col min="4873" max="4873" width="8.33203125" style="136" customWidth="1"/>
    <col min="4874" max="4874" width="8" style="136" customWidth="1"/>
    <col min="4875" max="4875" width="9.33203125" style="136" customWidth="1"/>
    <col min="4876" max="4876" width="9.1640625" style="136" customWidth="1"/>
    <col min="4877" max="4877" width="10.5" style="136" customWidth="1"/>
    <col min="4878" max="4878" width="22.1640625" style="136" customWidth="1"/>
    <col min="4879" max="5119" width="9.1640625" style="136" customWidth="1"/>
    <col min="5120" max="5120" width="6.33203125" style="136" customWidth="1"/>
    <col min="5121" max="5122" width="5.5" style="136" customWidth="1"/>
    <col min="5123" max="5123" width="11.5" style="136" customWidth="1"/>
    <col min="5124" max="5124" width="2.33203125" style="136" customWidth="1"/>
    <col min="5125" max="5125" width="29.6640625" style="136" customWidth="1"/>
    <col min="5126" max="5126" width="10.1640625" style="136" customWidth="1"/>
    <col min="5127" max="5127" width="8" style="136" customWidth="1"/>
    <col min="5128" max="5128" width="8.6640625" style="136" customWidth="1"/>
    <col min="5129" max="5129" width="8.33203125" style="136" customWidth="1"/>
    <col min="5130" max="5130" width="8" style="136" customWidth="1"/>
    <col min="5131" max="5131" width="9.33203125" style="136" customWidth="1"/>
    <col min="5132" max="5132" width="9.1640625" style="136" customWidth="1"/>
    <col min="5133" max="5133" width="10.5" style="136" customWidth="1"/>
    <col min="5134" max="5134" width="22.1640625" style="136" customWidth="1"/>
    <col min="5135" max="5375" width="9.1640625" style="136" customWidth="1"/>
    <col min="5376" max="5376" width="6.33203125" style="136" customWidth="1"/>
    <col min="5377" max="5378" width="5.5" style="136" customWidth="1"/>
    <col min="5379" max="5379" width="11.5" style="136" customWidth="1"/>
    <col min="5380" max="5380" width="2.33203125" style="136" customWidth="1"/>
    <col min="5381" max="5381" width="29.6640625" style="136" customWidth="1"/>
    <col min="5382" max="5382" width="10.1640625" style="136" customWidth="1"/>
    <col min="5383" max="5383" width="8" style="136" customWidth="1"/>
    <col min="5384" max="5384" width="8.6640625" style="136" customWidth="1"/>
    <col min="5385" max="5385" width="8.33203125" style="136" customWidth="1"/>
    <col min="5386" max="5386" width="8" style="136" customWidth="1"/>
    <col min="5387" max="5387" width="9.33203125" style="136" customWidth="1"/>
    <col min="5388" max="5388" width="9.1640625" style="136" customWidth="1"/>
    <col min="5389" max="5389" width="10.5" style="136" customWidth="1"/>
    <col min="5390" max="5390" width="22.1640625" style="136" customWidth="1"/>
    <col min="5391" max="5631" width="9.1640625" style="136" customWidth="1"/>
    <col min="5632" max="5632" width="6.33203125" style="136" customWidth="1"/>
    <col min="5633" max="5634" width="5.5" style="136" customWidth="1"/>
    <col min="5635" max="5635" width="11.5" style="136" customWidth="1"/>
    <col min="5636" max="5636" width="2.33203125" style="136" customWidth="1"/>
    <col min="5637" max="5637" width="29.6640625" style="136" customWidth="1"/>
    <col min="5638" max="5638" width="10.1640625" style="136" customWidth="1"/>
    <col min="5639" max="5639" width="8" style="136" customWidth="1"/>
    <col min="5640" max="5640" width="8.6640625" style="136" customWidth="1"/>
    <col min="5641" max="5641" width="8.33203125" style="136" customWidth="1"/>
    <col min="5642" max="5642" width="8" style="136" customWidth="1"/>
    <col min="5643" max="5643" width="9.33203125" style="136" customWidth="1"/>
    <col min="5644" max="5644" width="9.1640625" style="136" customWidth="1"/>
    <col min="5645" max="5645" width="10.5" style="136" customWidth="1"/>
    <col min="5646" max="5646" width="22.1640625" style="136" customWidth="1"/>
    <col min="5647" max="5887" width="9.1640625" style="136" customWidth="1"/>
    <col min="5888" max="5888" width="6.33203125" style="136" customWidth="1"/>
    <col min="5889" max="5890" width="5.5" style="136" customWidth="1"/>
    <col min="5891" max="5891" width="11.5" style="136" customWidth="1"/>
    <col min="5892" max="5892" width="2.33203125" style="136" customWidth="1"/>
    <col min="5893" max="5893" width="29.6640625" style="136" customWidth="1"/>
    <col min="5894" max="5894" width="10.1640625" style="136" customWidth="1"/>
    <col min="5895" max="5895" width="8" style="136" customWidth="1"/>
    <col min="5896" max="5896" width="8.6640625" style="136" customWidth="1"/>
    <col min="5897" max="5897" width="8.33203125" style="136" customWidth="1"/>
    <col min="5898" max="5898" width="8" style="136" customWidth="1"/>
    <col min="5899" max="5899" width="9.33203125" style="136" customWidth="1"/>
    <col min="5900" max="5900" width="9.1640625" style="136" customWidth="1"/>
    <col min="5901" max="5901" width="10.5" style="136" customWidth="1"/>
    <col min="5902" max="5902" width="22.1640625" style="136" customWidth="1"/>
    <col min="5903" max="6143" width="9.1640625" style="136" customWidth="1"/>
    <col min="6144" max="6144" width="6.33203125" style="136" customWidth="1"/>
    <col min="6145" max="6146" width="5.5" style="136" customWidth="1"/>
    <col min="6147" max="6147" width="11.5" style="136" customWidth="1"/>
    <col min="6148" max="6148" width="2.33203125" style="136" customWidth="1"/>
    <col min="6149" max="6149" width="29.6640625" style="136" customWidth="1"/>
    <col min="6150" max="6150" width="10.1640625" style="136" customWidth="1"/>
    <col min="6151" max="6151" width="8" style="136" customWidth="1"/>
    <col min="6152" max="6152" width="8.6640625" style="136" customWidth="1"/>
    <col min="6153" max="6153" width="8.33203125" style="136" customWidth="1"/>
    <col min="6154" max="6154" width="8" style="136" customWidth="1"/>
    <col min="6155" max="6155" width="9.33203125" style="136" customWidth="1"/>
    <col min="6156" max="6156" width="9.1640625" style="136" customWidth="1"/>
    <col min="6157" max="6157" width="10.5" style="136" customWidth="1"/>
    <col min="6158" max="6158" width="22.1640625" style="136" customWidth="1"/>
    <col min="6159" max="6399" width="9.1640625" style="136" customWidth="1"/>
    <col min="6400" max="6400" width="6.33203125" style="136" customWidth="1"/>
    <col min="6401" max="6402" width="5.5" style="136" customWidth="1"/>
    <col min="6403" max="6403" width="11.5" style="136" customWidth="1"/>
    <col min="6404" max="6404" width="2.33203125" style="136" customWidth="1"/>
    <col min="6405" max="6405" width="29.6640625" style="136" customWidth="1"/>
    <col min="6406" max="6406" width="10.1640625" style="136" customWidth="1"/>
    <col min="6407" max="6407" width="8" style="136" customWidth="1"/>
    <col min="6408" max="6408" width="8.6640625" style="136" customWidth="1"/>
    <col min="6409" max="6409" width="8.33203125" style="136" customWidth="1"/>
    <col min="6410" max="6410" width="8" style="136" customWidth="1"/>
    <col min="6411" max="6411" width="9.33203125" style="136" customWidth="1"/>
    <col min="6412" max="6412" width="9.1640625" style="136" customWidth="1"/>
    <col min="6413" max="6413" width="10.5" style="136" customWidth="1"/>
    <col min="6414" max="6414" width="22.1640625" style="136" customWidth="1"/>
    <col min="6415" max="6655" width="9.1640625" style="136" customWidth="1"/>
    <col min="6656" max="6656" width="6.33203125" style="136" customWidth="1"/>
    <col min="6657" max="6658" width="5.5" style="136" customWidth="1"/>
    <col min="6659" max="6659" width="11.5" style="136" customWidth="1"/>
    <col min="6660" max="6660" width="2.33203125" style="136" customWidth="1"/>
    <col min="6661" max="6661" width="29.6640625" style="136" customWidth="1"/>
    <col min="6662" max="6662" width="10.1640625" style="136" customWidth="1"/>
    <col min="6663" max="6663" width="8" style="136" customWidth="1"/>
    <col min="6664" max="6664" width="8.6640625" style="136" customWidth="1"/>
    <col min="6665" max="6665" width="8.33203125" style="136" customWidth="1"/>
    <col min="6666" max="6666" width="8" style="136" customWidth="1"/>
    <col min="6667" max="6667" width="9.33203125" style="136" customWidth="1"/>
    <col min="6668" max="6668" width="9.1640625" style="136" customWidth="1"/>
    <col min="6669" max="6669" width="10.5" style="136" customWidth="1"/>
    <col min="6670" max="6670" width="22.1640625" style="136" customWidth="1"/>
    <col min="6671" max="6911" width="9.1640625" style="136" customWidth="1"/>
    <col min="6912" max="6912" width="6.33203125" style="136" customWidth="1"/>
    <col min="6913" max="6914" width="5.5" style="136" customWidth="1"/>
    <col min="6915" max="6915" width="11.5" style="136" customWidth="1"/>
    <col min="6916" max="6916" width="2.33203125" style="136" customWidth="1"/>
    <col min="6917" max="6917" width="29.6640625" style="136" customWidth="1"/>
    <col min="6918" max="6918" width="10.1640625" style="136" customWidth="1"/>
    <col min="6919" max="6919" width="8" style="136" customWidth="1"/>
    <col min="6920" max="6920" width="8.6640625" style="136" customWidth="1"/>
    <col min="6921" max="6921" width="8.33203125" style="136" customWidth="1"/>
    <col min="6922" max="6922" width="8" style="136" customWidth="1"/>
    <col min="6923" max="6923" width="9.33203125" style="136" customWidth="1"/>
    <col min="6924" max="6924" width="9.1640625" style="136" customWidth="1"/>
    <col min="6925" max="6925" width="10.5" style="136" customWidth="1"/>
    <col min="6926" max="6926" width="22.1640625" style="136" customWidth="1"/>
    <col min="6927" max="7167" width="9.1640625" style="136" customWidth="1"/>
    <col min="7168" max="7168" width="6.33203125" style="136" customWidth="1"/>
    <col min="7169" max="7170" width="5.5" style="136" customWidth="1"/>
    <col min="7171" max="7171" width="11.5" style="136" customWidth="1"/>
    <col min="7172" max="7172" width="2.33203125" style="136" customWidth="1"/>
    <col min="7173" max="7173" width="29.6640625" style="136" customWidth="1"/>
    <col min="7174" max="7174" width="10.1640625" style="136" customWidth="1"/>
    <col min="7175" max="7175" width="8" style="136" customWidth="1"/>
    <col min="7176" max="7176" width="8.6640625" style="136" customWidth="1"/>
    <col min="7177" max="7177" width="8.33203125" style="136" customWidth="1"/>
    <col min="7178" max="7178" width="8" style="136" customWidth="1"/>
    <col min="7179" max="7179" width="9.33203125" style="136" customWidth="1"/>
    <col min="7180" max="7180" width="9.1640625" style="136" customWidth="1"/>
    <col min="7181" max="7181" width="10.5" style="136" customWidth="1"/>
    <col min="7182" max="7182" width="22.1640625" style="136" customWidth="1"/>
    <col min="7183" max="7423" width="9.1640625" style="136" customWidth="1"/>
    <col min="7424" max="7424" width="6.33203125" style="136" customWidth="1"/>
    <col min="7425" max="7426" width="5.5" style="136" customWidth="1"/>
    <col min="7427" max="7427" width="11.5" style="136" customWidth="1"/>
    <col min="7428" max="7428" width="2.33203125" style="136" customWidth="1"/>
    <col min="7429" max="7429" width="29.6640625" style="136" customWidth="1"/>
    <col min="7430" max="7430" width="10.1640625" style="136" customWidth="1"/>
    <col min="7431" max="7431" width="8" style="136" customWidth="1"/>
    <col min="7432" max="7432" width="8.6640625" style="136" customWidth="1"/>
    <col min="7433" max="7433" width="8.33203125" style="136" customWidth="1"/>
    <col min="7434" max="7434" width="8" style="136" customWidth="1"/>
    <col min="7435" max="7435" width="9.33203125" style="136" customWidth="1"/>
    <col min="7436" max="7436" width="9.1640625" style="136" customWidth="1"/>
    <col min="7437" max="7437" width="10.5" style="136" customWidth="1"/>
    <col min="7438" max="7438" width="22.1640625" style="136" customWidth="1"/>
    <col min="7439" max="7679" width="9.1640625" style="136" customWidth="1"/>
    <col min="7680" max="7680" width="6.33203125" style="136" customWidth="1"/>
    <col min="7681" max="7682" width="5.5" style="136" customWidth="1"/>
    <col min="7683" max="7683" width="11.5" style="136" customWidth="1"/>
    <col min="7684" max="7684" width="2.33203125" style="136" customWidth="1"/>
    <col min="7685" max="7685" width="29.6640625" style="136" customWidth="1"/>
    <col min="7686" max="7686" width="10.1640625" style="136" customWidth="1"/>
    <col min="7687" max="7687" width="8" style="136" customWidth="1"/>
    <col min="7688" max="7688" width="8.6640625" style="136" customWidth="1"/>
    <col min="7689" max="7689" width="8.33203125" style="136" customWidth="1"/>
    <col min="7690" max="7690" width="8" style="136" customWidth="1"/>
    <col min="7691" max="7691" width="9.33203125" style="136" customWidth="1"/>
    <col min="7692" max="7692" width="9.1640625" style="136" customWidth="1"/>
    <col min="7693" max="7693" width="10.5" style="136" customWidth="1"/>
    <col min="7694" max="7694" width="22.1640625" style="136" customWidth="1"/>
    <col min="7695" max="7935" width="9.1640625" style="136" customWidth="1"/>
    <col min="7936" max="7936" width="6.33203125" style="136" customWidth="1"/>
    <col min="7937" max="7938" width="5.5" style="136" customWidth="1"/>
    <col min="7939" max="7939" width="11.5" style="136" customWidth="1"/>
    <col min="7940" max="7940" width="2.33203125" style="136" customWidth="1"/>
    <col min="7941" max="7941" width="29.6640625" style="136" customWidth="1"/>
    <col min="7942" max="7942" width="10.1640625" style="136" customWidth="1"/>
    <col min="7943" max="7943" width="8" style="136" customWidth="1"/>
    <col min="7944" max="7944" width="8.6640625" style="136" customWidth="1"/>
    <col min="7945" max="7945" width="8.33203125" style="136" customWidth="1"/>
    <col min="7946" max="7946" width="8" style="136" customWidth="1"/>
    <col min="7947" max="7947" width="9.33203125" style="136" customWidth="1"/>
    <col min="7948" max="7948" width="9.1640625" style="136" customWidth="1"/>
    <col min="7949" max="7949" width="10.5" style="136" customWidth="1"/>
    <col min="7950" max="7950" width="22.1640625" style="136" customWidth="1"/>
    <col min="7951" max="8191" width="9.1640625" style="136" customWidth="1"/>
    <col min="8192" max="8192" width="6.33203125" style="136" customWidth="1"/>
    <col min="8193" max="8194" width="5.5" style="136" customWidth="1"/>
    <col min="8195" max="8195" width="11.5" style="136" customWidth="1"/>
    <col min="8196" max="8196" width="2.33203125" style="136" customWidth="1"/>
    <col min="8197" max="8197" width="29.6640625" style="136" customWidth="1"/>
    <col min="8198" max="8198" width="10.1640625" style="136" customWidth="1"/>
    <col min="8199" max="8199" width="8" style="136" customWidth="1"/>
    <col min="8200" max="8200" width="8.6640625" style="136" customWidth="1"/>
    <col min="8201" max="8201" width="8.33203125" style="136" customWidth="1"/>
    <col min="8202" max="8202" width="8" style="136" customWidth="1"/>
    <col min="8203" max="8203" width="9.33203125" style="136" customWidth="1"/>
    <col min="8204" max="8204" width="9.1640625" style="136" customWidth="1"/>
    <col min="8205" max="8205" width="10.5" style="136" customWidth="1"/>
    <col min="8206" max="8206" width="22.1640625" style="136" customWidth="1"/>
    <col min="8207" max="8447" width="9.1640625" style="136" customWidth="1"/>
    <col min="8448" max="8448" width="6.33203125" style="136" customWidth="1"/>
    <col min="8449" max="8450" width="5.5" style="136" customWidth="1"/>
    <col min="8451" max="8451" width="11.5" style="136" customWidth="1"/>
    <col min="8452" max="8452" width="2.33203125" style="136" customWidth="1"/>
    <col min="8453" max="8453" width="29.6640625" style="136" customWidth="1"/>
    <col min="8454" max="8454" width="10.1640625" style="136" customWidth="1"/>
    <col min="8455" max="8455" width="8" style="136" customWidth="1"/>
    <col min="8456" max="8456" width="8.6640625" style="136" customWidth="1"/>
    <col min="8457" max="8457" width="8.33203125" style="136" customWidth="1"/>
    <col min="8458" max="8458" width="8" style="136" customWidth="1"/>
    <col min="8459" max="8459" width="9.33203125" style="136" customWidth="1"/>
    <col min="8460" max="8460" width="9.1640625" style="136" customWidth="1"/>
    <col min="8461" max="8461" width="10.5" style="136" customWidth="1"/>
    <col min="8462" max="8462" width="22.1640625" style="136" customWidth="1"/>
    <col min="8463" max="8703" width="9.1640625" style="136" customWidth="1"/>
    <col min="8704" max="8704" width="6.33203125" style="136" customWidth="1"/>
    <col min="8705" max="8706" width="5.5" style="136" customWidth="1"/>
    <col min="8707" max="8707" width="11.5" style="136" customWidth="1"/>
    <col min="8708" max="8708" width="2.33203125" style="136" customWidth="1"/>
    <col min="8709" max="8709" width="29.6640625" style="136" customWidth="1"/>
    <col min="8710" max="8710" width="10.1640625" style="136" customWidth="1"/>
    <col min="8711" max="8711" width="8" style="136" customWidth="1"/>
    <col min="8712" max="8712" width="8.6640625" style="136" customWidth="1"/>
    <col min="8713" max="8713" width="8.33203125" style="136" customWidth="1"/>
    <col min="8714" max="8714" width="8" style="136" customWidth="1"/>
    <col min="8715" max="8715" width="9.33203125" style="136" customWidth="1"/>
    <col min="8716" max="8716" width="9.1640625" style="136" customWidth="1"/>
    <col min="8717" max="8717" width="10.5" style="136" customWidth="1"/>
    <col min="8718" max="8718" width="22.1640625" style="136" customWidth="1"/>
    <col min="8719" max="8959" width="9.1640625" style="136" customWidth="1"/>
    <col min="8960" max="8960" width="6.33203125" style="136" customWidth="1"/>
    <col min="8961" max="8962" width="5.5" style="136" customWidth="1"/>
    <col min="8963" max="8963" width="11.5" style="136" customWidth="1"/>
    <col min="8964" max="8964" width="2.33203125" style="136" customWidth="1"/>
    <col min="8965" max="8965" width="29.6640625" style="136" customWidth="1"/>
    <col min="8966" max="8966" width="10.1640625" style="136" customWidth="1"/>
    <col min="8967" max="8967" width="8" style="136" customWidth="1"/>
    <col min="8968" max="8968" width="8.6640625" style="136" customWidth="1"/>
    <col min="8969" max="8969" width="8.33203125" style="136" customWidth="1"/>
    <col min="8970" max="8970" width="8" style="136" customWidth="1"/>
    <col min="8971" max="8971" width="9.33203125" style="136" customWidth="1"/>
    <col min="8972" max="8972" width="9.1640625" style="136" customWidth="1"/>
    <col min="8973" max="8973" width="10.5" style="136" customWidth="1"/>
    <col min="8974" max="8974" width="22.1640625" style="136" customWidth="1"/>
    <col min="8975" max="9215" width="9.1640625" style="136" customWidth="1"/>
    <col min="9216" max="9216" width="6.33203125" style="136" customWidth="1"/>
    <col min="9217" max="9218" width="5.5" style="136" customWidth="1"/>
    <col min="9219" max="9219" width="11.5" style="136" customWidth="1"/>
    <col min="9220" max="9220" width="2.33203125" style="136" customWidth="1"/>
    <col min="9221" max="9221" width="29.6640625" style="136" customWidth="1"/>
    <col min="9222" max="9222" width="10.1640625" style="136" customWidth="1"/>
    <col min="9223" max="9223" width="8" style="136" customWidth="1"/>
    <col min="9224" max="9224" width="8.6640625" style="136" customWidth="1"/>
    <col min="9225" max="9225" width="8.33203125" style="136" customWidth="1"/>
    <col min="9226" max="9226" width="8" style="136" customWidth="1"/>
    <col min="9227" max="9227" width="9.33203125" style="136" customWidth="1"/>
    <col min="9228" max="9228" width="9.1640625" style="136" customWidth="1"/>
    <col min="9229" max="9229" width="10.5" style="136" customWidth="1"/>
    <col min="9230" max="9230" width="22.1640625" style="136" customWidth="1"/>
    <col min="9231" max="9471" width="9.1640625" style="136" customWidth="1"/>
    <col min="9472" max="9472" width="6.33203125" style="136" customWidth="1"/>
    <col min="9473" max="9474" width="5.5" style="136" customWidth="1"/>
    <col min="9475" max="9475" width="11.5" style="136" customWidth="1"/>
    <col min="9476" max="9476" width="2.33203125" style="136" customWidth="1"/>
    <col min="9477" max="9477" width="29.6640625" style="136" customWidth="1"/>
    <col min="9478" max="9478" width="10.1640625" style="136" customWidth="1"/>
    <col min="9479" max="9479" width="8" style="136" customWidth="1"/>
    <col min="9480" max="9480" width="8.6640625" style="136" customWidth="1"/>
    <col min="9481" max="9481" width="8.33203125" style="136" customWidth="1"/>
    <col min="9482" max="9482" width="8" style="136" customWidth="1"/>
    <col min="9483" max="9483" width="9.33203125" style="136" customWidth="1"/>
    <col min="9484" max="9484" width="9.1640625" style="136" customWidth="1"/>
    <col min="9485" max="9485" width="10.5" style="136" customWidth="1"/>
    <col min="9486" max="9486" width="22.1640625" style="136" customWidth="1"/>
    <col min="9487" max="9727" width="9.1640625" style="136" customWidth="1"/>
    <col min="9728" max="9728" width="6.33203125" style="136" customWidth="1"/>
    <col min="9729" max="9730" width="5.5" style="136" customWidth="1"/>
    <col min="9731" max="9731" width="11.5" style="136" customWidth="1"/>
    <col min="9732" max="9732" width="2.33203125" style="136" customWidth="1"/>
    <col min="9733" max="9733" width="29.6640625" style="136" customWidth="1"/>
    <col min="9734" max="9734" width="10.1640625" style="136" customWidth="1"/>
    <col min="9735" max="9735" width="8" style="136" customWidth="1"/>
    <col min="9736" max="9736" width="8.6640625" style="136" customWidth="1"/>
    <col min="9737" max="9737" width="8.33203125" style="136" customWidth="1"/>
    <col min="9738" max="9738" width="8" style="136" customWidth="1"/>
    <col min="9739" max="9739" width="9.33203125" style="136" customWidth="1"/>
    <col min="9740" max="9740" width="9.1640625" style="136" customWidth="1"/>
    <col min="9741" max="9741" width="10.5" style="136" customWidth="1"/>
    <col min="9742" max="9742" width="22.1640625" style="136" customWidth="1"/>
    <col min="9743" max="9983" width="9.1640625" style="136" customWidth="1"/>
    <col min="9984" max="9984" width="6.33203125" style="136" customWidth="1"/>
    <col min="9985" max="9986" width="5.5" style="136" customWidth="1"/>
    <col min="9987" max="9987" width="11.5" style="136" customWidth="1"/>
    <col min="9988" max="9988" width="2.33203125" style="136" customWidth="1"/>
    <col min="9989" max="9989" width="29.6640625" style="136" customWidth="1"/>
    <col min="9990" max="9990" width="10.1640625" style="136" customWidth="1"/>
    <col min="9991" max="9991" width="8" style="136" customWidth="1"/>
    <col min="9992" max="9992" width="8.6640625" style="136" customWidth="1"/>
    <col min="9993" max="9993" width="8.33203125" style="136" customWidth="1"/>
    <col min="9994" max="9994" width="8" style="136" customWidth="1"/>
    <col min="9995" max="9995" width="9.33203125" style="136" customWidth="1"/>
    <col min="9996" max="9996" width="9.1640625" style="136" customWidth="1"/>
    <col min="9997" max="9997" width="10.5" style="136" customWidth="1"/>
    <col min="9998" max="9998" width="22.1640625" style="136" customWidth="1"/>
    <col min="9999" max="10239" width="9.1640625" style="136" customWidth="1"/>
    <col min="10240" max="10240" width="6.33203125" style="136" customWidth="1"/>
    <col min="10241" max="10242" width="5.5" style="136" customWidth="1"/>
    <col min="10243" max="10243" width="11.5" style="136" customWidth="1"/>
    <col min="10244" max="10244" width="2.33203125" style="136" customWidth="1"/>
    <col min="10245" max="10245" width="29.6640625" style="136" customWidth="1"/>
    <col min="10246" max="10246" width="10.1640625" style="136" customWidth="1"/>
    <col min="10247" max="10247" width="8" style="136" customWidth="1"/>
    <col min="10248" max="10248" width="8.6640625" style="136" customWidth="1"/>
    <col min="10249" max="10249" width="8.33203125" style="136" customWidth="1"/>
    <col min="10250" max="10250" width="8" style="136" customWidth="1"/>
    <col min="10251" max="10251" width="9.33203125" style="136" customWidth="1"/>
    <col min="10252" max="10252" width="9.1640625" style="136" customWidth="1"/>
    <col min="10253" max="10253" width="10.5" style="136" customWidth="1"/>
    <col min="10254" max="10254" width="22.1640625" style="136" customWidth="1"/>
    <col min="10255" max="10495" width="9.1640625" style="136" customWidth="1"/>
    <col min="10496" max="10496" width="6.33203125" style="136" customWidth="1"/>
    <col min="10497" max="10498" width="5.5" style="136" customWidth="1"/>
    <col min="10499" max="10499" width="11.5" style="136" customWidth="1"/>
    <col min="10500" max="10500" width="2.33203125" style="136" customWidth="1"/>
    <col min="10501" max="10501" width="29.6640625" style="136" customWidth="1"/>
    <col min="10502" max="10502" width="10.1640625" style="136" customWidth="1"/>
    <col min="10503" max="10503" width="8" style="136" customWidth="1"/>
    <col min="10504" max="10504" width="8.6640625" style="136" customWidth="1"/>
    <col min="10505" max="10505" width="8.33203125" style="136" customWidth="1"/>
    <col min="10506" max="10506" width="8" style="136" customWidth="1"/>
    <col min="10507" max="10507" width="9.33203125" style="136" customWidth="1"/>
    <col min="10508" max="10508" width="9.1640625" style="136" customWidth="1"/>
    <col min="10509" max="10509" width="10.5" style="136" customWidth="1"/>
    <col min="10510" max="10510" width="22.1640625" style="136" customWidth="1"/>
    <col min="10511" max="10751" width="9.1640625" style="136" customWidth="1"/>
    <col min="10752" max="10752" width="6.33203125" style="136" customWidth="1"/>
    <col min="10753" max="10754" width="5.5" style="136" customWidth="1"/>
    <col min="10755" max="10755" width="11.5" style="136" customWidth="1"/>
    <col min="10756" max="10756" width="2.33203125" style="136" customWidth="1"/>
    <col min="10757" max="10757" width="29.6640625" style="136" customWidth="1"/>
    <col min="10758" max="10758" width="10.1640625" style="136" customWidth="1"/>
    <col min="10759" max="10759" width="8" style="136" customWidth="1"/>
    <col min="10760" max="10760" width="8.6640625" style="136" customWidth="1"/>
    <col min="10761" max="10761" width="8.33203125" style="136" customWidth="1"/>
    <col min="10762" max="10762" width="8" style="136" customWidth="1"/>
    <col min="10763" max="10763" width="9.33203125" style="136" customWidth="1"/>
    <col min="10764" max="10764" width="9.1640625" style="136" customWidth="1"/>
    <col min="10765" max="10765" width="10.5" style="136" customWidth="1"/>
    <col min="10766" max="10766" width="22.1640625" style="136" customWidth="1"/>
    <col min="10767" max="11007" width="9.1640625" style="136" customWidth="1"/>
    <col min="11008" max="11008" width="6.33203125" style="136" customWidth="1"/>
    <col min="11009" max="11010" width="5.5" style="136" customWidth="1"/>
    <col min="11011" max="11011" width="11.5" style="136" customWidth="1"/>
    <col min="11012" max="11012" width="2.33203125" style="136" customWidth="1"/>
    <col min="11013" max="11013" width="29.6640625" style="136" customWidth="1"/>
    <col min="11014" max="11014" width="10.1640625" style="136" customWidth="1"/>
    <col min="11015" max="11015" width="8" style="136" customWidth="1"/>
    <col min="11016" max="11016" width="8.6640625" style="136" customWidth="1"/>
    <col min="11017" max="11017" width="8.33203125" style="136" customWidth="1"/>
    <col min="11018" max="11018" width="8" style="136" customWidth="1"/>
    <col min="11019" max="11019" width="9.33203125" style="136" customWidth="1"/>
    <col min="11020" max="11020" width="9.1640625" style="136" customWidth="1"/>
    <col min="11021" max="11021" width="10.5" style="136" customWidth="1"/>
    <col min="11022" max="11022" width="22.1640625" style="136" customWidth="1"/>
    <col min="11023" max="11263" width="9.1640625" style="136" customWidth="1"/>
    <col min="11264" max="11264" width="6.33203125" style="136" customWidth="1"/>
    <col min="11265" max="11266" width="5.5" style="136" customWidth="1"/>
    <col min="11267" max="11267" width="11.5" style="136" customWidth="1"/>
    <col min="11268" max="11268" width="2.33203125" style="136" customWidth="1"/>
    <col min="11269" max="11269" width="29.6640625" style="136" customWidth="1"/>
    <col min="11270" max="11270" width="10.1640625" style="136" customWidth="1"/>
    <col min="11271" max="11271" width="8" style="136" customWidth="1"/>
    <col min="11272" max="11272" width="8.6640625" style="136" customWidth="1"/>
    <col min="11273" max="11273" width="8.33203125" style="136" customWidth="1"/>
    <col min="11274" max="11274" width="8" style="136" customWidth="1"/>
    <col min="11275" max="11275" width="9.33203125" style="136" customWidth="1"/>
    <col min="11276" max="11276" width="9.1640625" style="136" customWidth="1"/>
    <col min="11277" max="11277" width="10.5" style="136" customWidth="1"/>
    <col min="11278" max="11278" width="22.1640625" style="136" customWidth="1"/>
    <col min="11279" max="11519" width="9.1640625" style="136" customWidth="1"/>
    <col min="11520" max="11520" width="6.33203125" style="136" customWidth="1"/>
    <col min="11521" max="11522" width="5.5" style="136" customWidth="1"/>
    <col min="11523" max="11523" width="11.5" style="136" customWidth="1"/>
    <col min="11524" max="11524" width="2.33203125" style="136" customWidth="1"/>
    <col min="11525" max="11525" width="29.6640625" style="136" customWidth="1"/>
    <col min="11526" max="11526" width="10.1640625" style="136" customWidth="1"/>
    <col min="11527" max="11527" width="8" style="136" customWidth="1"/>
    <col min="11528" max="11528" width="8.6640625" style="136" customWidth="1"/>
    <col min="11529" max="11529" width="8.33203125" style="136" customWidth="1"/>
    <col min="11530" max="11530" width="8" style="136" customWidth="1"/>
    <col min="11531" max="11531" width="9.33203125" style="136" customWidth="1"/>
    <col min="11532" max="11532" width="9.1640625" style="136" customWidth="1"/>
    <col min="11533" max="11533" width="10.5" style="136" customWidth="1"/>
    <col min="11534" max="11534" width="22.1640625" style="136" customWidth="1"/>
    <col min="11535" max="11775" width="9.1640625" style="136" customWidth="1"/>
    <col min="11776" max="11776" width="6.33203125" style="136" customWidth="1"/>
    <col min="11777" max="11778" width="5.5" style="136" customWidth="1"/>
    <col min="11779" max="11779" width="11.5" style="136" customWidth="1"/>
    <col min="11780" max="11780" width="2.33203125" style="136" customWidth="1"/>
    <col min="11781" max="11781" width="29.6640625" style="136" customWidth="1"/>
    <col min="11782" max="11782" width="10.1640625" style="136" customWidth="1"/>
    <col min="11783" max="11783" width="8" style="136" customWidth="1"/>
    <col min="11784" max="11784" width="8.6640625" style="136" customWidth="1"/>
    <col min="11785" max="11785" width="8.33203125" style="136" customWidth="1"/>
    <col min="11786" max="11786" width="8" style="136" customWidth="1"/>
    <col min="11787" max="11787" width="9.33203125" style="136" customWidth="1"/>
    <col min="11788" max="11788" width="9.1640625" style="136" customWidth="1"/>
    <col min="11789" max="11789" width="10.5" style="136" customWidth="1"/>
    <col min="11790" max="11790" width="22.1640625" style="136" customWidth="1"/>
    <col min="11791" max="12031" width="9.1640625" style="136" customWidth="1"/>
    <col min="12032" max="12032" width="6.33203125" style="136" customWidth="1"/>
    <col min="12033" max="12034" width="5.5" style="136" customWidth="1"/>
    <col min="12035" max="12035" width="11.5" style="136" customWidth="1"/>
    <col min="12036" max="12036" width="2.33203125" style="136" customWidth="1"/>
    <col min="12037" max="12037" width="29.6640625" style="136" customWidth="1"/>
    <col min="12038" max="12038" width="10.1640625" style="136" customWidth="1"/>
    <col min="12039" max="12039" width="8" style="136" customWidth="1"/>
    <col min="12040" max="12040" width="8.6640625" style="136" customWidth="1"/>
    <col min="12041" max="12041" width="8.33203125" style="136" customWidth="1"/>
    <col min="12042" max="12042" width="8" style="136" customWidth="1"/>
    <col min="12043" max="12043" width="9.33203125" style="136" customWidth="1"/>
    <col min="12044" max="12044" width="9.1640625" style="136" customWidth="1"/>
    <col min="12045" max="12045" width="10.5" style="136" customWidth="1"/>
    <col min="12046" max="12046" width="22.1640625" style="136" customWidth="1"/>
    <col min="12047" max="12287" width="9.1640625" style="136" customWidth="1"/>
    <col min="12288" max="12288" width="6.33203125" style="136" customWidth="1"/>
    <col min="12289" max="12290" width="5.5" style="136" customWidth="1"/>
    <col min="12291" max="12291" width="11.5" style="136" customWidth="1"/>
    <col min="12292" max="12292" width="2.33203125" style="136" customWidth="1"/>
    <col min="12293" max="12293" width="29.6640625" style="136" customWidth="1"/>
    <col min="12294" max="12294" width="10.1640625" style="136" customWidth="1"/>
    <col min="12295" max="12295" width="8" style="136" customWidth="1"/>
    <col min="12296" max="12296" width="8.6640625" style="136" customWidth="1"/>
    <col min="12297" max="12297" width="8.33203125" style="136" customWidth="1"/>
    <col min="12298" max="12298" width="8" style="136" customWidth="1"/>
    <col min="12299" max="12299" width="9.33203125" style="136" customWidth="1"/>
    <col min="12300" max="12300" width="9.1640625" style="136" customWidth="1"/>
    <col min="12301" max="12301" width="10.5" style="136" customWidth="1"/>
    <col min="12302" max="12302" width="22.1640625" style="136" customWidth="1"/>
    <col min="12303" max="12543" width="9.1640625" style="136" customWidth="1"/>
    <col min="12544" max="12544" width="6.33203125" style="136" customWidth="1"/>
    <col min="12545" max="12546" width="5.5" style="136" customWidth="1"/>
    <col min="12547" max="12547" width="11.5" style="136" customWidth="1"/>
    <col min="12548" max="12548" width="2.33203125" style="136" customWidth="1"/>
    <col min="12549" max="12549" width="29.6640625" style="136" customWidth="1"/>
    <col min="12550" max="12550" width="10.1640625" style="136" customWidth="1"/>
    <col min="12551" max="12551" width="8" style="136" customWidth="1"/>
    <col min="12552" max="12552" width="8.6640625" style="136" customWidth="1"/>
    <col min="12553" max="12553" width="8.33203125" style="136" customWidth="1"/>
    <col min="12554" max="12554" width="8" style="136" customWidth="1"/>
    <col min="12555" max="12555" width="9.33203125" style="136" customWidth="1"/>
    <col min="12556" max="12556" width="9.1640625" style="136" customWidth="1"/>
    <col min="12557" max="12557" width="10.5" style="136" customWidth="1"/>
    <col min="12558" max="12558" width="22.1640625" style="136" customWidth="1"/>
    <col min="12559" max="12799" width="9.1640625" style="136" customWidth="1"/>
    <col min="12800" max="12800" width="6.33203125" style="136" customWidth="1"/>
    <col min="12801" max="12802" width="5.5" style="136" customWidth="1"/>
    <col min="12803" max="12803" width="11.5" style="136" customWidth="1"/>
    <col min="12804" max="12804" width="2.33203125" style="136" customWidth="1"/>
    <col min="12805" max="12805" width="29.6640625" style="136" customWidth="1"/>
    <col min="12806" max="12806" width="10.1640625" style="136" customWidth="1"/>
    <col min="12807" max="12807" width="8" style="136" customWidth="1"/>
    <col min="12808" max="12808" width="8.6640625" style="136" customWidth="1"/>
    <col min="12809" max="12809" width="8.33203125" style="136" customWidth="1"/>
    <col min="12810" max="12810" width="8" style="136" customWidth="1"/>
    <col min="12811" max="12811" width="9.33203125" style="136" customWidth="1"/>
    <col min="12812" max="12812" width="9.1640625" style="136" customWidth="1"/>
    <col min="12813" max="12813" width="10.5" style="136" customWidth="1"/>
    <col min="12814" max="12814" width="22.1640625" style="136" customWidth="1"/>
    <col min="12815" max="13055" width="9.1640625" style="136" customWidth="1"/>
    <col min="13056" max="13056" width="6.33203125" style="136" customWidth="1"/>
    <col min="13057" max="13058" width="5.5" style="136" customWidth="1"/>
    <col min="13059" max="13059" width="11.5" style="136" customWidth="1"/>
    <col min="13060" max="13060" width="2.33203125" style="136" customWidth="1"/>
    <col min="13061" max="13061" width="29.6640625" style="136" customWidth="1"/>
    <col min="13062" max="13062" width="10.1640625" style="136" customWidth="1"/>
    <col min="13063" max="13063" width="8" style="136" customWidth="1"/>
    <col min="13064" max="13064" width="8.6640625" style="136" customWidth="1"/>
    <col min="13065" max="13065" width="8.33203125" style="136" customWidth="1"/>
    <col min="13066" max="13066" width="8" style="136" customWidth="1"/>
    <col min="13067" max="13067" width="9.33203125" style="136" customWidth="1"/>
    <col min="13068" max="13068" width="9.1640625" style="136" customWidth="1"/>
    <col min="13069" max="13069" width="10.5" style="136" customWidth="1"/>
    <col min="13070" max="13070" width="22.1640625" style="136" customWidth="1"/>
    <col min="13071" max="13311" width="9.1640625" style="136" customWidth="1"/>
    <col min="13312" max="13312" width="6.33203125" style="136" customWidth="1"/>
    <col min="13313" max="13314" width="5.5" style="136" customWidth="1"/>
    <col min="13315" max="13315" width="11.5" style="136" customWidth="1"/>
    <col min="13316" max="13316" width="2.33203125" style="136" customWidth="1"/>
    <col min="13317" max="13317" width="29.6640625" style="136" customWidth="1"/>
    <col min="13318" max="13318" width="10.1640625" style="136" customWidth="1"/>
    <col min="13319" max="13319" width="8" style="136" customWidth="1"/>
    <col min="13320" max="13320" width="8.6640625" style="136" customWidth="1"/>
    <col min="13321" max="13321" width="8.33203125" style="136" customWidth="1"/>
    <col min="13322" max="13322" width="8" style="136" customWidth="1"/>
    <col min="13323" max="13323" width="9.33203125" style="136" customWidth="1"/>
    <col min="13324" max="13324" width="9.1640625" style="136" customWidth="1"/>
    <col min="13325" max="13325" width="10.5" style="136" customWidth="1"/>
    <col min="13326" max="13326" width="22.1640625" style="136" customWidth="1"/>
    <col min="13327" max="13567" width="9.1640625" style="136" customWidth="1"/>
    <col min="13568" max="13568" width="6.33203125" style="136" customWidth="1"/>
    <col min="13569" max="13570" width="5.5" style="136" customWidth="1"/>
    <col min="13571" max="13571" width="11.5" style="136" customWidth="1"/>
    <col min="13572" max="13572" width="2.33203125" style="136" customWidth="1"/>
    <col min="13573" max="13573" width="29.6640625" style="136" customWidth="1"/>
    <col min="13574" max="13574" width="10.1640625" style="136" customWidth="1"/>
    <col min="13575" max="13575" width="8" style="136" customWidth="1"/>
    <col min="13576" max="13576" width="8.6640625" style="136" customWidth="1"/>
    <col min="13577" max="13577" width="8.33203125" style="136" customWidth="1"/>
    <col min="13578" max="13578" width="8" style="136" customWidth="1"/>
    <col min="13579" max="13579" width="9.33203125" style="136" customWidth="1"/>
    <col min="13580" max="13580" width="9.1640625" style="136" customWidth="1"/>
    <col min="13581" max="13581" width="10.5" style="136" customWidth="1"/>
    <col min="13582" max="13582" width="22.1640625" style="136" customWidth="1"/>
    <col min="13583" max="13823" width="9.1640625" style="136" customWidth="1"/>
    <col min="13824" max="13824" width="6.33203125" style="136" customWidth="1"/>
    <col min="13825" max="13826" width="5.5" style="136" customWidth="1"/>
    <col min="13827" max="13827" width="11.5" style="136" customWidth="1"/>
    <col min="13828" max="13828" width="2.33203125" style="136" customWidth="1"/>
    <col min="13829" max="13829" width="29.6640625" style="136" customWidth="1"/>
    <col min="13830" max="13830" width="10.1640625" style="136" customWidth="1"/>
    <col min="13831" max="13831" width="8" style="136" customWidth="1"/>
    <col min="13832" max="13832" width="8.6640625" style="136" customWidth="1"/>
    <col min="13833" max="13833" width="8.33203125" style="136" customWidth="1"/>
    <col min="13834" max="13834" width="8" style="136" customWidth="1"/>
    <col min="13835" max="13835" width="9.33203125" style="136" customWidth="1"/>
    <col min="13836" max="13836" width="9.1640625" style="136" customWidth="1"/>
    <col min="13837" max="13837" width="10.5" style="136" customWidth="1"/>
    <col min="13838" max="13838" width="22.1640625" style="136" customWidth="1"/>
    <col min="13839" max="14079" width="9.1640625" style="136" customWidth="1"/>
    <col min="14080" max="14080" width="6.33203125" style="136" customWidth="1"/>
    <col min="14081" max="14082" width="5.5" style="136" customWidth="1"/>
    <col min="14083" max="14083" width="11.5" style="136" customWidth="1"/>
    <col min="14084" max="14084" width="2.33203125" style="136" customWidth="1"/>
    <col min="14085" max="14085" width="29.6640625" style="136" customWidth="1"/>
    <col min="14086" max="14086" width="10.1640625" style="136" customWidth="1"/>
    <col min="14087" max="14087" width="8" style="136" customWidth="1"/>
    <col min="14088" max="14088" width="8.6640625" style="136" customWidth="1"/>
    <col min="14089" max="14089" width="8.33203125" style="136" customWidth="1"/>
    <col min="14090" max="14090" width="8" style="136" customWidth="1"/>
    <col min="14091" max="14091" width="9.33203125" style="136" customWidth="1"/>
    <col min="14092" max="14092" width="9.1640625" style="136" customWidth="1"/>
    <col min="14093" max="14093" width="10.5" style="136" customWidth="1"/>
    <col min="14094" max="14094" width="22.1640625" style="136" customWidth="1"/>
    <col min="14095" max="14335" width="9.1640625" style="136" customWidth="1"/>
    <col min="14336" max="14336" width="6.33203125" style="136" customWidth="1"/>
    <col min="14337" max="14338" width="5.5" style="136" customWidth="1"/>
    <col min="14339" max="14339" width="11.5" style="136" customWidth="1"/>
    <col min="14340" max="14340" width="2.33203125" style="136" customWidth="1"/>
    <col min="14341" max="14341" width="29.6640625" style="136" customWidth="1"/>
    <col min="14342" max="14342" width="10.1640625" style="136" customWidth="1"/>
    <col min="14343" max="14343" width="8" style="136" customWidth="1"/>
    <col min="14344" max="14344" width="8.6640625" style="136" customWidth="1"/>
    <col min="14345" max="14345" width="8.33203125" style="136" customWidth="1"/>
    <col min="14346" max="14346" width="8" style="136" customWidth="1"/>
    <col min="14347" max="14347" width="9.33203125" style="136" customWidth="1"/>
    <col min="14348" max="14348" width="9.1640625" style="136" customWidth="1"/>
    <col min="14349" max="14349" width="10.5" style="136" customWidth="1"/>
    <col min="14350" max="14350" width="22.1640625" style="136" customWidth="1"/>
    <col min="14351" max="14591" width="9.1640625" style="136" customWidth="1"/>
    <col min="14592" max="14592" width="6.33203125" style="136" customWidth="1"/>
    <col min="14593" max="14594" width="5.5" style="136" customWidth="1"/>
    <col min="14595" max="14595" width="11.5" style="136" customWidth="1"/>
    <col min="14596" max="14596" width="2.33203125" style="136" customWidth="1"/>
    <col min="14597" max="14597" width="29.6640625" style="136" customWidth="1"/>
    <col min="14598" max="14598" width="10.1640625" style="136" customWidth="1"/>
    <col min="14599" max="14599" width="8" style="136" customWidth="1"/>
    <col min="14600" max="14600" width="8.6640625" style="136" customWidth="1"/>
    <col min="14601" max="14601" width="8.33203125" style="136" customWidth="1"/>
    <col min="14602" max="14602" width="8" style="136" customWidth="1"/>
    <col min="14603" max="14603" width="9.33203125" style="136" customWidth="1"/>
    <col min="14604" max="14604" width="9.1640625" style="136" customWidth="1"/>
    <col min="14605" max="14605" width="10.5" style="136" customWidth="1"/>
    <col min="14606" max="14606" width="22.1640625" style="136" customWidth="1"/>
    <col min="14607" max="14847" width="9.1640625" style="136" customWidth="1"/>
    <col min="14848" max="14848" width="6.33203125" style="136" customWidth="1"/>
    <col min="14849" max="14850" width="5.5" style="136" customWidth="1"/>
    <col min="14851" max="14851" width="11.5" style="136" customWidth="1"/>
    <col min="14852" max="14852" width="2.33203125" style="136" customWidth="1"/>
    <col min="14853" max="14853" width="29.6640625" style="136" customWidth="1"/>
    <col min="14854" max="14854" width="10.1640625" style="136" customWidth="1"/>
    <col min="14855" max="14855" width="8" style="136" customWidth="1"/>
    <col min="14856" max="14856" width="8.6640625" style="136" customWidth="1"/>
    <col min="14857" max="14857" width="8.33203125" style="136" customWidth="1"/>
    <col min="14858" max="14858" width="8" style="136" customWidth="1"/>
    <col min="14859" max="14859" width="9.33203125" style="136" customWidth="1"/>
    <col min="14860" max="14860" width="9.1640625" style="136" customWidth="1"/>
    <col min="14861" max="14861" width="10.5" style="136" customWidth="1"/>
    <col min="14862" max="14862" width="22.1640625" style="136" customWidth="1"/>
    <col min="14863" max="15103" width="9.1640625" style="136" customWidth="1"/>
    <col min="15104" max="15104" width="6.33203125" style="136" customWidth="1"/>
    <col min="15105" max="15106" width="5.5" style="136" customWidth="1"/>
    <col min="15107" max="15107" width="11.5" style="136" customWidth="1"/>
    <col min="15108" max="15108" width="2.33203125" style="136" customWidth="1"/>
    <col min="15109" max="15109" width="29.6640625" style="136" customWidth="1"/>
    <col min="15110" max="15110" width="10.1640625" style="136" customWidth="1"/>
    <col min="15111" max="15111" width="8" style="136" customWidth="1"/>
    <col min="15112" max="15112" width="8.6640625" style="136" customWidth="1"/>
    <col min="15113" max="15113" width="8.33203125" style="136" customWidth="1"/>
    <col min="15114" max="15114" width="8" style="136" customWidth="1"/>
    <col min="15115" max="15115" width="9.33203125" style="136" customWidth="1"/>
    <col min="15116" max="15116" width="9.1640625" style="136" customWidth="1"/>
    <col min="15117" max="15117" width="10.5" style="136" customWidth="1"/>
    <col min="15118" max="15118" width="22.1640625" style="136" customWidth="1"/>
    <col min="15119" max="15359" width="9.1640625" style="136" customWidth="1"/>
    <col min="15360" max="15360" width="6.33203125" style="136" customWidth="1"/>
    <col min="15361" max="15362" width="5.5" style="136" customWidth="1"/>
    <col min="15363" max="15363" width="11.5" style="136" customWidth="1"/>
    <col min="15364" max="15364" width="2.33203125" style="136" customWidth="1"/>
    <col min="15365" max="15365" width="29.6640625" style="136" customWidth="1"/>
    <col min="15366" max="15366" width="10.1640625" style="136" customWidth="1"/>
    <col min="15367" max="15367" width="8" style="136" customWidth="1"/>
    <col min="15368" max="15368" width="8.6640625" style="136" customWidth="1"/>
    <col min="15369" max="15369" width="8.33203125" style="136" customWidth="1"/>
    <col min="15370" max="15370" width="8" style="136" customWidth="1"/>
    <col min="15371" max="15371" width="9.33203125" style="136" customWidth="1"/>
    <col min="15372" max="15372" width="9.1640625" style="136" customWidth="1"/>
    <col min="15373" max="15373" width="10.5" style="136" customWidth="1"/>
    <col min="15374" max="15374" width="22.1640625" style="136" customWidth="1"/>
    <col min="15375" max="15615" width="9.1640625" style="136" customWidth="1"/>
    <col min="15616" max="15616" width="6.33203125" style="136" customWidth="1"/>
    <col min="15617" max="15618" width="5.5" style="136" customWidth="1"/>
    <col min="15619" max="15619" width="11.5" style="136" customWidth="1"/>
    <col min="15620" max="15620" width="2.33203125" style="136" customWidth="1"/>
    <col min="15621" max="15621" width="29.6640625" style="136" customWidth="1"/>
    <col min="15622" max="15622" width="10.1640625" style="136" customWidth="1"/>
    <col min="15623" max="15623" width="8" style="136" customWidth="1"/>
    <col min="15624" max="15624" width="8.6640625" style="136" customWidth="1"/>
    <col min="15625" max="15625" width="8.33203125" style="136" customWidth="1"/>
    <col min="15626" max="15626" width="8" style="136" customWidth="1"/>
    <col min="15627" max="15627" width="9.33203125" style="136" customWidth="1"/>
    <col min="15628" max="15628" width="9.1640625" style="136" customWidth="1"/>
    <col min="15629" max="15629" width="10.5" style="136" customWidth="1"/>
    <col min="15630" max="15630" width="22.1640625" style="136" customWidth="1"/>
    <col min="15631" max="15871" width="9.1640625" style="136" customWidth="1"/>
    <col min="15872" max="15872" width="6.33203125" style="136" customWidth="1"/>
    <col min="15873" max="15874" width="5.5" style="136" customWidth="1"/>
    <col min="15875" max="15875" width="11.5" style="136" customWidth="1"/>
    <col min="15876" max="15876" width="2.33203125" style="136" customWidth="1"/>
    <col min="15877" max="15877" width="29.6640625" style="136" customWidth="1"/>
    <col min="15878" max="15878" width="10.1640625" style="136" customWidth="1"/>
    <col min="15879" max="15879" width="8" style="136" customWidth="1"/>
    <col min="15880" max="15880" width="8.6640625" style="136" customWidth="1"/>
    <col min="15881" max="15881" width="8.33203125" style="136" customWidth="1"/>
    <col min="15882" max="15882" width="8" style="136" customWidth="1"/>
    <col min="15883" max="15883" width="9.33203125" style="136" customWidth="1"/>
    <col min="15884" max="15884" width="9.1640625" style="136" customWidth="1"/>
    <col min="15885" max="15885" width="10.5" style="136" customWidth="1"/>
    <col min="15886" max="15886" width="22.1640625" style="136" customWidth="1"/>
    <col min="15887" max="16127" width="9.1640625" style="136" customWidth="1"/>
    <col min="16128" max="16128" width="6.33203125" style="136" customWidth="1"/>
    <col min="16129" max="16130" width="5.5" style="136" customWidth="1"/>
    <col min="16131" max="16131" width="11.5" style="136" customWidth="1"/>
    <col min="16132" max="16132" width="2.33203125" style="136" customWidth="1"/>
    <col min="16133" max="16133" width="29.6640625" style="136" customWidth="1"/>
    <col min="16134" max="16134" width="10.1640625" style="136" customWidth="1"/>
    <col min="16135" max="16135" width="8" style="136" customWidth="1"/>
    <col min="16136" max="16136" width="8.6640625" style="136" customWidth="1"/>
    <col min="16137" max="16137" width="8.33203125" style="136" customWidth="1"/>
    <col min="16138" max="16138" width="8" style="136" customWidth="1"/>
    <col min="16139" max="16139" width="9.33203125" style="136" customWidth="1"/>
    <col min="16140" max="16140" width="9.1640625" style="136" customWidth="1"/>
    <col min="16141" max="16141" width="10.5" style="136" customWidth="1"/>
    <col min="16142" max="16142" width="22.1640625" style="136" customWidth="1"/>
    <col min="16143" max="16384" width="9.1640625" style="136" customWidth="1"/>
  </cols>
  <sheetData>
    <row r="1" spans="1:11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ht="13.5" customHeight="1" spans="1:11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ht="9" customHeight="1" spans="1:11" x14ac:dyDescent="0.2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ht="15.75" customHeight="1" spans="1:15" s="139" customFormat="1" x14ac:dyDescent="0.25">
      <c r="A5" s="141" t="s">
        <v>445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39"/>
      <c r="M5" s="139"/>
      <c r="N5" s="139"/>
      <c r="O5" s="142"/>
    </row>
    <row r="6" ht="24" customHeight="1" spans="1:20" s="139" customFormat="1" x14ac:dyDescent="0.25">
      <c r="A6" s="141" t="s">
        <v>446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39"/>
      <c r="M6" s="139"/>
      <c r="N6" s="139"/>
      <c r="O6" s="142"/>
      <c r="P6" s="139"/>
      <c r="Q6" s="139"/>
      <c r="R6" s="143"/>
      <c r="S6" s="143"/>
      <c r="T6" s="143"/>
    </row>
    <row r="7" ht="17.25" customHeight="1" spans="1:20" s="139" customFormat="1" x14ac:dyDescent="0.25">
      <c r="A7" s="139"/>
      <c r="B7" s="139" t="s">
        <v>447</v>
      </c>
      <c r="C7" s="139"/>
      <c r="D7" s="139"/>
      <c r="E7" s="139"/>
      <c r="F7" s="239"/>
      <c r="G7" s="239"/>
      <c r="H7" s="239"/>
      <c r="I7" s="239"/>
      <c r="J7" s="139"/>
      <c r="K7" s="139"/>
      <c r="L7" s="139"/>
      <c r="M7" s="139"/>
      <c r="N7" s="139"/>
      <c r="O7" s="142"/>
      <c r="P7" s="139"/>
      <c r="Q7" s="139"/>
      <c r="R7" s="143"/>
      <c r="S7" s="143"/>
      <c r="T7" s="143"/>
    </row>
    <row r="8" ht="17.25" customHeight="1" spans="1:20" s="139" customFormat="1" x14ac:dyDescent="0.25">
      <c r="A8" s="139"/>
      <c r="B8" s="139" t="s">
        <v>448</v>
      </c>
      <c r="C8" s="139"/>
      <c r="D8" s="139"/>
      <c r="E8" s="139"/>
      <c r="F8" s="139" t="s">
        <v>378</v>
      </c>
      <c r="G8" s="139"/>
      <c r="H8" s="139"/>
      <c r="I8" s="152" t="s">
        <v>449</v>
      </c>
      <c r="J8" s="152"/>
      <c r="K8" s="152"/>
      <c r="L8" s="139"/>
      <c r="M8" s="139"/>
      <c r="N8" s="139"/>
      <c r="O8" s="142"/>
      <c r="P8" s="139"/>
      <c r="Q8" s="139"/>
      <c r="R8" s="143"/>
      <c r="S8" s="143"/>
      <c r="T8" s="143"/>
    </row>
    <row r="9" ht="27.75" customHeight="1" spans="1:20" s="147" customFormat="1" x14ac:dyDescent="0.25">
      <c r="A9" s="148" t="s">
        <v>450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7"/>
      <c r="M9" s="147"/>
      <c r="N9" s="149"/>
      <c r="O9" s="150"/>
      <c r="P9" s="147"/>
      <c r="Q9" s="147"/>
      <c r="R9" s="143"/>
      <c r="S9" s="143"/>
      <c r="T9" s="143"/>
    </row>
    <row r="10" ht="27.75" customHeight="1" spans="1:20" x14ac:dyDescent="0.25">
      <c r="A10" s="230" t="s">
        <v>451</v>
      </c>
      <c r="B10" s="230"/>
      <c r="C10" s="230"/>
      <c r="D10" s="158" t="s">
        <v>382</v>
      </c>
      <c r="E10" s="163" t="str">
        <f>VLOOKUP($E$12,'Sem1-2'!$B$7:$BX$37,5,FALSE)&amp;" "&amp;VLOOKUP($E$12,'Sem1-2'!$B$7:$BX$37,6,FALSE)</f>
        <v>Ms.Vilatda PHIAKHAM</v>
      </c>
      <c r="F10" s="163">
        <f>VLOOKUP($F$12,'Sem1-2'!$B$7:$ZZ$37,5,FALSE)&amp;" "&amp;VLOOKUP($F$12,'Sem1-2'!$B$7:$ZZ$37,6,FALSE)</f>
      </c>
      <c r="G10" s="163"/>
      <c r="H10" s="163" t="s">
        <v>452</v>
      </c>
      <c r="I10" s="163" t="s">
        <v>453</v>
      </c>
      <c r="J10" s="136"/>
      <c r="K10" s="163"/>
      <c r="L10" s="136"/>
      <c r="M10" s="136"/>
      <c r="N10" s="180"/>
      <c r="O10" s="137"/>
      <c r="P10" s="136"/>
      <c r="Q10" s="136"/>
      <c r="R10" s="181"/>
      <c r="S10" s="181"/>
      <c r="T10" s="181"/>
    </row>
    <row r="11" ht="24.75" customHeight="1" spans="1:20" x14ac:dyDescent="0.25">
      <c r="A11" s="230" t="s">
        <v>454</v>
      </c>
      <c r="B11" s="230"/>
      <c r="C11" s="230"/>
      <c r="D11" s="158" t="s">
        <v>382</v>
      </c>
      <c r="E11" s="159">
        <f>VLOOKUP($E$12,'Sem1-2'!$B$7:$BX$37,7,FALSE)</f>
        <v>NaN</v>
      </c>
      <c r="F11" s="159"/>
      <c r="G11" s="159"/>
      <c r="H11" s="163" t="s">
        <v>455</v>
      </c>
      <c r="I11" s="163" t="s">
        <v>456</v>
      </c>
      <c r="J11" s="136"/>
      <c r="K11" s="163"/>
      <c r="L11" s="136"/>
      <c r="M11" s="136"/>
      <c r="N11" s="180"/>
      <c r="O11" s="137"/>
      <c r="P11" s="136"/>
      <c r="Q11" s="136"/>
      <c r="R11" s="181"/>
      <c r="S11" s="181"/>
      <c r="T11" s="181"/>
    </row>
    <row r="12" ht="32.25" customHeight="1" spans="1:20" s="161" customFormat="1" x14ac:dyDescent="0.25">
      <c r="A12" s="158" t="s">
        <v>457</v>
      </c>
      <c r="B12" s="158"/>
      <c r="C12" s="158"/>
      <c r="D12" s="158" t="s">
        <v>382</v>
      </c>
      <c r="E12" s="163" t="s">
        <v>79</v>
      </c>
      <c r="F12" s="163" t="s">
        <v>349</v>
      </c>
      <c r="G12" s="163"/>
      <c r="H12" s="240" t="s">
        <v>458</v>
      </c>
      <c r="I12" s="163">
        <f>F83</f>
        <v>130</v>
      </c>
      <c r="J12" s="161"/>
      <c r="K12" s="163"/>
      <c r="L12" s="161"/>
      <c r="M12" s="161"/>
      <c r="N12" s="163"/>
      <c r="O12" s="201"/>
      <c r="P12" s="161"/>
      <c r="Q12" s="161"/>
      <c r="R12" s="181"/>
      <c r="S12" s="181"/>
      <c r="T12" s="181"/>
    </row>
    <row r="13" ht="32.25" customHeight="1" spans="1:20" s="161" customFormat="1" x14ac:dyDescent="0.25">
      <c r="A13" s="241" t="s">
        <v>459</v>
      </c>
      <c r="B13" s="242"/>
      <c r="C13" s="242"/>
      <c r="D13" s="241" t="s">
        <v>382</v>
      </c>
      <c r="E13" s="169" t="s">
        <v>460</v>
      </c>
      <c r="F13" s="169"/>
      <c r="G13" s="169"/>
      <c r="H13" s="243" t="s">
        <v>461</v>
      </c>
      <c r="I13" s="244" t="s">
        <v>563</v>
      </c>
      <c r="J13" s="161"/>
      <c r="K13" s="244"/>
      <c r="L13" s="161"/>
      <c r="M13" s="161"/>
      <c r="N13" s="163"/>
      <c r="O13" s="201"/>
      <c r="P13" s="161"/>
      <c r="Q13" s="161"/>
      <c r="R13" s="181"/>
      <c r="S13" s="181"/>
      <c r="T13" s="181"/>
    </row>
    <row r="14" ht="30" customHeight="1" spans="1:20" s="161" customFormat="1" x14ac:dyDescent="0.25">
      <c r="A14" s="308" t="s">
        <v>462</v>
      </c>
      <c r="B14" s="309"/>
      <c r="C14" s="310">
        <v>1</v>
      </c>
      <c r="D14" s="310" t="s">
        <v>753</v>
      </c>
      <c r="E14" s="311"/>
      <c r="F14" s="312" t="s">
        <v>565</v>
      </c>
      <c r="G14" s="313">
        <v>2</v>
      </c>
      <c r="H14" s="312">
        <f>'Lao_transcript(year4)'!H15</f>
      </c>
      <c r="I14" s="314">
        <f>'Lao_transcript(year4)'!I15</f>
      </c>
      <c r="J14" s="314">
        <f>'Lao_transcript(year4)'!J15</f>
      </c>
      <c r="K14" s="314" t="s">
        <v>19</v>
      </c>
      <c r="L14" s="161"/>
      <c r="M14" s="161"/>
      <c r="N14" s="163"/>
      <c r="O14" s="201"/>
      <c r="P14" s="161"/>
      <c r="Q14" s="161"/>
      <c r="R14" s="181"/>
      <c r="S14" s="181"/>
      <c r="T14" s="181"/>
    </row>
    <row r="15" ht="19" customHeight="1" spans="1:42" s="315" customFormat="1" x14ac:dyDescent="0.25">
      <c r="A15" s="316"/>
      <c r="B15" s="317"/>
      <c r="C15" s="318"/>
      <c r="D15" s="318"/>
      <c r="E15" s="319"/>
      <c r="F15" s="320"/>
      <c r="G15" s="321"/>
      <c r="H15" s="320"/>
      <c r="I15" s="322"/>
      <c r="J15" s="323"/>
      <c r="K15" s="323"/>
      <c r="L15" s="161"/>
      <c r="M15" s="161"/>
      <c r="N15" s="163"/>
      <c r="O15" s="201"/>
      <c r="P15" s="161"/>
      <c r="Q15" s="161"/>
      <c r="R15" s="181"/>
      <c r="S15" s="181"/>
      <c r="T15" s="18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</row>
    <row r="16" ht="19" customHeight="1" spans="1:15" x14ac:dyDescent="0.25">
      <c r="A16" s="316"/>
      <c r="B16" s="317"/>
      <c r="C16" s="318">
        <v>2</v>
      </c>
      <c r="D16" s="318" t="s">
        <v>628</v>
      </c>
      <c r="E16" s="319" t="s">
        <v>754</v>
      </c>
      <c r="F16" s="320"/>
      <c r="G16" s="321">
        <v>2</v>
      </c>
      <c r="H16" s="320">
        <f>'Lao_transcript(year4)'!H16</f>
      </c>
      <c r="I16" s="322">
        <f>'Lao_transcript(year4)'!I16</f>
      </c>
      <c r="J16" s="323">
        <f>'Lao_transcript(year4)'!J16</f>
      </c>
      <c r="K16" s="323"/>
      <c r="L16" s="161"/>
      <c r="M16" s="161"/>
      <c r="N16" s="163"/>
      <c r="O16" s="201"/>
    </row>
    <row r="17" ht="19" customHeight="1" spans="1:15" x14ac:dyDescent="0.25">
      <c r="A17" s="316"/>
      <c r="B17" s="317"/>
      <c r="C17" s="318">
        <v>3</v>
      </c>
      <c r="D17" s="318" t="s">
        <v>718</v>
      </c>
      <c r="E17" s="319" t="s">
        <v>755</v>
      </c>
      <c r="F17" s="320"/>
      <c r="G17" s="321">
        <v>2</v>
      </c>
      <c r="H17" s="320">
        <f>'Lao_transcript(year4)'!H17</f>
      </c>
      <c r="I17" s="322">
        <f>'Lao_transcript(year4)'!I17</f>
      </c>
      <c r="J17" s="323">
        <f>'Lao_transcript(year4)'!J17</f>
      </c>
      <c r="K17" s="323"/>
      <c r="L17" s="161"/>
      <c r="M17" s="161"/>
      <c r="N17" s="163"/>
      <c r="O17" s="201"/>
    </row>
    <row r="18" ht="19" customHeight="1" spans="1:15" x14ac:dyDescent="0.25">
      <c r="A18" s="316"/>
      <c r="B18" s="317"/>
      <c r="C18" s="318">
        <v>4</v>
      </c>
      <c r="D18" s="318" t="s">
        <v>720</v>
      </c>
      <c r="E18" s="319" t="s">
        <v>756</v>
      </c>
      <c r="F18" s="320"/>
      <c r="G18" s="321">
        <v>2</v>
      </c>
      <c r="H18" s="320">
        <f>'Lao_transcript(year4)'!H18</f>
      </c>
      <c r="I18" s="322">
        <f>'Lao_transcript(year4)'!I18</f>
      </c>
      <c r="J18" s="323">
        <f>'Lao_transcript(year4)'!J18</f>
      </c>
      <c r="K18" s="323"/>
      <c r="L18" s="161"/>
      <c r="M18" s="161"/>
      <c r="N18" s="163"/>
      <c r="O18" s="201"/>
    </row>
    <row r="19" ht="19" customHeight="1" spans="1:15" x14ac:dyDescent="0.25">
      <c r="A19" s="316"/>
      <c r="B19" s="317"/>
      <c r="C19" s="318">
        <v>5</v>
      </c>
      <c r="D19" s="318" t="s">
        <v>722</v>
      </c>
      <c r="E19" s="319" t="s">
        <v>757</v>
      </c>
      <c r="F19" s="320"/>
      <c r="G19" s="321">
        <v>2</v>
      </c>
      <c r="H19" s="320">
        <f>'Lao_transcript(year4)'!H19</f>
      </c>
      <c r="I19" s="322">
        <f>'Lao_transcript(year4)'!I19</f>
      </c>
      <c r="J19" s="323">
        <f>'Lao_transcript(year4)'!J19</f>
      </c>
      <c r="K19" s="323"/>
      <c r="L19" s="161"/>
      <c r="M19" s="161"/>
      <c r="N19" s="163"/>
      <c r="O19" s="201"/>
    </row>
    <row r="20" ht="19" customHeight="1" spans="1:15" x14ac:dyDescent="0.25">
      <c r="A20" s="316"/>
      <c r="B20" s="317"/>
      <c r="C20" s="318">
        <v>6</v>
      </c>
      <c r="D20" s="318" t="s">
        <v>724</v>
      </c>
      <c r="E20" s="319" t="s">
        <v>758</v>
      </c>
      <c r="F20" s="320"/>
      <c r="G20" s="321">
        <v>1</v>
      </c>
      <c r="H20" s="320">
        <f>'Lao_transcript(year4)'!H20</f>
      </c>
      <c r="I20" s="322">
        <f>'Lao_transcript(year4)'!I20</f>
      </c>
      <c r="J20" s="323">
        <f>'Lao_transcript(year4)'!J20</f>
      </c>
      <c r="K20" s="323"/>
      <c r="L20" s="161"/>
      <c r="M20" s="161"/>
      <c r="N20" s="163"/>
      <c r="O20" s="201"/>
    </row>
    <row r="21" ht="19" customHeight="1" spans="1:42" s="192" customFormat="1" x14ac:dyDescent="0.25">
      <c r="A21" s="261" t="s">
        <v>574</v>
      </c>
      <c r="B21" s="326" t="s">
        <v>473</v>
      </c>
      <c r="C21" s="194">
        <v>1</v>
      </c>
      <c r="D21" s="327" t="s">
        <v>726</v>
      </c>
      <c r="E21" s="328" t="s">
        <v>759</v>
      </c>
      <c r="F21" s="194">
        <v>3</v>
      </c>
      <c r="G21" s="287">
        <f>'Lao_transcript(year4)'!G21</f>
      </c>
      <c r="H21" s="194">
        <f>'Lao_transcript(year4)'!H21</f>
      </c>
      <c r="I21" s="194">
        <f>'Lao_transcript(year4)'!I21</f>
      </c>
      <c r="J21" s="329">
        <f>'Lao_transcript(year4)'!J21</f>
      </c>
      <c r="K21" s="264" t="e">
        <f>(J16+J23)/2</f>
        <v>#REF!</v>
      </c>
      <c r="L21" s="181"/>
      <c r="M21" s="161"/>
      <c r="N21" s="163"/>
      <c r="O21" s="20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161"/>
      <c r="AA21" s="161"/>
      <c r="AB21" s="161"/>
      <c r="AC21" s="161"/>
      <c r="AD21" s="161"/>
      <c r="AE21" s="161"/>
      <c r="AF21" s="161"/>
      <c r="AG21" s="161"/>
      <c r="AH21" s="161"/>
      <c r="AI21" s="161"/>
      <c r="AJ21" s="161"/>
      <c r="AK21" s="161"/>
      <c r="AL21" s="161"/>
      <c r="AM21" s="161"/>
      <c r="AN21" s="161"/>
      <c r="AO21" s="161"/>
      <c r="AP21" s="161"/>
    </row>
    <row r="22" ht="19" customHeight="1" spans="1:42" s="202" customFormat="1" x14ac:dyDescent="0.25">
      <c r="A22" s="265" t="s">
        <v>574</v>
      </c>
      <c r="B22" s="330" t="s">
        <v>473</v>
      </c>
      <c r="C22" s="204">
        <v>2</v>
      </c>
      <c r="D22" s="331" t="s">
        <v>728</v>
      </c>
      <c r="E22" s="332" t="s">
        <v>760</v>
      </c>
      <c r="F22" s="204">
        <v>2</v>
      </c>
      <c r="G22" s="282">
        <v>2</v>
      </c>
      <c r="H22" s="208">
        <f>'Lao_transcript(year4)'!H22</f>
      </c>
      <c r="I22" s="204">
        <f>'Lao_transcript(year4)'!I22</f>
      </c>
      <c r="J22" s="333">
        <f>'Lao_transcript(year4)'!J22</f>
      </c>
      <c r="K22" s="266" t="e">
        <f>(J16+J23)/2</f>
        <v>#REF!</v>
      </c>
      <c r="L22" s="181"/>
      <c r="M22" s="161"/>
      <c r="N22" s="163"/>
      <c r="O22" s="20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161"/>
      <c r="AA22" s="161"/>
      <c r="AB22" s="161"/>
      <c r="AC22" s="161"/>
      <c r="AD22" s="161"/>
      <c r="AE22" s="161"/>
      <c r="AF22" s="161"/>
      <c r="AG22" s="161"/>
      <c r="AH22" s="161"/>
      <c r="AI22" s="161"/>
      <c r="AJ22" s="161"/>
      <c r="AK22" s="161"/>
      <c r="AL22" s="161"/>
      <c r="AM22" s="161"/>
      <c r="AN22" s="161"/>
      <c r="AO22" s="161"/>
      <c r="AP22" s="161"/>
    </row>
    <row r="23" ht="19" customHeight="1" spans="1:42" s="202" customFormat="1" x14ac:dyDescent="0.25">
      <c r="A23" s="265" t="s">
        <v>574</v>
      </c>
      <c r="B23" s="330" t="s">
        <v>473</v>
      </c>
      <c r="C23" s="204">
        <v>3</v>
      </c>
      <c r="D23" s="331" t="s">
        <v>730</v>
      </c>
      <c r="E23" s="332" t="s">
        <v>761</v>
      </c>
      <c r="F23" s="204">
        <v>1</v>
      </c>
      <c r="G23" s="282">
        <v>2</v>
      </c>
      <c r="H23" s="208">
        <f>'Lao_transcript(year4)'!H23</f>
      </c>
      <c r="I23" s="204">
        <f>'Lao_transcript(year4)'!I23</f>
      </c>
      <c r="J23" s="333">
        <f>'Lao_transcript(year4)'!J23</f>
      </c>
      <c r="K23" s="266" t="e">
        <f>(J16+J23)/2</f>
        <v>#REF!</v>
      </c>
      <c r="L23" s="181"/>
      <c r="M23" s="161"/>
      <c r="N23" s="163"/>
      <c r="O23" s="201"/>
      <c r="P23" s="161"/>
      <c r="Q23" s="161"/>
      <c r="R23" s="161"/>
      <c r="S23" s="161"/>
      <c r="T23" s="161"/>
      <c r="U23" s="161"/>
      <c r="V23" s="161"/>
      <c r="W23" s="161"/>
      <c r="X23" s="161"/>
      <c r="Y23" s="161"/>
      <c r="Z23" s="161"/>
      <c r="AA23" s="161"/>
      <c r="AB23" s="161"/>
      <c r="AC23" s="161"/>
      <c r="AD23" s="161"/>
      <c r="AE23" s="161"/>
      <c r="AF23" s="161"/>
      <c r="AG23" s="161"/>
      <c r="AH23" s="161"/>
      <c r="AI23" s="161"/>
      <c r="AJ23" s="161"/>
      <c r="AK23" s="161"/>
      <c r="AL23" s="161"/>
      <c r="AM23" s="161"/>
      <c r="AN23" s="161"/>
      <c r="AO23" s="161"/>
      <c r="AP23" s="161"/>
    </row>
    <row r="24" ht="19" customHeight="1" spans="1:42" s="202" customFormat="1" x14ac:dyDescent="0.25">
      <c r="A24" s="265" t="s">
        <v>574</v>
      </c>
      <c r="B24" s="330" t="s">
        <v>473</v>
      </c>
      <c r="C24" s="204">
        <v>4</v>
      </c>
      <c r="D24" s="334" t="s">
        <v>732</v>
      </c>
      <c r="E24" s="335" t="s">
        <v>762</v>
      </c>
      <c r="F24" s="204">
        <v>1</v>
      </c>
      <c r="G24" s="282">
        <v>6</v>
      </c>
      <c r="H24" s="208">
        <f>'Lao_transcript(year4)'!H24</f>
      </c>
      <c r="I24" s="204">
        <f>'Lao_transcript(year4)'!I24</f>
      </c>
      <c r="J24" s="333">
        <f>'Lao_transcript(year4)'!J24</f>
      </c>
      <c r="K24" s="266" t="e">
        <f>(J16+J23)/2</f>
        <v>#REF!</v>
      </c>
      <c r="L24" s="181"/>
      <c r="M24" s="161"/>
      <c r="N24" s="163"/>
      <c r="O24" s="20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</row>
    <row r="25" ht="17.25" customHeight="1" spans="1:16" s="161" customFormat="1" x14ac:dyDescent="0.25">
      <c r="A25" s="365" t="s">
        <v>700</v>
      </c>
      <c r="B25" s="330" t="s">
        <v>701</v>
      </c>
      <c r="C25" s="204">
        <v>10</v>
      </c>
      <c r="D25" s="334" t="s">
        <v>702</v>
      </c>
      <c r="E25" s="335" t="s">
        <v>702</v>
      </c>
      <c r="F25" s="205">
        <v>2</v>
      </c>
      <c r="G25" s="282">
        <f>'Lao_transcript(year4)'!G25</f>
      </c>
      <c r="H25" s="208" t="e">
        <f>IF(G61&gt;90,"4.00",IF(G61&gt;80,"3.50",IF(G61&gt;69,"3.00",IF(G61&gt;64,"2.50",IF(G61&gt;59,"2.00",IF(G61&gt;54,"1.50",IF(G61&gt;49,"1.00","0.00")))))))</f>
        <v>#REF!</v>
      </c>
      <c r="I25" s="204">
        <f>'Lao_transcript(year4)'!I25</f>
      </c>
      <c r="J25" s="353" t="e">
        <f>(H52*F52+H53*F53+H54*F54+H55*F55+H56*F56+H57*F57+H58*F58+H59*F59+H60*F60+H61*F61+H62*F62)/(F52+F53+F54+F55+F56+F57+F58+F59+F60+F61+F62)</f>
        <v>#REF!</v>
      </c>
      <c r="K25" s="266" t="e">
        <f>(J52+J63)/2</f>
        <v>#REF!</v>
      </c>
      <c r="L25" s="181"/>
      <c r="M25" s="161"/>
      <c r="N25" s="161"/>
      <c r="O25" s="366"/>
      <c r="P25" s="366"/>
    </row>
    <row r="26" ht="17.25" customHeight="1" spans="1:14" s="161" customFormat="1" x14ac:dyDescent="0.25">
      <c r="A26" s="365" t="s">
        <v>700</v>
      </c>
      <c r="B26" s="330" t="s">
        <v>701</v>
      </c>
      <c r="C26" s="284">
        <v>11</v>
      </c>
      <c r="D26" s="347" t="s">
        <v>582</v>
      </c>
      <c r="E26" s="348" t="s">
        <v>582</v>
      </c>
      <c r="F26" s="302">
        <v>2</v>
      </c>
      <c r="G26" s="285" t="e">
        <f>VLOOKUP($E$12,#REF!,56,FALSE)</f>
        <v>#REF!</v>
      </c>
      <c r="H26" s="285" t="e">
        <f>IF(G62&gt;90,"4.00",IF(G62&gt;80,"3.50",IF(G62&gt;69,"3.00",IF(G62&gt;64,"2.50",IF(G62&gt;59,"2.00",IF(G62&gt;54,"1.50",IF(G62&gt;49,"1.00","0.00")))))))</f>
        <v>#REF!</v>
      </c>
      <c r="I26" s="284" t="e">
        <f>IF(G62&gt;=90,"A",IF(G62&gt;=80,"B+",IF(G62&gt;=70,"B",IF(G62&gt;=65,"C+",IF(G62&gt;=60,"C",IF(G62&gt;=55,"D+",IF(G62&gt;=50,"D",IF(G62&gt;=0,"F"))))))))</f>
        <v>#REF!</v>
      </c>
      <c r="J26" s="356" t="e">
        <f>(H52*F52+H53*F53+H54*F54+H55*F55+H56*F56+H57*F57+H58*F58+H59*F59+H60*F60+H61*F61+H62*F62)/(F52+F53+F54+F55+F56+F57+F58+F59+F60+F61+F62)</f>
        <v>#REF!</v>
      </c>
      <c r="K26" s="266" t="e">
        <f>(J52+J63)/2</f>
        <v>#REF!</v>
      </c>
      <c r="L26" s="181"/>
      <c r="M26" s="357"/>
      <c r="N26" s="357"/>
    </row>
    <row r="27" ht="17.25" customHeight="1" spans="1:15" s="161" customFormat="1" x14ac:dyDescent="0.25">
      <c r="A27" s="365" t="s">
        <v>700</v>
      </c>
      <c r="B27" s="326" t="s">
        <v>703</v>
      </c>
      <c r="C27" s="194">
        <v>1</v>
      </c>
      <c r="D27" s="327" t="s">
        <v>690</v>
      </c>
      <c r="E27" s="328" t="s">
        <v>690</v>
      </c>
      <c r="F27" s="299">
        <v>3</v>
      </c>
      <c r="G27" s="287" t="e">
        <f>VLOOKUP($E$12,#REF!,57,FALSE)</f>
        <v>#REF!</v>
      </c>
      <c r="H27" s="340" t="e">
        <f>IF(G63&gt;90,"4.00",IF(G63&gt;80,"3.50",IF(G63&gt;69,"3.00",IF(G63&gt;64,"2.50",IF(G63&gt;59,"2.00",IF(G63&gt;54,"1.50",IF(G63&gt;49,"1.00","0.00")))))))</f>
        <v>#REF!</v>
      </c>
      <c r="I27" s="194">
        <f>'Lao_transcript(year4)'!I27</f>
      </c>
      <c r="J27" s="341" t="e">
        <f>(H63*F63+H64*F64+H65*F65+H66*F66+H67*F67+H68*F68+H69*F69+H70*F70+F71*H71+H72*F72)/(F63+F64+F65+F66+F67+F68+F69+F70+F71+F72)</f>
        <v>#REF!</v>
      </c>
      <c r="K27" s="266" t="e">
        <f>(J52+J63)/2</f>
        <v>#REF!</v>
      </c>
      <c r="L27" s="181"/>
      <c r="M27" s="357"/>
      <c r="N27" s="357"/>
      <c r="O27" s="201"/>
    </row>
    <row r="28" ht="17.25" customHeight="1" spans="1:15" s="161" customFormat="1" x14ac:dyDescent="0.25">
      <c r="A28" s="365" t="s">
        <v>700</v>
      </c>
      <c r="B28" s="330" t="s">
        <v>703</v>
      </c>
      <c r="C28" s="204">
        <v>2</v>
      </c>
      <c r="D28" s="334" t="s">
        <v>692</v>
      </c>
      <c r="E28" s="335" t="s">
        <v>692</v>
      </c>
      <c r="F28" s="205">
        <v>1</v>
      </c>
      <c r="G28" s="282" t="e">
        <f>VLOOKUP($E$12,#REF!,58,FALSE)</f>
        <v>#REF!</v>
      </c>
      <c r="H28" s="208" t="e">
        <f>IF(G64&gt;90,"4.00",IF(G64&gt;80,"3.50",IF(G64&gt;69,"3.00",IF(G64&gt;64,"2.50",IF(G64&gt;59,"2.00",IF(G64&gt;54,"1.50",IF(G64&gt;49,"1.00","0.00")))))))</f>
        <v>#REF!</v>
      </c>
      <c r="I28" s="204" t="e">
        <f>IF(G64&gt;=90,"A",IF(G64&gt;=80,"B+",IF(G64&gt;=70,"B",IF(G64&gt;=65,"C+",IF(G64&gt;=60,"C",IF(G64&gt;=55,"D+",IF(G64&gt;=50,"D",IF(G64&gt;=0,"F"))))))))</f>
        <v>#REF!</v>
      </c>
      <c r="J28" s="333" t="e">
        <f>(H63*F63+H64*F64+H65*F65+H66*F66+H67*F67+H68*F68+H69*F69+H70*F70+F71*H71+H72*F72)/(F63+F64+F65+F66+F67+F68+F69+F70+F71+F72)</f>
        <v>#REF!</v>
      </c>
      <c r="K28" s="266" t="e">
        <f>(J52+J63)/2</f>
        <v>#REF!</v>
      </c>
      <c r="L28" s="181"/>
      <c r="M28" s="357"/>
      <c r="N28" s="357"/>
      <c r="O28" s="201"/>
    </row>
    <row r="29" ht="17.25" customHeight="1" spans="1:15" s="161" customFormat="1" x14ac:dyDescent="0.25">
      <c r="A29" s="365" t="s">
        <v>700</v>
      </c>
      <c r="B29" s="330" t="s">
        <v>703</v>
      </c>
      <c r="C29" s="204">
        <v>3</v>
      </c>
      <c r="D29" s="334" t="s">
        <v>704</v>
      </c>
      <c r="E29" s="335" t="s">
        <v>704</v>
      </c>
      <c r="F29" s="205">
        <v>2</v>
      </c>
      <c r="G29" s="282" t="e">
        <f>VLOOKUP($E$12,#REF!,59,FALSE)</f>
        <v>#REF!</v>
      </c>
      <c r="H29" s="208" t="e">
        <f>IF(G65&gt;90,"4.00",IF(G65&gt;80,"3.50",IF(G65&gt;69,"3.00",IF(G65&gt;64,"2.50",IF(G65&gt;59,"2.00",IF(G65&gt;54,"1.50",IF(G65&gt;49,"1.00","0.00")))))))</f>
        <v>#REF!</v>
      </c>
      <c r="I29" s="204" t="e">
        <f>IF(G65&gt;=90,"A",IF(G65&gt;=80,"B+",IF(G65&gt;=70,"B",IF(G65&gt;=65,"C+",IF(G65&gt;=60,"C",IF(G65&gt;=55,"D+",IF(G65&gt;=50,"D",IF(G65&gt;=0,"F"))))))))</f>
        <v>#REF!</v>
      </c>
      <c r="J29" s="333" t="e">
        <f>(H63*F63+H64*F64+H65*F65+H66*F66+H67*F67+H68*F68+H69*F69+H70*F70+F71*H71+H72*F72)/(F63+F64+F65+F66+F67+F68+F69+F70+F71+F72)</f>
        <v>#REF!</v>
      </c>
      <c r="K29" s="266" t="e">
        <f>(J52+J63)/2</f>
        <v>#REF!</v>
      </c>
      <c r="L29" s="181"/>
      <c r="M29" s="357"/>
      <c r="N29" s="357"/>
      <c r="O29" s="201"/>
    </row>
    <row r="30" ht="17.25" customHeight="1" spans="1:15" s="161" customFormat="1" x14ac:dyDescent="0.25">
      <c r="A30" s="365" t="s">
        <v>700</v>
      </c>
      <c r="B30" s="330" t="s">
        <v>703</v>
      </c>
      <c r="C30" s="204">
        <v>4</v>
      </c>
      <c r="D30" s="334" t="s">
        <v>705</v>
      </c>
      <c r="E30" s="335" t="s">
        <v>705</v>
      </c>
      <c r="F30" s="205">
        <v>1</v>
      </c>
      <c r="G30" s="282" t="e">
        <f>VLOOKUP($E$12,#REF!,60,FALSE)</f>
        <v>#REF!</v>
      </c>
      <c r="H30" s="208" t="e">
        <f>IF(G66&gt;90,"4.00",IF(G66&gt;80,"3.50",IF(G66&gt;69,"3.00",IF(G66&gt;64,"2.50",IF(G66&gt;59,"2.00",IF(G66&gt;54,"1.50",IF(G66&gt;49,"1.00","0.00")))))))</f>
        <v>#REF!</v>
      </c>
      <c r="I30" s="204" t="e">
        <f>IF(G66&gt;=90,"A",IF(G66&gt;=80,"B+",IF(G66&gt;=70,"B",IF(G66&gt;=65,"C+",IF(G66&gt;=60,"C",IF(G66&gt;=55,"D+",IF(G66&gt;=50,"D",IF(G66&gt;=0,"F"))))))))</f>
        <v>#REF!</v>
      </c>
      <c r="J30" s="333" t="e">
        <f>(H63*F63+H64*F64+H65*F65+H66*F66+H67*F67+H68*F68+H69*F69+H70*F70+F71*H71+H72*F72)/(F63+F64+F65+F66+F67+F68+F69+F70+F71+F72)</f>
        <v>#REF!</v>
      </c>
      <c r="K30" s="266" t="e">
        <f>(J52+J63)/2</f>
        <v>#REF!</v>
      </c>
      <c r="L30" s="181"/>
      <c r="M30" s="357"/>
      <c r="N30" s="357"/>
      <c r="O30" s="201"/>
    </row>
    <row r="31" ht="17.25" customHeight="1" spans="1:15" s="161" customFormat="1" x14ac:dyDescent="0.25">
      <c r="A31" s="365" t="s">
        <v>700</v>
      </c>
      <c r="B31" s="330" t="s">
        <v>703</v>
      </c>
      <c r="C31" s="204">
        <v>5</v>
      </c>
      <c r="D31" s="334" t="s">
        <v>693</v>
      </c>
      <c r="E31" s="335" t="s">
        <v>693</v>
      </c>
      <c r="F31" s="205">
        <v>1</v>
      </c>
      <c r="G31" s="282" t="e">
        <f>VLOOKUP($E$12,#REF!,61,FALSE)</f>
        <v>#REF!</v>
      </c>
      <c r="H31" s="208" t="e">
        <f>IF(G67&gt;90,"4.00",IF(G67&gt;80,"3.50",IF(G67&gt;69,"3.00",IF(G67&gt;64,"2.50",IF(G67&gt;59,"2.00",IF(G67&gt;54,"1.50",IF(G67&gt;49,"1.00","0.00")))))))</f>
        <v>#REF!</v>
      </c>
      <c r="I31" s="204" t="e">
        <f>IF(G67&gt;=90,"A",IF(G67&gt;=80,"B+",IF(G67&gt;=70,"B",IF(G67&gt;=65,"C+",IF(G67&gt;=60,"C",IF(G67&gt;=55,"D+",IF(G67&gt;=50,"D",IF(G67&gt;=0,"F"))))))))</f>
        <v>#REF!</v>
      </c>
      <c r="J31" s="333" t="e">
        <f>(H63*F63+H64*F64+H65*F65+H66*F66+H67*F67+H68*F68+H69*F69+H70*F70+F71*H71+H72*F72)/(F63+F64+F65+F66+F67+F68+F69+F70+F71+F72)</f>
        <v>#REF!</v>
      </c>
      <c r="K31" s="266" t="e">
        <f>(J52+J63)/2</f>
        <v>#REF!</v>
      </c>
      <c r="L31" s="181"/>
      <c r="M31" s="357"/>
      <c r="N31" s="357"/>
      <c r="O31" s="201"/>
    </row>
    <row r="32" ht="27" customHeight="1" spans="1:16" s="161" customFormat="1" x14ac:dyDescent="0.25">
      <c r="A32" s="365" t="s">
        <v>700</v>
      </c>
      <c r="B32" s="330" t="s">
        <v>703</v>
      </c>
      <c r="C32" s="204">
        <v>6</v>
      </c>
      <c r="D32" s="334" t="s">
        <v>706</v>
      </c>
      <c r="E32" s="335" t="s">
        <v>706</v>
      </c>
      <c r="F32" s="205">
        <v>1</v>
      </c>
      <c r="G32" s="282" t="e">
        <f>VLOOKUP($E$12,#REF!,62,FALSE)</f>
        <v>#REF!</v>
      </c>
      <c r="H32" s="208" t="e">
        <f>IF(G68&gt;90,"4.00",IF(G68&gt;80,"3.50",IF(G68&gt;69,"3.00",IF(G68&gt;64,"2.50",IF(G68&gt;59,"2.00",IF(G68&gt;54,"1.50",IF(G68&gt;49,"1.00","0.00")))))))</f>
        <v>#REF!</v>
      </c>
      <c r="I32" s="204" t="e">
        <f>IF(G68&gt;=90,"A",IF(G68&gt;=80,"B+",IF(G68&gt;=70,"B",IF(G68&gt;=65,"C+",IF(G68&gt;=60,"C",IF(G68&gt;=55,"D+",IF(G68&gt;=50,"D",IF(G68&gt;=0,"F"))))))))</f>
        <v>#REF!</v>
      </c>
      <c r="J32" s="333" t="e">
        <f>(H63*F63+H64*F64+H65*F65+H66*F66+H67*F67+H68*F68+H69*F69+H70*F70+F71*H71+H72*F72)/(F63+F64+F65+F66+F67+F68+F69+F70+F71+F72)</f>
        <v>#REF!</v>
      </c>
      <c r="K32" s="266" t="e">
        <f>(J52+J63)/2</f>
        <v>#REF!</v>
      </c>
      <c r="L32" s="181"/>
      <c r="M32" s="161"/>
      <c r="N32" s="161"/>
      <c r="O32" s="357"/>
      <c r="P32" s="357"/>
    </row>
    <row r="33" ht="17.25" customHeight="1" spans="1:16" s="161" customFormat="1" x14ac:dyDescent="0.25">
      <c r="A33" s="365" t="s">
        <v>700</v>
      </c>
      <c r="B33" s="330" t="s">
        <v>703</v>
      </c>
      <c r="C33" s="204">
        <v>7</v>
      </c>
      <c r="D33" s="334" t="s">
        <v>707</v>
      </c>
      <c r="E33" s="335" t="s">
        <v>707</v>
      </c>
      <c r="F33" s="205">
        <v>1</v>
      </c>
      <c r="G33" s="282" t="e">
        <f>VLOOKUP($E$12,#REF!,63,FALSE)</f>
        <v>#REF!</v>
      </c>
      <c r="H33" s="208" t="e">
        <f>IF(G69&gt;90,"4.00",IF(G69&gt;80,"3.50",IF(G69&gt;69,"3.00",IF(G69&gt;64,"2.50",IF(G69&gt;59,"2.00",IF(G69&gt;54,"1.50",IF(G69&gt;49,"1.00","0.00")))))))</f>
        <v>#REF!</v>
      </c>
      <c r="I33" s="204" t="e">
        <f>IF(G69&gt;=90,"A",IF(G69&gt;=80,"B+",IF(G69&gt;=70,"B",IF(G69&gt;=65,"C+",IF(G69&gt;=60,"C",IF(G69&gt;=55,"D+",IF(G69&gt;=50,"D",IF(G69&gt;=0,"F"))))))))</f>
        <v>#REF!</v>
      </c>
      <c r="J33" s="333" t="e">
        <f>(H63*F63+H64*F64+H65*F65+H66*F66+H67*F67+H68*F68+H69*F69+H70*F70+F71*H71+H72*F72)/(F63+F64+F65+F66+F67+F68+F69+F70+F71+F72)</f>
        <v>#REF!</v>
      </c>
      <c r="K33" s="266" t="e">
        <f>(J52+J63)/2</f>
        <v>#REF!</v>
      </c>
      <c r="L33" s="181"/>
      <c r="M33" s="161"/>
      <c r="N33" s="161"/>
      <c r="O33" s="357"/>
      <c r="P33" s="357"/>
    </row>
    <row r="34" ht="28.5" customHeight="1" spans="1:16" s="161" customFormat="1" x14ac:dyDescent="0.25">
      <c r="A34" s="365" t="s">
        <v>700</v>
      </c>
      <c r="B34" s="330" t="s">
        <v>703</v>
      </c>
      <c r="C34" s="204">
        <v>8</v>
      </c>
      <c r="D34" s="334" t="s">
        <v>708</v>
      </c>
      <c r="E34" s="335" t="s">
        <v>708</v>
      </c>
      <c r="F34" s="205">
        <v>2</v>
      </c>
      <c r="G34" s="282" t="e">
        <f>VLOOKUP($E$12,#REF!,64,FALSE)</f>
        <v>#REF!</v>
      </c>
      <c r="H34" s="208" t="e">
        <f>IF(G70&gt;90,"4.00",IF(G70&gt;80,"3.50",IF(G70&gt;69,"3.00",IF(G70&gt;64,"2.50",IF(G70&gt;59,"2.00",IF(G70&gt;54,"1.50",IF(G70&gt;49,"1.00","0.00")))))))</f>
        <v>#REF!</v>
      </c>
      <c r="I34" s="204" t="e">
        <f>IF(G70&gt;=90,"A",IF(G70&gt;=80,"B+",IF(G70&gt;=70,"B",IF(G70&gt;=65,"C+",IF(G70&gt;=60,"C",IF(G70&gt;=55,"D+",IF(G70&gt;=50,"D",IF(G70&gt;=0,"F"))))))))</f>
        <v>#REF!</v>
      </c>
      <c r="J34" s="333" t="e">
        <f>(H63*F63+H64*F64+H65*F65+H66*F66+H67*F67+H68*F68+H69*F69+H70*F70+F71*H71+H72*F72)/(F63+F64+F65+F66+F67+F68+F69+F70+F71+F72)</f>
        <v>#REF!</v>
      </c>
      <c r="K34" s="266" t="e">
        <f>(J52+J63)/2</f>
        <v>#REF!</v>
      </c>
      <c r="L34" s="181"/>
      <c r="M34" s="161"/>
      <c r="N34" s="161"/>
      <c r="O34" s="357"/>
      <c r="P34" s="357"/>
    </row>
    <row r="35" ht="28.5" customHeight="1" spans="1:15" s="161" customFormat="1" x14ac:dyDescent="0.25">
      <c r="A35" s="365" t="s">
        <v>700</v>
      </c>
      <c r="B35" s="330" t="s">
        <v>703</v>
      </c>
      <c r="C35" s="204">
        <v>9</v>
      </c>
      <c r="D35" s="334" t="s">
        <v>709</v>
      </c>
      <c r="E35" s="335" t="s">
        <v>709</v>
      </c>
      <c r="F35" s="205">
        <v>2</v>
      </c>
      <c r="G35" s="282" t="e">
        <f>VLOOKUP($E$12,#REF!,65,FALSE)</f>
        <v>#REF!</v>
      </c>
      <c r="H35" s="208" t="e">
        <f>IF(G71&gt;90,"4.00",IF(G71&gt;80,"3.50",IF(G71&gt;69,"3.00",IF(G71&gt;64,"2.50",IF(G71&gt;59,"2.00",IF(G71&gt;54,"1.50",IF(G71&gt;49,"1.00","0.00")))))))</f>
        <v>#REF!</v>
      </c>
      <c r="I35" s="204" t="e">
        <f>IF(G71&gt;=90,"A",IF(G71&gt;=80,"B+",IF(G71&gt;=70,"B",IF(G71&gt;=65,"C+",IF(G71&gt;=60,"C",IF(G71&gt;=55,"D+",IF(G71&gt;=50,"D",IF(G71&gt;=0,"F"))))))))</f>
        <v>#REF!</v>
      </c>
      <c r="J35" s="333" t="e">
        <f>(H63*F63+H64*F64+H65*F65+H66*F66+H67*F67+H68*F68+H69*F69+H70*F70+F71*H71+H72*F72)/(F63+F64+F65+F66+F67+F68+F69+F70+F71+F72)</f>
        <v>#REF!</v>
      </c>
      <c r="K35" s="266" t="e">
        <f>(J52+J63)/2</f>
        <v>#REF!</v>
      </c>
      <c r="L35" s="181"/>
      <c r="M35" s="357"/>
      <c r="N35" s="357"/>
      <c r="O35" s="201"/>
    </row>
    <row r="36" ht="17.25" customHeight="1" spans="1:15" s="161" customFormat="1" x14ac:dyDescent="0.25">
      <c r="A36" s="365" t="s">
        <v>700</v>
      </c>
      <c r="B36" s="330" t="s">
        <v>703</v>
      </c>
      <c r="C36" s="284">
        <v>10</v>
      </c>
      <c r="D36" s="347" t="s">
        <v>687</v>
      </c>
      <c r="E36" s="348" t="s">
        <v>687</v>
      </c>
      <c r="F36" s="302">
        <v>2</v>
      </c>
      <c r="G36" s="285" t="e">
        <f>VLOOKUP($E$12,#REF!,66,FALSE)</f>
        <v>#REF!</v>
      </c>
      <c r="H36" s="285" t="e">
        <f>IF(G72&gt;90,"4.00",IF(G72&gt;80,"3.50",IF(G72&gt;69,"3.00",IF(G72&gt;64,"2.50",IF(G72&gt;59,"2.00",IF(G72&gt;54,"1.50",IF(G72&gt;49,"1.00","0.00")))))))</f>
        <v>#REF!</v>
      </c>
      <c r="I36" s="284" t="e">
        <f>IF(G72&gt;=90,"A",IF(G72&gt;=80,"B+",IF(G72&gt;=70,"B",IF(G72&gt;=65,"C+",IF(G72&gt;=60,"C",IF(G72&gt;=55,"D+",IF(G72&gt;=50,"D",IF(G72&gt;=0,"F"))))))))</f>
        <v>#REF!</v>
      </c>
      <c r="J36" s="339" t="e">
        <f>(H63*F63+H64*F64+H65*F65+H66*F66+H67*F67+H68*F68+H69*F69+H70*F70+F71*H71+H72*F72)/(F63+F64+F65+F66+F67+F68+F69+F70+F71+F72)</f>
        <v>#REF!</v>
      </c>
      <c r="K36" s="286" t="e">
        <f>(J52+J63)/2</f>
        <v>#REF!</v>
      </c>
      <c r="L36" s="181"/>
      <c r="M36" s="357"/>
      <c r="N36" s="357"/>
      <c r="O36" s="201"/>
    </row>
    <row r="37" ht="17.25" customHeight="1" spans="1:12" s="161" customFormat="1" x14ac:dyDescent="0.25">
      <c r="A37" s="380" t="s">
        <v>763</v>
      </c>
      <c r="B37" s="381" t="s">
        <v>764</v>
      </c>
      <c r="C37" s="194">
        <v>1</v>
      </c>
      <c r="D37" s="382" t="s">
        <v>765</v>
      </c>
      <c r="E37" s="383" t="s">
        <v>765</v>
      </c>
      <c r="F37" s="299">
        <v>2</v>
      </c>
      <c r="G37" s="287" t="e">
        <f>VLOOKUP($E$12,#REF!,67,FALSE)</f>
        <v>#REF!</v>
      </c>
      <c r="H37" s="340" t="e">
        <f>IF(G73&gt;90,"4.00",IF(G73&gt;80,"3.50",IF(G73&gt;69,"3.00",IF(G73&gt;64,"2.50",IF(G73&gt;59,"2.00",IF(G73&gt;54,"1.50",IF(G73&gt;49,"1.00","0.00")))))))</f>
        <v>#REF!</v>
      </c>
      <c r="I37" s="194" t="e">
        <f>IF(G73&gt;=90,"A",IF(G73&gt;=80,"B+",IF(G73&gt;=70,"B",IF(G73&gt;=65,"C+",IF(G73&gt;=60,"C",IF(G73&gt;=55,"D+",IF(G73&gt;=50,"D",IF(G73&gt;=0,"F"))))))))</f>
        <v>#REF!</v>
      </c>
      <c r="J37" s="384" t="e">
        <f>(H73*F73+H74*F74+H75*F75+H76*F76+H77*F77+H78*F78)/(F73+F74+F75+F76+F77+F78)</f>
        <v>#REF!</v>
      </c>
      <c r="K37" s="200" t="e">
        <f>(J73)</f>
        <v>#REF!</v>
      </c>
      <c r="L37" s="181"/>
    </row>
    <row r="38" ht="17.25" customHeight="1" spans="1:12" s="161" customFormat="1" x14ac:dyDescent="0.25">
      <c r="A38" s="385" t="s">
        <v>763</v>
      </c>
      <c r="B38" s="386" t="s">
        <v>764</v>
      </c>
      <c r="C38" s="204">
        <v>2</v>
      </c>
      <c r="D38" s="334" t="s">
        <v>754</v>
      </c>
      <c r="E38" s="335" t="s">
        <v>754</v>
      </c>
      <c r="F38" s="204">
        <v>2</v>
      </c>
      <c r="G38" s="282" t="e">
        <f>VLOOKUP($E$12,#REF!,68,FALSE)</f>
        <v>#REF!</v>
      </c>
      <c r="H38" s="208" t="e">
        <f>IF(G74&gt;90,"4.00",IF(G74&gt;80,"3.50",IF(G74&gt;69,"3.00",IF(G74&gt;64,"2.50",IF(G74&gt;59,"2.00",IF(G74&gt;54,"1.50",IF(G74&gt;49,"1.00","0.00")))))))</f>
        <v>#REF!</v>
      </c>
      <c r="I38" s="204" t="e">
        <f>IF(G74&gt;=90,"A",IF(G74&gt;=80,"B+",IF(G74&gt;=70,"B",IF(G74&gt;=65,"C+",IF(G74&gt;=60,"C",IF(G74&gt;=55,"D+",IF(G74&gt;=50,"D",IF(G74&gt;=0,"F"))))))))</f>
        <v>#REF!</v>
      </c>
      <c r="J38" s="387" t="e">
        <f>(H73*F73+H74*F74+H75*F75+H76*F76+H77*F77+H78*F78)/(F73+F74+F75+F76+F77+F78)</f>
        <v>#REF!</v>
      </c>
      <c r="K38" s="209" t="e">
        <f>(J73)</f>
        <v>#REF!</v>
      </c>
      <c r="L38" s="181"/>
    </row>
    <row r="39" ht="17.25" customHeight="1" spans="1:15" s="161" customFormat="1" x14ac:dyDescent="0.25">
      <c r="A39" s="385" t="s">
        <v>763</v>
      </c>
      <c r="B39" s="386" t="s">
        <v>764</v>
      </c>
      <c r="C39" s="204">
        <v>3</v>
      </c>
      <c r="D39" s="334" t="s">
        <v>755</v>
      </c>
      <c r="E39" s="335" t="s">
        <v>755</v>
      </c>
      <c r="F39" s="204">
        <v>2</v>
      </c>
      <c r="G39" s="282" t="e">
        <f>VLOOKUP($E$12,#REF!,69,FALSE)</f>
        <v>#REF!</v>
      </c>
      <c r="H39" s="208" t="e">
        <f>IF(G75&gt;90,"4.00",IF(G75&gt;80,"3.50",IF(G75&gt;69,"3.00",IF(G75&gt;64,"2.50",IF(G75&gt;59,"2.00",IF(G75&gt;54,"1.50",IF(G75&gt;49,"1.00","0.00")))))))</f>
        <v>#REF!</v>
      </c>
      <c r="I39" s="204" t="e">
        <f>IF(G75&gt;=90,"A",IF(G75&gt;=80,"B+",IF(G75&gt;=70,"B",IF(G75&gt;=65,"C+",IF(G75&gt;=60,"C",IF(G75&gt;=55,"D+",IF(G75&gt;=50,"D",IF(G75&gt;=0,"F"))))))))</f>
        <v>#REF!</v>
      </c>
      <c r="J39" s="387" t="e">
        <f>(H73*F73+H74*F74+H75*F75+H76*F76+H77*F77+H78*F78)/(F73+F74+F75+F76+F77+F78)</f>
        <v>#REF!</v>
      </c>
      <c r="K39" s="209" t="e">
        <f>(J73)</f>
        <v>#REF!</v>
      </c>
      <c r="L39" s="181"/>
      <c r="M39" s="161"/>
      <c r="N39" s="161"/>
      <c r="O39" s="201"/>
    </row>
    <row r="40" ht="17.25" customHeight="1" spans="1:15" s="161" customFormat="1" x14ac:dyDescent="0.25">
      <c r="A40" s="385" t="s">
        <v>763</v>
      </c>
      <c r="B40" s="386" t="s">
        <v>764</v>
      </c>
      <c r="C40" s="204">
        <v>4</v>
      </c>
      <c r="D40" s="334" t="s">
        <v>766</v>
      </c>
      <c r="E40" s="335" t="s">
        <v>766</v>
      </c>
      <c r="F40" s="204">
        <v>3</v>
      </c>
      <c r="G40" s="282" t="e">
        <f>VLOOKUP($E$12,#REF!,70,FALSE)</f>
        <v>#REF!</v>
      </c>
      <c r="H40" s="208" t="e">
        <f>IF(G76&gt;90,"4.00",IF(G76&gt;80,"3.50",IF(G76&gt;69,"3.00",IF(G76&gt;64,"2.50",IF(G76&gt;59,"2.00",IF(G76&gt;54,"1.50",IF(G76&gt;49,"1.00","0.00")))))))</f>
        <v>#REF!</v>
      </c>
      <c r="I40" s="204" t="e">
        <f>IF(G76&gt;=90,"A",IF(G76&gt;=80,"B+",IF(G76&gt;=70,"B",IF(G76&gt;=65,"C+",IF(G76&gt;=60,"C",IF(G76&gt;=55,"D+",IF(G76&gt;=50,"D",IF(G76&gt;=0,"F"))))))))</f>
        <v>#REF!</v>
      </c>
      <c r="J40" s="387" t="e">
        <f>(H73*F73+H74*F74+H75*F75+H76*F76+H77*F77+H78*F78)/(F73+F74+F75+F76+F77+F78)</f>
        <v>#REF!</v>
      </c>
      <c r="K40" s="209" t="e">
        <f>(J73)</f>
        <v>#REF!</v>
      </c>
      <c r="L40" s="181"/>
      <c r="M40" s="161"/>
      <c r="N40" s="161"/>
      <c r="O40" s="201"/>
    </row>
    <row r="41" ht="17.25" customHeight="1" spans="1:15" s="161" customFormat="1" x14ac:dyDescent="0.25">
      <c r="A41" s="385" t="s">
        <v>763</v>
      </c>
      <c r="B41" s="386" t="s">
        <v>764</v>
      </c>
      <c r="C41" s="204">
        <v>5</v>
      </c>
      <c r="D41" s="334" t="s">
        <v>767</v>
      </c>
      <c r="E41" s="335" t="s">
        <v>767</v>
      </c>
      <c r="F41" s="204">
        <v>3</v>
      </c>
      <c r="G41" s="282" t="e">
        <f>VLOOKUP($E$12,#REF!,71,FALSE)</f>
        <v>#REF!</v>
      </c>
      <c r="H41" s="208" t="e">
        <f>IF(G77&gt;90,"4.00",IF(G77&gt;80,"3.50",IF(G77&gt;69,"3.00",IF(G77&gt;64,"2.50",IF(G77&gt;59,"2.00",IF(G77&gt;54,"1.50",IF(G77&gt;49,"1.00","0.00")))))))</f>
        <v>#REF!</v>
      </c>
      <c r="I41" s="204" t="e">
        <f>IF(G77&gt;=90,"A",IF(G77&gt;=80,"B+",IF(G77&gt;=70,"B",IF(G77&gt;=65,"C+",IF(G77&gt;=60,"C",IF(G77&gt;=55,"D+",IF(G77&gt;=50,"D",IF(G77&gt;=0,"F"))))))))</f>
        <v>#REF!</v>
      </c>
      <c r="J41" s="387" t="e">
        <f>(H73*F73+H74*F74+H75*F75+H76*F76+H77*F77+H78*F78)/(F73+F74+F75+F76+F77+F78)</f>
        <v>#REF!</v>
      </c>
      <c r="K41" s="209" t="e">
        <f>(J73)</f>
        <v>#REF!</v>
      </c>
      <c r="L41" s="47"/>
      <c r="M41" s="161"/>
      <c r="N41" s="161"/>
      <c r="O41" s="201"/>
    </row>
    <row r="42" ht="29.25" customHeight="1" spans="1:15" s="161" customFormat="1" x14ac:dyDescent="0.25">
      <c r="A42" s="385" t="s">
        <v>763</v>
      </c>
      <c r="B42" s="386" t="s">
        <v>764</v>
      </c>
      <c r="C42" s="284">
        <v>6</v>
      </c>
      <c r="D42" s="347" t="s">
        <v>768</v>
      </c>
      <c r="E42" s="348" t="s">
        <v>768</v>
      </c>
      <c r="F42" s="284">
        <v>3</v>
      </c>
      <c r="G42" s="285" t="e">
        <f>VLOOKUP($E$12,#REF!,72,FALSE)</f>
        <v>#REF!</v>
      </c>
      <c r="H42" s="285" t="e">
        <f>IF(G78&gt;90,"4.00",IF(G78&gt;80,"3.50",IF(G78&gt;69,"3.00",IF(G78&gt;64,"2.50",IF(G78&gt;59,"2.00",IF(G78&gt;54,"1.50",IF(G78&gt;49,"1.00","0.00")))))))</f>
        <v>#REF!</v>
      </c>
      <c r="I42" s="284" t="e">
        <f>IF(G78&gt;=90,"A",IF(G78&gt;=80,"B+",IF(G78&gt;=70,"B",IF(G78&gt;=65,"C+",IF(G78&gt;=60,"C",IF(G78&gt;=55,"D+",IF(G78&gt;=50,"D",IF(G78&gt;=0,"F"))))))))</f>
        <v>#REF!</v>
      </c>
      <c r="J42" s="387" t="e">
        <f>(H73*F73+H74*F74+H75*F75+H76*F76+H77*F77+H78*F78)/(F73+F74+F75+F76+F77+F78)</f>
        <v>#REF!</v>
      </c>
      <c r="K42" s="209" t="e">
        <f>(J73)</f>
        <v>#REF!</v>
      </c>
      <c r="L42" s="161"/>
      <c r="M42" s="161"/>
      <c r="N42" s="161"/>
      <c r="O42" s="201"/>
    </row>
    <row r="43" ht="18.75" customHeight="1" spans="1:12" s="161" customFormat="1" x14ac:dyDescent="0.25">
      <c r="A43" s="385" t="s">
        <v>763</v>
      </c>
      <c r="B43" s="261" t="s">
        <v>769</v>
      </c>
      <c r="C43" s="210">
        <v>1</v>
      </c>
      <c r="D43" s="388" t="s">
        <v>759</v>
      </c>
      <c r="E43" s="389" t="s">
        <v>759</v>
      </c>
      <c r="F43" s="210">
        <v>2</v>
      </c>
      <c r="G43" s="368" t="e">
        <f>VLOOKUP($E$12,#REF!,73,FALSE)</f>
        <v>#REF!</v>
      </c>
      <c r="H43" s="223" t="e">
        <f>IF(G79&gt;90,"4.00",IF(G79&gt;80,"3.50",IF(G79&gt;69,"3.00",IF(G79&gt;64,"2.50",IF(G79&gt;59,"2.00",IF(G79&gt;54,"1.50",IF(G79&gt;49,"1.00","0.00")))))))</f>
        <v>#REF!</v>
      </c>
      <c r="I43" s="210" t="e">
        <f>IF(G79&gt;=90,"A",IF(G79&gt;=80,"B+",IF(G79&gt;=70,"B",IF(G79&gt;=65,"C+",IF(G79&gt;=60,"C",IF(G79&gt;=55,"D+",IF(G79&gt;=50,"D",IF(G79&gt;=0,"F"))))))))</f>
        <v>#REF!</v>
      </c>
      <c r="J43" s="373" t="e">
        <f>(H79*F79+H80*F80+H81*F81+H82*F82)/(F79+F80+F81+F82)</f>
        <v>#REF!</v>
      </c>
      <c r="K43" s="209" t="e">
        <f>(J73)</f>
        <v>#REF!</v>
      </c>
      <c r="L43" s="181"/>
    </row>
    <row r="44" ht="18.75" customHeight="1" spans="1:12" s="161" customFormat="1" x14ac:dyDescent="0.25">
      <c r="A44" s="385" t="s">
        <v>763</v>
      </c>
      <c r="B44" s="265" t="s">
        <v>769</v>
      </c>
      <c r="C44" s="204">
        <v>2</v>
      </c>
      <c r="D44" s="390" t="s">
        <v>760</v>
      </c>
      <c r="E44" s="391" t="s">
        <v>760</v>
      </c>
      <c r="F44" s="204">
        <v>2</v>
      </c>
      <c r="G44" s="282" t="e">
        <f>VLOOKUP($E$12,#REF!,74,FALSE)</f>
        <v>#REF!</v>
      </c>
      <c r="H44" s="208" t="e">
        <f>IF(G80&gt;90,"4.00",IF(G80&gt;80,"3.50",IF(G80&gt;69,"3.00",IF(G80&gt;64,"2.50",IF(G80&gt;59,"2.00",IF(G80&gt;54,"1.50",IF(G80&gt;49,"1.00","0.00")))))))</f>
        <v>#REF!</v>
      </c>
      <c r="I44" s="204" t="e">
        <f>IF(G80&gt;=90,"A",IF(G80&gt;=80,"B+",IF(G80&gt;=70,"B",IF(G80&gt;=65,"C+",IF(G80&gt;=60,"C",IF(G80&gt;=55,"D+",IF(G80&gt;=50,"D",IF(G80&gt;=0,"F"))))))))</f>
        <v>#REF!</v>
      </c>
      <c r="J44" s="369" t="e">
        <f>(H79*F79+H80*F80+H81*F81+H82*F82)/(F79+F80+F81+F82)</f>
        <v>#REF!</v>
      </c>
      <c r="K44" s="209" t="e">
        <f>(J73)</f>
        <v>#REF!</v>
      </c>
      <c r="L44" s="181"/>
    </row>
    <row r="45" ht="18.75" customHeight="1" spans="1:15" s="161" customFormat="1" x14ac:dyDescent="0.25">
      <c r="A45" s="385" t="s">
        <v>763</v>
      </c>
      <c r="B45" s="265" t="s">
        <v>769</v>
      </c>
      <c r="C45" s="204">
        <v>3</v>
      </c>
      <c r="D45" s="390" t="s">
        <v>761</v>
      </c>
      <c r="E45" s="391" t="s">
        <v>761</v>
      </c>
      <c r="F45" s="204">
        <v>2</v>
      </c>
      <c r="G45" s="282" t="e">
        <f>VLOOKUP($E$12,#REF!,75,FALSE)</f>
        <v>#REF!</v>
      </c>
      <c r="H45" s="208" t="e">
        <f>IF(G81&gt;90,"4.00",IF(G81&gt;80,"3.50",IF(G81&gt;69,"3.00",IF(G81&gt;64,"2.50",IF(G81&gt;59,"2.00",IF(G81&gt;54,"1.50",IF(G81&gt;49,"1.00","0.00")))))))</f>
        <v>#REF!</v>
      </c>
      <c r="I45" s="204" t="e">
        <f>IF(G81&gt;=90,"A",IF(G81&gt;=80,"B+",IF(G81&gt;=70,"B",IF(G81&gt;=65,"C+",IF(G81&gt;=60,"C",IF(G81&gt;=55,"D+",IF(G81&gt;=50,"D",IF(G81&gt;=0,"F"))))))))</f>
        <v>#REF!</v>
      </c>
      <c r="J45" s="369" t="e">
        <f>(H79*F79+H80*F80+H81*F81+H82*F82)/(F79+F80+F81+F82)</f>
        <v>#REF!</v>
      </c>
      <c r="K45" s="209" t="e">
        <f>(J73)</f>
        <v>#REF!</v>
      </c>
      <c r="L45" s="181"/>
      <c r="M45" s="161"/>
      <c r="N45" s="161"/>
      <c r="O45" s="201"/>
    </row>
    <row r="46" ht="18.75" customHeight="1" spans="1:15" s="161" customFormat="1" x14ac:dyDescent="0.25">
      <c r="A46" s="392" t="s">
        <v>763</v>
      </c>
      <c r="B46" s="265" t="s">
        <v>769</v>
      </c>
      <c r="C46" s="204">
        <v>4</v>
      </c>
      <c r="D46" s="393" t="s">
        <v>770</v>
      </c>
      <c r="E46" s="394" t="s">
        <v>770</v>
      </c>
      <c r="F46" s="395">
        <v>9</v>
      </c>
      <c r="G46" s="396" t="e">
        <f>VLOOKUP($E$12,#REF!,76,FALSE)</f>
        <v>#REF!</v>
      </c>
      <c r="H46" s="397" t="e">
        <f>IF(G82&gt;90,"4.00",IF(G82&gt;80,"3.50",IF(G82&gt;69,"3.00",IF(G82&gt;64,"2.50",IF(G82&gt;59,"2.00",IF(G82&gt;54,"1.50",IF(G82&gt;49,"1.00","0.00")))))))</f>
        <v>#REF!</v>
      </c>
      <c r="I46" s="210" t="e">
        <f>IF(G82&gt;=90,"A",IF(G82&gt;=80,"B+",IF(G82&gt;=70,"B",IF(G82&gt;=65,"C+",IF(G82&gt;=60,"C",IF(G82&gt;=55,"D+",IF(G82&gt;=50,"D",IF(G82&gt;=0,"F"))))))))</f>
        <v>#REF!</v>
      </c>
      <c r="J46" s="369" t="e">
        <f>(H79*F79+H80*F80+H81*F81+H82*F82)/(F79+F80+F81+F82)</f>
        <v>#REF!</v>
      </c>
      <c r="K46" s="269" t="e">
        <f>(J73)</f>
        <v>#REF!</v>
      </c>
      <c r="L46" s="47"/>
      <c r="M46" s="161"/>
      <c r="N46" s="161"/>
      <c r="O46" s="201"/>
    </row>
    <row r="47" ht="21.75" customHeight="1" spans="1:15" s="161" customFormat="1" x14ac:dyDescent="0.25">
      <c r="A47" s="349" t="s">
        <v>599</v>
      </c>
      <c r="B47" s="350" t="s">
        <v>599</v>
      </c>
      <c r="C47" s="350" t="s">
        <v>599</v>
      </c>
      <c r="D47" s="350" t="s">
        <v>599</v>
      </c>
      <c r="E47" s="351" t="s">
        <v>599</v>
      </c>
      <c r="F47" s="291">
        <f>SUM(F16:F82)</f>
        <v>130</v>
      </c>
      <c r="G47" s="292"/>
      <c r="H47" s="293"/>
      <c r="I47" s="292" t="e">
        <f>IF(J83&gt;4,"A",IF(J83&gt;3.5,"B+",IF(J83&gt;3,"B",IF(J83&gt;2.5,"C+",IF(J83&gt;2,"C",IF(J83&gt;1.5,"D+",IF(J83&gt;1,"D",IF(J83&gt;0.5,"F"))))))))</f>
        <v>#REF!</v>
      </c>
      <c r="J47" s="294" t="e">
        <f>AVERAGE(K15:K78)</f>
        <v>#REF!</v>
      </c>
      <c r="K47" s="295" t="e">
        <f>AVERAGE(K15:K78)</f>
        <v>#REF!</v>
      </c>
      <c r="L47" s="161"/>
      <c r="M47" s="161"/>
      <c r="N47" s="161"/>
      <c r="O47" s="201"/>
    </row>
    <row r="48" ht="15.75" customHeight="1" spans="1:15" s="161" customFormat="1" x14ac:dyDescent="0.25">
      <c r="A48" s="47"/>
      <c r="B48" s="47"/>
      <c r="C48" s="47"/>
      <c r="D48" s="47"/>
      <c r="E48" s="47"/>
      <c r="F48" s="47"/>
      <c r="G48" s="181"/>
      <c r="H48" s="342"/>
      <c r="I48" s="181"/>
      <c r="J48" s="343"/>
      <c r="K48" s="343"/>
      <c r="L48" s="161"/>
      <c r="M48" s="161"/>
      <c r="N48" s="161"/>
      <c r="O48" s="201"/>
    </row>
    <row r="49" ht="16" customHeight="1" spans="1:8" x14ac:dyDescent="0.25">
      <c r="A49" s="136" t="s">
        <v>491</v>
      </c>
      <c r="B49" s="149"/>
      <c r="C49" s="149"/>
      <c r="D49" s="149"/>
      <c r="E49" s="136"/>
      <c r="F49" s="136"/>
      <c r="G49" s="136"/>
      <c r="H49" s="136" t="s">
        <v>584</v>
      </c>
    </row>
    <row r="50" spans="1:8" x14ac:dyDescent="0.25">
      <c r="A50" s="136" t="s">
        <v>493</v>
      </c>
      <c r="B50" s="136"/>
      <c r="C50" s="136"/>
      <c r="D50" s="136"/>
      <c r="E50" s="136"/>
      <c r="F50" s="136"/>
      <c r="G50" s="136"/>
      <c r="H50" s="136" t="s">
        <v>585</v>
      </c>
    </row>
    <row r="51" ht="17.25" customHeight="1" spans="1:42" s="202" customFormat="1" x14ac:dyDescent="0.25">
      <c r="A51" s="265" t="s">
        <v>586</v>
      </c>
      <c r="B51" s="265" t="s">
        <v>594</v>
      </c>
      <c r="C51" s="204">
        <v>4</v>
      </c>
      <c r="D51" s="334" t="s">
        <v>596</v>
      </c>
      <c r="E51" s="335" t="s">
        <v>596</v>
      </c>
      <c r="F51" s="204">
        <v>2</v>
      </c>
      <c r="G51" s="282" t="e">
        <f>VLOOKUP($E$12,#REF!,40,FALSE)</f>
        <v>#REF!</v>
      </c>
      <c r="H51" s="208" t="e">
        <f>IF(G46&gt;90,"4.00",IF(G46&gt;80,"3.50",IF(G46&gt;69,"3.00",IF(G46&gt;64,"2.50",IF(G46&gt;59,"2.00",IF(G46&gt;54,"1.50",IF(G46&gt;49,"1.00","0.00")))))))</f>
        <v>#REF!</v>
      </c>
      <c r="I51" s="204" t="e">
        <f>IF(G46&gt;=90,"A",IF(G46&gt;=80,"B+",IF(G46&gt;=70,"B",IF(G46&gt;=65,"C+",IF(G46&gt;=60,"C",IF(G46&gt;=55,"D+",IF(G46&gt;=50,"D",IF(G46&gt;=0,"F"))))))))</f>
        <v>#REF!</v>
      </c>
      <c r="J51" s="333" t="e">
        <f>(H43*F43+H44*F44+H45*F45+H46*F46+H47*F47+H48*F48+H49*F49+H50*F50+H51*F51)/(F43+F44+F45+F46+F47+F48+F49+F50+F51)</f>
        <v>#REF!</v>
      </c>
      <c r="K51" s="266" t="e">
        <f>(J33+J43)/2</f>
        <v>#REF!</v>
      </c>
      <c r="L51" s="181"/>
      <c r="M51" s="161"/>
      <c r="N51" s="161"/>
      <c r="O51" s="20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</row>
    <row r="52" ht="17.25" customHeight="1" spans="1:42" s="202" customFormat="1" x14ac:dyDescent="0.25">
      <c r="A52" s="265" t="s">
        <v>586</v>
      </c>
      <c r="B52" s="265" t="s">
        <v>594</v>
      </c>
      <c r="C52" s="204">
        <v>5</v>
      </c>
      <c r="D52" s="334" t="s">
        <v>597</v>
      </c>
      <c r="E52" s="335" t="s">
        <v>597</v>
      </c>
      <c r="F52" s="204">
        <v>1</v>
      </c>
      <c r="G52" s="282" t="e">
        <f>VLOOKUP($E$12,#REF!,41,FALSE)</f>
        <v>#REF!</v>
      </c>
      <c r="H52" s="208" t="e">
        <f>IF(G47&gt;90,"4.00",IF(G47&gt;80,"3.50",IF(G47&gt;69,"3.00",IF(G47&gt;64,"2.50",IF(G47&gt;59,"2.00",IF(G47&gt;54,"1.50",IF(G47&gt;49,"1.00","0.00")))))))</f>
        <v>#REF!</v>
      </c>
      <c r="I52" s="204" t="e">
        <f>IF(G47&gt;=90,"A",IF(G47&gt;=80,"B+",IF(G47&gt;=70,"B",IF(G47&gt;=65,"C+",IF(G47&gt;=60,"C",IF(G47&gt;=55,"D+",IF(G47&gt;=50,"D",IF(G47&gt;=0,"F"))))))))</f>
        <v>#REF!</v>
      </c>
      <c r="J52" s="333" t="e">
        <f>(H43*F43+H44*F44+H45*F45+H46*F46+H47*F47+H48*F48+H49*F49+H50*F50+H51*F51)/(F43+F44+F45+F46+F47+F48+F49+F50+F51)</f>
        <v>#REF!</v>
      </c>
      <c r="K52" s="266" t="e">
        <f>(J33+J43)/2</f>
        <v>#REF!</v>
      </c>
      <c r="L52" s="181"/>
      <c r="M52" s="161"/>
      <c r="N52" s="344"/>
      <c r="O52" s="345"/>
      <c r="P52" s="345"/>
      <c r="Q52" s="344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</row>
    <row r="53" ht="17.25" customHeight="1" spans="1:42" s="202" customFormat="1" x14ac:dyDescent="0.25">
      <c r="A53" s="265" t="s">
        <v>586</v>
      </c>
      <c r="B53" s="265" t="s">
        <v>594</v>
      </c>
      <c r="C53" s="204">
        <v>6</v>
      </c>
      <c r="D53" s="334" t="s">
        <v>578</v>
      </c>
      <c r="E53" s="335" t="s">
        <v>578</v>
      </c>
      <c r="F53" s="204">
        <v>1</v>
      </c>
      <c r="G53" s="282" t="e">
        <f>VLOOKUP($E$12,#REF!,42,FALSE)</f>
        <v>#REF!</v>
      </c>
      <c r="H53" s="208" t="e">
        <f>IF(G48&gt;90,"4.00",IF(G48&gt;80,"3.50",IF(G48&gt;69,"3.00",IF(G48&gt;64,"2.50",IF(G48&gt;59,"2.00",IF(G48&gt;54,"1.50",IF(G48&gt;49,"1.00","0.00")))))))</f>
        <v>#REF!</v>
      </c>
      <c r="I53" s="204" t="e">
        <f>IF(G48&gt;=90,"A",IF(G48&gt;=80,"B+",IF(G48&gt;=70,"B",IF(G48&gt;=65,"C+",IF(G48&gt;=60,"C",IF(G48&gt;=55,"D+",IF(G48&gt;=50,"D",IF(G48&gt;=0,"F"))))))))</f>
        <v>#REF!</v>
      </c>
      <c r="J53" s="333" t="e">
        <f>(H43*F43+H44*F44+H45*F45+H46*F46+H47*F47+H48*F48+H49*F49+H50*F50+H51*F51)/(F43+F44+F45+F46+F47+F48+F49+F50+F51)</f>
        <v>#REF!</v>
      </c>
      <c r="K53" s="266" t="e">
        <f>(J33+J43)/2</f>
        <v>#REF!</v>
      </c>
      <c r="L53" s="181"/>
      <c r="M53" s="161"/>
      <c r="N53" s="161"/>
      <c r="O53" s="20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</row>
    <row r="54" ht="17.25" customHeight="1" spans="1:42" s="202" customFormat="1" x14ac:dyDescent="0.25">
      <c r="A54" s="265" t="s">
        <v>586</v>
      </c>
      <c r="B54" s="265" t="s">
        <v>594</v>
      </c>
      <c r="C54" s="204">
        <v>7</v>
      </c>
      <c r="D54" s="334" t="s">
        <v>571</v>
      </c>
      <c r="E54" s="335" t="s">
        <v>571</v>
      </c>
      <c r="F54" s="205">
        <v>2</v>
      </c>
      <c r="G54" s="282" t="e">
        <f>VLOOKUP($E$12,#REF!,43,FALSE)</f>
        <v>#REF!</v>
      </c>
      <c r="H54" s="208" t="e">
        <f>IF(G49&gt;90,"4.00",IF(G49&gt;80,"3.50",IF(G49&gt;69,"3.00",IF(G49&gt;64,"2.50",IF(G49&gt;59,"2.00",IF(G49&gt;54,"1.50",IF(G49&gt;49,"1.00","0.00")))))))</f>
        <v>#REF!</v>
      </c>
      <c r="I54" s="204" t="e">
        <f>IF(G49&gt;=90,"A",IF(G49&gt;=80,"B+",IF(G49&gt;=70,"B",IF(G49&gt;=65,"C+",IF(G49&gt;=60,"C",IF(G49&gt;=55,"D+",IF(G49&gt;=50,"D",IF(G49&gt;=0,"F"))))))))</f>
        <v>#REF!</v>
      </c>
      <c r="J54" s="336" t="e">
        <f>(H43*F43+H44*F44+H45*F45+H46*F46+H47*F47+H48*F48+H49*F49+H50*F50+H51*F51)/(F43+F44+F45+F46+F47+F48+F49+F50+F51)</f>
        <v>#REF!</v>
      </c>
      <c r="K54" s="283" t="e">
        <f>(J33+J43)/2</f>
        <v>#REF!</v>
      </c>
      <c r="L54" s="181"/>
      <c r="M54" s="344"/>
      <c r="N54" s="161"/>
      <c r="O54" s="344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</row>
    <row r="55" ht="17.25" customHeight="1" spans="1:42" s="202" customFormat="1" x14ac:dyDescent="0.25">
      <c r="A55" s="265" t="s">
        <v>586</v>
      </c>
      <c r="B55" s="265" t="s">
        <v>594</v>
      </c>
      <c r="C55" s="204">
        <v>8</v>
      </c>
      <c r="D55" s="334" t="s">
        <v>572</v>
      </c>
      <c r="E55" s="335" t="s">
        <v>572</v>
      </c>
      <c r="F55" s="204">
        <v>2</v>
      </c>
      <c r="G55" s="282" t="e">
        <f>VLOOKUP($E$12,#REF!,44,FALSE)</f>
        <v>#REF!</v>
      </c>
      <c r="H55" s="208" t="e">
        <f>IF(G50&gt;90,"4.00",IF(G50&gt;80,"3.50",IF(G50&gt;69,"3.00",IF(G50&gt;64,"2.50",IF(G50&gt;59,"2.00",IF(G50&gt;54,"1.50",IF(G50&gt;49,"1.00","0.00")))))))</f>
        <v>#REF!</v>
      </c>
      <c r="I55" s="204" t="e">
        <f>IF(G50&gt;=90,"A",IF(G50&gt;=80,"B+",IF(G50&gt;=70,"B",IF(G50&gt;=65,"C+",IF(G50&gt;=60,"C",IF(G50&gt;=55,"D+",IF(G50&gt;=50,"D",IF(G50&gt;=0,"F"))))))))</f>
        <v>#REF!</v>
      </c>
      <c r="J55" s="336" t="e">
        <f>(H43*F43+H44*F44+H45*F45+H46*F46+H47*F47+H48*F48+H49*F49+H50*F50+H51*F51)/(F43+F44+F45+F46+F47+F48+F49+F50+F51)</f>
        <v>#REF!</v>
      </c>
      <c r="K55" s="283" t="e">
        <f>(J33+J43)/2</f>
        <v>#REF!</v>
      </c>
      <c r="L55" s="181"/>
      <c r="M55" s="161"/>
      <c r="N55" s="161"/>
      <c r="O55" s="20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</row>
    <row r="56" ht="17.25" customHeight="1" spans="1:42" s="202" customFormat="1" x14ac:dyDescent="0.25">
      <c r="A56" s="268" t="s">
        <v>586</v>
      </c>
      <c r="B56" s="268" t="s">
        <v>594</v>
      </c>
      <c r="C56" s="284">
        <v>9</v>
      </c>
      <c r="D56" s="347" t="s">
        <v>598</v>
      </c>
      <c r="E56" s="348" t="s">
        <v>598</v>
      </c>
      <c r="F56" s="284">
        <v>2</v>
      </c>
      <c r="G56" s="285" t="e">
        <f>VLOOKUP($E$12,#REF!,45,FALSE)</f>
        <v>#REF!</v>
      </c>
      <c r="H56" s="285" t="e">
        <f>IF(G51&gt;90,"4.00",IF(G51&gt;80,"3.50",IF(G51&gt;69,"3.00",IF(G51&gt;64,"2.50",IF(G51&gt;59,"2.00",IF(G51&gt;54,"1.50",IF(G51&gt;49,"1.00","0.00")))))))</f>
        <v>#REF!</v>
      </c>
      <c r="I56" s="284" t="e">
        <f>IF(G51&gt;=90,"A",IF(G51&gt;=80,"B+",IF(G51&gt;=70,"B",IF(G51&gt;=65,"C+",IF(G51&gt;=60,"C",IF(G51&gt;=55,"D+",IF(G51&gt;=50,"D",IF(G51&gt;=0,"F"))))))))</f>
        <v>#REF!</v>
      </c>
      <c r="J56" s="339" t="e">
        <f>(H43*F43+H44*F44+H45*F45+H46*F46+H47*F47+H48*F48+H49*F49+H50*F50+H51*F51)/(F43+F44+F45+F46+F47+F48+F49+F50+F51)</f>
        <v>#REF!</v>
      </c>
      <c r="K56" s="286" t="e">
        <f>(J33+J43)/2</f>
        <v>#REF!</v>
      </c>
      <c r="L56" s="181"/>
      <c r="M56" s="161"/>
      <c r="N56" s="161"/>
      <c r="O56" s="20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</row>
    <row r="57" ht="17.25" customHeight="1" spans="1:15" s="161" customFormat="1" x14ac:dyDescent="0.25">
      <c r="A57" s="367" t="s">
        <v>700</v>
      </c>
      <c r="B57" s="326" t="s">
        <v>701</v>
      </c>
      <c r="C57" s="194">
        <v>1</v>
      </c>
      <c r="D57" s="327" t="s">
        <v>679</v>
      </c>
      <c r="E57" s="328" t="s">
        <v>679</v>
      </c>
      <c r="F57" s="299">
        <v>3</v>
      </c>
      <c r="G57" s="287" t="e">
        <f>VLOOKUP($E$12,#REF!,46,FALSE)</f>
        <v>#REF!</v>
      </c>
      <c r="H57" s="340" t="e">
        <f>IF(G52&gt;90,"4.00",IF(G52&gt;80,"3.50",IF(G52&gt;69,"3.00",IF(G52&gt;64,"2.50",IF(G52&gt;59,"2.00",IF(G52&gt;54,"1.50",IF(G52&gt;49,"1.00","0.00")))))))</f>
        <v>#REF!</v>
      </c>
      <c r="I57" s="194" t="e">
        <f>IF(G52&gt;=90,"A",IF(G52&gt;=80,"B+",IF(G52&gt;=70,"B",IF(G52&gt;=65,"C+",IF(G52&gt;=60,"C",IF(G52&gt;=55,"D+",IF(G52&gt;=50,"D",IF(G52&gt;=0,"F"))))))))</f>
        <v>#REF!</v>
      </c>
      <c r="J57" s="363" t="e">
        <f>(H52*F52+H53*F53+H54*F54+H55*F55+H56*F56+H57*F57+H58*F58+H59*F59+H60*F60+H61*F61+H62*F62)/(F52+F53+F54+F55+F56+F57+F58+F59+F60+F61+F62)</f>
        <v>#REF!</v>
      </c>
      <c r="K57" s="264" t="e">
        <f>(J52+J63)/2</f>
        <v>#REF!</v>
      </c>
      <c r="L57" s="181"/>
      <c r="M57" s="161"/>
      <c r="N57" s="161"/>
      <c r="O57" s="201"/>
    </row>
    <row r="58" ht="17.25" customHeight="1" spans="1:14" s="161" customFormat="1" x14ac:dyDescent="0.25">
      <c r="A58" s="365" t="s">
        <v>700</v>
      </c>
      <c r="B58" s="330" t="s">
        <v>701</v>
      </c>
      <c r="C58" s="204">
        <v>2</v>
      </c>
      <c r="D58" s="334" t="s">
        <v>681</v>
      </c>
      <c r="E58" s="335" t="s">
        <v>681</v>
      </c>
      <c r="F58" s="205">
        <v>1</v>
      </c>
      <c r="G58" s="282" t="e">
        <f>VLOOKUP($E$12,#REF!,47,FALSE)</f>
        <v>#REF!</v>
      </c>
      <c r="H58" s="208" t="e">
        <f>IF(G53&gt;90,"4.00",IF(G53&gt;80,"3.50",IF(G53&gt;69,"3.00",IF(G53&gt;64,"2.50",IF(G53&gt;59,"2.00",IF(G53&gt;54,"1.50",IF(G53&gt;49,"1.00","0.00")))))))</f>
        <v>#REF!</v>
      </c>
      <c r="I58" s="204" t="e">
        <f>IF(G53&gt;=90,"A",IF(G53&gt;=80,"B+",IF(G53&gt;=70,"B",IF(G53&gt;=65,"C+",IF(G53&gt;=60,"C",IF(G53&gt;=55,"D+",IF(G53&gt;=50,"D",IF(G53&gt;=0,"F"))))))))</f>
        <v>#REF!</v>
      </c>
      <c r="J58" s="353" t="e">
        <f>(H52*F52+H53*F53+H54*F54+H55*F55+H56*F56+H57*F57+H58*F58+H59*F59+H60*F60+H61*F61+H62*F62)/(F52+F53+F54+F55+F56+F57+F58+F59+F60+F61+F62)</f>
        <v>#REF!</v>
      </c>
      <c r="K58" s="304" t="e">
        <f>(J52+J63)/2</f>
        <v>#REF!</v>
      </c>
      <c r="L58" s="181"/>
      <c r="M58" s="357"/>
      <c r="N58" s="357"/>
    </row>
    <row r="59" ht="17.25" customHeight="1" spans="1:16" s="161" customFormat="1" x14ac:dyDescent="0.25">
      <c r="A59" s="365" t="s">
        <v>700</v>
      </c>
      <c r="B59" s="330" t="s">
        <v>701</v>
      </c>
      <c r="C59" s="204">
        <v>3</v>
      </c>
      <c r="D59" s="334" t="s">
        <v>710</v>
      </c>
      <c r="E59" s="335" t="s">
        <v>710</v>
      </c>
      <c r="F59" s="205">
        <v>2</v>
      </c>
      <c r="G59" s="282" t="e">
        <f>VLOOKUP($E$12,#REF!,48,FALSE)</f>
        <v>#REF!</v>
      </c>
      <c r="H59" s="208" t="e">
        <f>IF(G54&gt;90,"4.00",IF(G54&gt;80,"3.50",IF(G54&gt;69,"3.00",IF(G54&gt;64,"2.50",IF(G54&gt;59,"2.00",IF(G54&gt;54,"1.50",IF(G54&gt;49,"1.00","0.00")))))))</f>
        <v>#REF!</v>
      </c>
      <c r="I59" s="204" t="e">
        <f>IF(G54&gt;=90,"A",IF(G54&gt;=80,"B+",IF(G54&gt;=70,"B",IF(G54&gt;=65,"C+",IF(G54&gt;=60,"C",IF(G54&gt;=55,"D+",IF(G54&gt;=50,"D",IF(G54&gt;=0,"F"))))))))</f>
        <v>#REF!</v>
      </c>
      <c r="J59" s="353" t="e">
        <f>(H52*F52+H53*F53+H54*F54+H55*F55+H56*F56+H57*F57+H58*F58+H59*F59+H60*F60+H61*F61+H62*F62)/(F52+F53+F54+F55+F56+F57+F58+F59+F60+F61+F62)</f>
        <v>#REF!</v>
      </c>
      <c r="K59" s="266" t="e">
        <f>(J52+J63)/2</f>
        <v>#REF!</v>
      </c>
      <c r="L59" s="181"/>
      <c r="M59" s="161"/>
      <c r="N59" s="161"/>
      <c r="O59" s="366"/>
      <c r="P59" s="366"/>
    </row>
    <row r="60" ht="17.25" customHeight="1" spans="1:16" s="161" customFormat="1" x14ac:dyDescent="0.25">
      <c r="A60" s="365" t="s">
        <v>700</v>
      </c>
      <c r="B60" s="330" t="s">
        <v>701</v>
      </c>
      <c r="C60" s="204">
        <v>4</v>
      </c>
      <c r="D60" s="334" t="s">
        <v>711</v>
      </c>
      <c r="E60" s="335" t="s">
        <v>711</v>
      </c>
      <c r="F60" s="205">
        <v>1</v>
      </c>
      <c r="G60" s="282" t="e">
        <f>VLOOKUP($E$12,#REF!,49,FALSE)</f>
        <v>#REF!</v>
      </c>
      <c r="H60" s="208" t="e">
        <f>IF(G55&gt;90,"4.00",IF(G55&gt;80,"3.50",IF(G55&gt;69,"3.00",IF(G55&gt;64,"2.50",IF(G55&gt;59,"2.00",IF(G55&gt;54,"1.50",IF(G55&gt;49,"1.00","0.00")))))))</f>
        <v>#REF!</v>
      </c>
      <c r="I60" s="204" t="e">
        <f>IF(G55&gt;=90,"A",IF(G55&gt;=80,"B+",IF(G55&gt;=70,"B",IF(G55&gt;=65,"C+",IF(G55&gt;=60,"C",IF(G55&gt;=55,"D+",IF(G55&gt;=50,"D",IF(G55&gt;=0,"F"))))))))</f>
        <v>#REF!</v>
      </c>
      <c r="J60" s="353" t="e">
        <f>(H52*F52+H53*F53+H54*F54+H55*F55+H56*F56+H57*F57+H58*F58+H59*F59+H60*F60+H61*F61+H62*F62)/(F52+F53+F54+F55+F56+F57+F58+F59+F60+F61+F62)</f>
        <v>#REF!</v>
      </c>
      <c r="K60" s="266" t="e">
        <f>(J52+J63)/2</f>
        <v>#REF!</v>
      </c>
      <c r="L60" s="181"/>
      <c r="M60" s="161"/>
      <c r="N60" s="161"/>
      <c r="O60" s="366"/>
      <c r="P60" s="366"/>
    </row>
    <row r="61" ht="17.25" customHeight="1" spans="1:16" s="161" customFormat="1" x14ac:dyDescent="0.25">
      <c r="A61" s="365" t="s">
        <v>700</v>
      </c>
      <c r="B61" s="330" t="s">
        <v>701</v>
      </c>
      <c r="C61" s="204">
        <v>5</v>
      </c>
      <c r="D61" s="334" t="s">
        <v>682</v>
      </c>
      <c r="E61" s="335" t="s">
        <v>682</v>
      </c>
      <c r="F61" s="205">
        <v>1</v>
      </c>
      <c r="G61" s="282" t="e">
        <f>VLOOKUP($E$12,#REF!,50,FALSE)</f>
        <v>#REF!</v>
      </c>
      <c r="H61" s="208" t="e">
        <f>IF(G56&gt;90,"4.00",IF(G56&gt;80,"3.50",IF(G56&gt;69,"3.00",IF(G56&gt;64,"2.50",IF(G56&gt;59,"2.00",IF(G56&gt;54,"1.50",IF(G56&gt;49,"1.00","0.00")))))))</f>
        <v>#REF!</v>
      </c>
      <c r="I61" s="204" t="e">
        <f>IF(G56&gt;=90,"A",IF(G56&gt;=80,"B+",IF(G56&gt;=70,"B",IF(G56&gt;=65,"C+",IF(G56&gt;=60,"C",IF(G56&gt;=55,"D+",IF(G56&gt;=50,"D",IF(G56&gt;=0,"F"))))))))</f>
        <v>#REF!</v>
      </c>
      <c r="J61" s="353" t="e">
        <f>(H52*F52+H53*F53+H54*F54+H55*F55+H56*F56+H57*F57+H58*F58+H59*F59+H60*F60+H61*F61+H62*F62)/(F52+F53+F54+F55+F56+F57+F58+F59+F60+F61+F62)</f>
        <v>#REF!</v>
      </c>
      <c r="K61" s="266" t="e">
        <f>(J52+J63)/2</f>
        <v>#REF!</v>
      </c>
      <c r="L61" s="181"/>
      <c r="M61" s="161"/>
      <c r="N61" s="161"/>
      <c r="O61" s="366"/>
      <c r="P61" s="366"/>
    </row>
    <row r="62" ht="27.75" customHeight="1" spans="1:16" s="161" customFormat="1" x14ac:dyDescent="0.25">
      <c r="A62" s="365" t="s">
        <v>700</v>
      </c>
      <c r="B62" s="330" t="s">
        <v>701</v>
      </c>
      <c r="C62" s="204">
        <v>6</v>
      </c>
      <c r="D62" s="334" t="s">
        <v>712</v>
      </c>
      <c r="E62" s="335" t="s">
        <v>712</v>
      </c>
      <c r="F62" s="205">
        <v>1</v>
      </c>
      <c r="G62" s="282" t="e">
        <f>VLOOKUP($E$12,#REF!,51,FALSE)</f>
        <v>#REF!</v>
      </c>
      <c r="H62" s="208" t="e">
        <f>IF(G57&gt;90,"4.00",IF(G57&gt;80,"3.50",IF(G57&gt;69,"3.00",IF(G57&gt;64,"2.50",IF(G57&gt;59,"2.00",IF(G57&gt;54,"1.50",IF(G57&gt;49,"1.00","0.00")))))))</f>
        <v>#REF!</v>
      </c>
      <c r="I62" s="204" t="e">
        <f>IF(G57&gt;=90,"A",IF(G57&gt;=80,"B+",IF(G57&gt;=70,"B",IF(G57&gt;=65,"C+",IF(G57&gt;=60,"C",IF(G57&gt;=55,"D+",IF(G57&gt;=50,"D",IF(G57&gt;=0,"F"))))))))</f>
        <v>#REF!</v>
      </c>
      <c r="J62" s="353" t="e">
        <f>(H52*F52+H53*F53+H54*F54+H55*F55+H56*F56+H57*F57+H58*F58+H59*F59+H60*F60+H61*F61+H62*F62)/(F52+F53+F54+F55+F56+F57+F58+F59+F60+F61+F62)</f>
        <v>#REF!</v>
      </c>
      <c r="K62" s="266" t="e">
        <f>(J52+J63)/2</f>
        <v>#REF!</v>
      </c>
      <c r="L62" s="181"/>
      <c r="M62" s="161"/>
      <c r="N62" s="161"/>
      <c r="O62" s="366"/>
      <c r="P62" s="366"/>
    </row>
    <row r="63" ht="17.25" customHeight="1" spans="1:16" s="161" customFormat="1" x14ac:dyDescent="0.25">
      <c r="A63" s="365" t="s">
        <v>700</v>
      </c>
      <c r="B63" s="330" t="s">
        <v>701</v>
      </c>
      <c r="C63" s="204">
        <v>7</v>
      </c>
      <c r="D63" s="334" t="s">
        <v>713</v>
      </c>
      <c r="E63" s="335" t="s">
        <v>713</v>
      </c>
      <c r="F63" s="205">
        <v>1</v>
      </c>
      <c r="G63" s="282" t="e">
        <f>VLOOKUP($E$12,#REF!,52,FALSE)</f>
        <v>#REF!</v>
      </c>
      <c r="H63" s="208" t="e">
        <f>IF(G58&gt;90,"4.00",IF(G58&gt;80,"3.50",IF(G58&gt;69,"3.00",IF(G58&gt;64,"2.50",IF(G58&gt;59,"2.00",IF(G58&gt;54,"1.50",IF(G58&gt;49,"1.00","0.00")))))))</f>
        <v>#REF!</v>
      </c>
      <c r="I63" s="204" t="e">
        <f>IF(G58&gt;=90,"A",IF(G58&gt;=80,"B+",IF(G58&gt;=70,"B",IF(G58&gt;=65,"C+",IF(G58&gt;=60,"C",IF(G58&gt;=55,"D+",IF(G58&gt;=50,"D",IF(G58&gt;=0,"F"))))))))</f>
        <v>#REF!</v>
      </c>
      <c r="J63" s="353" t="e">
        <f>(H52*F52+H53*F53+H54*F54+H55*F55+H56*F56+H57*F57+H58*F58+H59*F59+H60*F60+H61*F61+H62*F62)/(F52+F53+F54+F55+F56+F57+F58+F59+F60+F61+F62)</f>
        <v>#REF!</v>
      </c>
      <c r="K63" s="266" t="e">
        <f>(J52+J63)/2</f>
        <v>#REF!</v>
      </c>
      <c r="L63" s="181"/>
      <c r="M63" s="161"/>
      <c r="N63" s="161"/>
      <c r="O63" s="366"/>
      <c r="P63" s="366"/>
    </row>
    <row r="64" ht="27" customHeight="1" spans="1:16" s="161" customFormat="1" x14ac:dyDescent="0.25">
      <c r="A64" s="365" t="s">
        <v>700</v>
      </c>
      <c r="B64" s="330" t="s">
        <v>701</v>
      </c>
      <c r="C64" s="204">
        <v>8</v>
      </c>
      <c r="D64" s="334" t="s">
        <v>714</v>
      </c>
      <c r="E64" s="335" t="s">
        <v>714</v>
      </c>
      <c r="F64" s="205">
        <v>2</v>
      </c>
      <c r="G64" s="282" t="e">
        <f>VLOOKUP($E$12,#REF!,53,FALSE)</f>
        <v>#REF!</v>
      </c>
      <c r="H64" s="208" t="e">
        <f>IF(G59&gt;90,"4.00",IF(G59&gt;80,"3.50",IF(G59&gt;69,"3.00",IF(G59&gt;64,"2.50",IF(G59&gt;59,"2.00",IF(G59&gt;54,"1.50",IF(G59&gt;49,"1.00","0.00")))))))</f>
        <v>#REF!</v>
      </c>
      <c r="I64" s="204" t="e">
        <f>IF(G59&gt;=90,"A",IF(G59&gt;=80,"B+",IF(G59&gt;=70,"B",IF(G59&gt;=65,"C+",IF(G59&gt;=60,"C",IF(G59&gt;=55,"D+",IF(G59&gt;=50,"D",IF(G59&gt;=0,"F"))))))))</f>
        <v>#REF!</v>
      </c>
      <c r="J64" s="353" t="e">
        <f>(H52*F52+H53*F53+H54*F54+H55*F55+H56*F56+H57*F57+H58*F58+H59*F59+H60*F60+H61*F61+H62*F62)/(F52+F53+F54+F55+F56+F57+F58+F59+F60+F61+F62)</f>
        <v>#REF!</v>
      </c>
      <c r="K64" s="266" t="e">
        <f>(J52+J63)/2</f>
        <v>#REF!</v>
      </c>
      <c r="L64" s="181"/>
      <c r="M64" s="161"/>
      <c r="N64" s="161"/>
      <c r="O64" s="366"/>
      <c r="P64" s="366"/>
    </row>
    <row r="65" ht="27" customHeight="1" spans="1:16" s="161" customFormat="1" x14ac:dyDescent="0.25">
      <c r="A65" s="365" t="s">
        <v>700</v>
      </c>
      <c r="B65" s="330" t="s">
        <v>701</v>
      </c>
      <c r="C65" s="204">
        <v>9</v>
      </c>
      <c r="D65" s="334" t="s">
        <v>709</v>
      </c>
      <c r="E65" s="335" t="s">
        <v>709</v>
      </c>
      <c r="F65" s="205">
        <v>2</v>
      </c>
      <c r="G65" s="282" t="e">
        <f>VLOOKUP($E$12,#REF!,54,FALSE)</f>
        <v>#REF!</v>
      </c>
      <c r="H65" s="208" t="e">
        <f>IF(G60&gt;90,"4.00",IF(G60&gt;80,"3.50",IF(G60&gt;69,"3.00",IF(G60&gt;64,"2.50",IF(G60&gt;59,"2.00",IF(G60&gt;54,"1.50",IF(G60&gt;49,"1.00","0.00")))))))</f>
        <v>#REF!</v>
      </c>
      <c r="I65" s="204" t="e">
        <f>IF(G60&gt;=90,"A",IF(G60&gt;=80,"B+",IF(G60&gt;=70,"B",IF(G60&gt;=65,"C+",IF(G60&gt;=60,"C",IF(G60&gt;=55,"D+",IF(G60&gt;=50,"D",IF(G60&gt;=0,"F"))))))))</f>
        <v>#REF!</v>
      </c>
      <c r="J65" s="353" t="e">
        <f>(H52*F52+H53*F53+H54*F54+H55*F55+H56*F56+H57*F57+H58*F58+H59*F59+H60*F60+H61*F61+H62*F62)/(F52+F53+F54+F55+F56+F57+F58+F59+F60+F61+F62)</f>
        <v>#REF!</v>
      </c>
      <c r="K65" s="266" t="e">
        <f>(J52+J63)/2</f>
        <v>#REF!</v>
      </c>
      <c r="L65" s="181"/>
      <c r="M65" s="161"/>
      <c r="N65" s="161"/>
      <c r="O65" s="366"/>
      <c r="P65" s="366"/>
    </row>
  </sheetData>
  <mergeCells count="1">
    <mergeCell ref="A1:K15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59"/>
  <sheetViews>
    <sheetView workbookViewId="0">
      <selection activeCell="A1" sqref="A1"/>
    </sheetView>
  </sheetViews>
  <sheetFormatPr defaultRowHeight="14" outlineLevelRow="0" outlineLevelCol="0" x14ac:dyDescent="0" defaultColWidth="8.83203125" customHeight="1"/>
  <cols>
    <col min="1" max="1" width="4" style="136" customWidth="1"/>
    <col min="2" max="2" width="5.5" style="136" customWidth="1"/>
    <col min="3" max="3" width="4.1640625" style="136" customWidth="1"/>
    <col min="4" max="4" width="11.5" style="136" customWidth="1"/>
    <col min="5" max="5" width="1.33203125" style="136" customWidth="1"/>
    <col min="6" max="6" width="28.1640625" style="276" customWidth="1"/>
    <col min="7" max="10" width="8.6640625" style="136" customWidth="1"/>
    <col min="11" max="12" width="5.83203125" style="136" customWidth="1"/>
    <col min="13" max="13" width="9.1640625" style="136" customWidth="1"/>
    <col min="14" max="14" width="20.33203125" style="136" customWidth="1"/>
    <col min="15" max="15" width="22.1640625" style="136" customWidth="1"/>
    <col min="16" max="16" width="9.1640625" style="137" customWidth="1"/>
    <col min="17" max="17" width="9.1640625" style="136" customWidth="1"/>
    <col min="18" max="18" width="10.5" style="136" customWidth="1"/>
    <col min="19" max="257" width="9.1640625" style="136" customWidth="1"/>
    <col min="258" max="259" width="4.83203125" style="136" customWidth="1"/>
    <col min="260" max="260" width="4.1640625" style="136" customWidth="1"/>
    <col min="261" max="261" width="11.1640625" style="136" customWidth="1"/>
    <col min="262" max="262" width="25.33203125" style="136" customWidth="1"/>
    <col min="263" max="263" width="9.5" style="136" customWidth="1"/>
    <col min="264" max="264" width="8.1640625" style="136" customWidth="1"/>
    <col min="265" max="265" width="7.83203125" style="136" customWidth="1"/>
    <col min="266" max="266" width="14.5" style="136" customWidth="1"/>
    <col min="267" max="267" width="6.33203125" style="136" customWidth="1"/>
    <col min="268" max="268" width="6.1640625" style="136" customWidth="1"/>
    <col min="269" max="269" width="9.1640625" style="136" customWidth="1"/>
    <col min="270" max="270" width="10.5" style="136" customWidth="1"/>
    <col min="271" max="271" width="22.1640625" style="136" customWidth="1"/>
    <col min="272" max="273" width="9.1640625" style="136" customWidth="1"/>
    <col min="274" max="274" width="10.5" style="136" customWidth="1"/>
    <col min="275" max="513" width="9.1640625" style="136" customWidth="1"/>
    <col min="514" max="515" width="4.83203125" style="136" customWidth="1"/>
    <col min="516" max="516" width="4.1640625" style="136" customWidth="1"/>
    <col min="517" max="517" width="11.1640625" style="136" customWidth="1"/>
    <col min="518" max="518" width="25.33203125" style="136" customWidth="1"/>
    <col min="519" max="519" width="9.5" style="136" customWidth="1"/>
    <col min="520" max="520" width="8.1640625" style="136" customWidth="1"/>
    <col min="521" max="521" width="7.83203125" style="136" customWidth="1"/>
    <col min="522" max="522" width="14.5" style="136" customWidth="1"/>
    <col min="523" max="523" width="6.33203125" style="136" customWidth="1"/>
    <col min="524" max="524" width="6.1640625" style="136" customWidth="1"/>
    <col min="525" max="525" width="9.1640625" style="136" customWidth="1"/>
    <col min="526" max="526" width="10.5" style="136" customWidth="1"/>
    <col min="527" max="527" width="22.1640625" style="136" customWidth="1"/>
    <col min="528" max="529" width="9.1640625" style="136" customWidth="1"/>
    <col min="530" max="530" width="10.5" style="136" customWidth="1"/>
    <col min="531" max="769" width="9.1640625" style="136" customWidth="1"/>
    <col min="770" max="771" width="4.83203125" style="136" customWidth="1"/>
    <col min="772" max="772" width="4.1640625" style="136" customWidth="1"/>
    <col min="773" max="773" width="11.1640625" style="136" customWidth="1"/>
    <col min="774" max="774" width="25.33203125" style="136" customWidth="1"/>
    <col min="775" max="775" width="9.5" style="136" customWidth="1"/>
    <col min="776" max="776" width="8.1640625" style="136" customWidth="1"/>
    <col min="777" max="777" width="7.83203125" style="136" customWidth="1"/>
    <col min="778" max="778" width="14.5" style="136" customWidth="1"/>
    <col min="779" max="779" width="6.33203125" style="136" customWidth="1"/>
    <col min="780" max="780" width="6.1640625" style="136" customWidth="1"/>
    <col min="781" max="781" width="9.1640625" style="136" customWidth="1"/>
    <col min="782" max="782" width="10.5" style="136" customWidth="1"/>
    <col min="783" max="783" width="22.1640625" style="136" customWidth="1"/>
    <col min="784" max="785" width="9.1640625" style="136" customWidth="1"/>
    <col min="786" max="786" width="10.5" style="136" customWidth="1"/>
    <col min="787" max="1025" width="9.1640625" style="136" customWidth="1"/>
    <col min="1026" max="1027" width="4.83203125" style="136" customWidth="1"/>
    <col min="1028" max="1028" width="4.1640625" style="136" customWidth="1"/>
    <col min="1029" max="1029" width="11.1640625" style="136" customWidth="1"/>
    <col min="1030" max="1030" width="25.33203125" style="136" customWidth="1"/>
    <col min="1031" max="1031" width="9.5" style="136" customWidth="1"/>
    <col min="1032" max="1032" width="8.1640625" style="136" customWidth="1"/>
    <col min="1033" max="1033" width="7.83203125" style="136" customWidth="1"/>
    <col min="1034" max="1034" width="14.5" style="136" customWidth="1"/>
    <col min="1035" max="1035" width="6.33203125" style="136" customWidth="1"/>
    <col min="1036" max="1036" width="6.1640625" style="136" customWidth="1"/>
    <col min="1037" max="1037" width="9.1640625" style="136" customWidth="1"/>
    <col min="1038" max="1038" width="10.5" style="136" customWidth="1"/>
    <col min="1039" max="1039" width="22.1640625" style="136" customWidth="1"/>
    <col min="1040" max="1041" width="9.1640625" style="136" customWidth="1"/>
    <col min="1042" max="1042" width="10.5" style="136" customWidth="1"/>
    <col min="1043" max="1281" width="9.1640625" style="136" customWidth="1"/>
    <col min="1282" max="1283" width="4.83203125" style="136" customWidth="1"/>
    <col min="1284" max="1284" width="4.1640625" style="136" customWidth="1"/>
    <col min="1285" max="1285" width="11.1640625" style="136" customWidth="1"/>
    <col min="1286" max="1286" width="25.33203125" style="136" customWidth="1"/>
    <col min="1287" max="1287" width="9.5" style="136" customWidth="1"/>
    <col min="1288" max="1288" width="8.1640625" style="136" customWidth="1"/>
    <col min="1289" max="1289" width="7.83203125" style="136" customWidth="1"/>
    <col min="1290" max="1290" width="14.5" style="136" customWidth="1"/>
    <col min="1291" max="1291" width="6.33203125" style="136" customWidth="1"/>
    <col min="1292" max="1292" width="6.1640625" style="136" customWidth="1"/>
    <col min="1293" max="1293" width="9.1640625" style="136" customWidth="1"/>
    <col min="1294" max="1294" width="10.5" style="136" customWidth="1"/>
    <col min="1295" max="1295" width="22.1640625" style="136" customWidth="1"/>
    <col min="1296" max="1297" width="9.1640625" style="136" customWidth="1"/>
    <col min="1298" max="1298" width="10.5" style="136" customWidth="1"/>
    <col min="1299" max="1537" width="9.1640625" style="136" customWidth="1"/>
    <col min="1538" max="1539" width="4.83203125" style="136" customWidth="1"/>
    <col min="1540" max="1540" width="4.1640625" style="136" customWidth="1"/>
    <col min="1541" max="1541" width="11.1640625" style="136" customWidth="1"/>
    <col min="1542" max="1542" width="25.33203125" style="136" customWidth="1"/>
    <col min="1543" max="1543" width="9.5" style="136" customWidth="1"/>
    <col min="1544" max="1544" width="8.1640625" style="136" customWidth="1"/>
    <col min="1545" max="1545" width="7.83203125" style="136" customWidth="1"/>
    <col min="1546" max="1546" width="14.5" style="136" customWidth="1"/>
    <col min="1547" max="1547" width="6.33203125" style="136" customWidth="1"/>
    <col min="1548" max="1548" width="6.1640625" style="136" customWidth="1"/>
    <col min="1549" max="1549" width="9.1640625" style="136" customWidth="1"/>
    <col min="1550" max="1550" width="10.5" style="136" customWidth="1"/>
    <col min="1551" max="1551" width="22.1640625" style="136" customWidth="1"/>
    <col min="1552" max="1553" width="9.1640625" style="136" customWidth="1"/>
    <col min="1554" max="1554" width="10.5" style="136" customWidth="1"/>
    <col min="1555" max="1793" width="9.1640625" style="136" customWidth="1"/>
    <col min="1794" max="1795" width="4.83203125" style="136" customWidth="1"/>
    <col min="1796" max="1796" width="4.1640625" style="136" customWidth="1"/>
    <col min="1797" max="1797" width="11.1640625" style="136" customWidth="1"/>
    <col min="1798" max="1798" width="25.33203125" style="136" customWidth="1"/>
    <col min="1799" max="1799" width="9.5" style="136" customWidth="1"/>
    <col min="1800" max="1800" width="8.1640625" style="136" customWidth="1"/>
    <col min="1801" max="1801" width="7.83203125" style="136" customWidth="1"/>
    <col min="1802" max="1802" width="14.5" style="136" customWidth="1"/>
    <col min="1803" max="1803" width="6.33203125" style="136" customWidth="1"/>
    <col min="1804" max="1804" width="6.1640625" style="136" customWidth="1"/>
    <col min="1805" max="1805" width="9.1640625" style="136" customWidth="1"/>
    <col min="1806" max="1806" width="10.5" style="136" customWidth="1"/>
    <col min="1807" max="1807" width="22.1640625" style="136" customWidth="1"/>
    <col min="1808" max="1809" width="9.1640625" style="136" customWidth="1"/>
    <col min="1810" max="1810" width="10.5" style="136" customWidth="1"/>
    <col min="1811" max="2049" width="9.1640625" style="136" customWidth="1"/>
    <col min="2050" max="2051" width="4.83203125" style="136" customWidth="1"/>
    <col min="2052" max="2052" width="4.1640625" style="136" customWidth="1"/>
    <col min="2053" max="2053" width="11.1640625" style="136" customWidth="1"/>
    <col min="2054" max="2054" width="25.33203125" style="136" customWidth="1"/>
    <col min="2055" max="2055" width="9.5" style="136" customWidth="1"/>
    <col min="2056" max="2056" width="8.1640625" style="136" customWidth="1"/>
    <col min="2057" max="2057" width="7.83203125" style="136" customWidth="1"/>
    <col min="2058" max="2058" width="14.5" style="136" customWidth="1"/>
    <col min="2059" max="2059" width="6.33203125" style="136" customWidth="1"/>
    <col min="2060" max="2060" width="6.1640625" style="136" customWidth="1"/>
    <col min="2061" max="2061" width="9.1640625" style="136" customWidth="1"/>
    <col min="2062" max="2062" width="10.5" style="136" customWidth="1"/>
    <col min="2063" max="2063" width="22.1640625" style="136" customWidth="1"/>
    <col min="2064" max="2065" width="9.1640625" style="136" customWidth="1"/>
    <col min="2066" max="2066" width="10.5" style="136" customWidth="1"/>
    <col min="2067" max="2305" width="9.1640625" style="136" customWidth="1"/>
    <col min="2306" max="2307" width="4.83203125" style="136" customWidth="1"/>
    <col min="2308" max="2308" width="4.1640625" style="136" customWidth="1"/>
    <col min="2309" max="2309" width="11.1640625" style="136" customWidth="1"/>
    <col min="2310" max="2310" width="25.33203125" style="136" customWidth="1"/>
    <col min="2311" max="2311" width="9.5" style="136" customWidth="1"/>
    <col min="2312" max="2312" width="8.1640625" style="136" customWidth="1"/>
    <col min="2313" max="2313" width="7.83203125" style="136" customWidth="1"/>
    <col min="2314" max="2314" width="14.5" style="136" customWidth="1"/>
    <col min="2315" max="2315" width="6.33203125" style="136" customWidth="1"/>
    <col min="2316" max="2316" width="6.1640625" style="136" customWidth="1"/>
    <col min="2317" max="2317" width="9.1640625" style="136" customWidth="1"/>
    <col min="2318" max="2318" width="10.5" style="136" customWidth="1"/>
    <col min="2319" max="2319" width="22.1640625" style="136" customWidth="1"/>
    <col min="2320" max="2321" width="9.1640625" style="136" customWidth="1"/>
    <col min="2322" max="2322" width="10.5" style="136" customWidth="1"/>
    <col min="2323" max="2561" width="9.1640625" style="136" customWidth="1"/>
    <col min="2562" max="2563" width="4.83203125" style="136" customWidth="1"/>
    <col min="2564" max="2564" width="4.1640625" style="136" customWidth="1"/>
    <col min="2565" max="2565" width="11.1640625" style="136" customWidth="1"/>
    <col min="2566" max="2566" width="25.33203125" style="136" customWidth="1"/>
    <col min="2567" max="2567" width="9.5" style="136" customWidth="1"/>
    <col min="2568" max="2568" width="8.1640625" style="136" customWidth="1"/>
    <col min="2569" max="2569" width="7.83203125" style="136" customWidth="1"/>
    <col min="2570" max="2570" width="14.5" style="136" customWidth="1"/>
    <col min="2571" max="2571" width="6.33203125" style="136" customWidth="1"/>
    <col min="2572" max="2572" width="6.1640625" style="136" customWidth="1"/>
    <col min="2573" max="2573" width="9.1640625" style="136" customWidth="1"/>
    <col min="2574" max="2574" width="10.5" style="136" customWidth="1"/>
    <col min="2575" max="2575" width="22.1640625" style="136" customWidth="1"/>
    <col min="2576" max="2577" width="9.1640625" style="136" customWidth="1"/>
    <col min="2578" max="2578" width="10.5" style="136" customWidth="1"/>
    <col min="2579" max="2817" width="9.1640625" style="136" customWidth="1"/>
    <col min="2818" max="2819" width="4.83203125" style="136" customWidth="1"/>
    <col min="2820" max="2820" width="4.1640625" style="136" customWidth="1"/>
    <col min="2821" max="2821" width="11.1640625" style="136" customWidth="1"/>
    <col min="2822" max="2822" width="25.33203125" style="136" customWidth="1"/>
    <col min="2823" max="2823" width="9.5" style="136" customWidth="1"/>
    <col min="2824" max="2824" width="8.1640625" style="136" customWidth="1"/>
    <col min="2825" max="2825" width="7.83203125" style="136" customWidth="1"/>
    <col min="2826" max="2826" width="14.5" style="136" customWidth="1"/>
    <col min="2827" max="2827" width="6.33203125" style="136" customWidth="1"/>
    <col min="2828" max="2828" width="6.1640625" style="136" customWidth="1"/>
    <col min="2829" max="2829" width="9.1640625" style="136" customWidth="1"/>
    <col min="2830" max="2830" width="10.5" style="136" customWidth="1"/>
    <col min="2831" max="2831" width="22.1640625" style="136" customWidth="1"/>
    <col min="2832" max="2833" width="9.1640625" style="136" customWidth="1"/>
    <col min="2834" max="2834" width="10.5" style="136" customWidth="1"/>
    <col min="2835" max="3073" width="9.1640625" style="136" customWidth="1"/>
    <col min="3074" max="3075" width="4.83203125" style="136" customWidth="1"/>
    <col min="3076" max="3076" width="4.1640625" style="136" customWidth="1"/>
    <col min="3077" max="3077" width="11.1640625" style="136" customWidth="1"/>
    <col min="3078" max="3078" width="25.33203125" style="136" customWidth="1"/>
    <col min="3079" max="3079" width="9.5" style="136" customWidth="1"/>
    <col min="3080" max="3080" width="8.1640625" style="136" customWidth="1"/>
    <col min="3081" max="3081" width="7.83203125" style="136" customWidth="1"/>
    <col min="3082" max="3082" width="14.5" style="136" customWidth="1"/>
    <col min="3083" max="3083" width="6.33203125" style="136" customWidth="1"/>
    <col min="3084" max="3084" width="6.1640625" style="136" customWidth="1"/>
    <col min="3085" max="3085" width="9.1640625" style="136" customWidth="1"/>
    <col min="3086" max="3086" width="10.5" style="136" customWidth="1"/>
    <col min="3087" max="3087" width="22.1640625" style="136" customWidth="1"/>
    <col min="3088" max="3089" width="9.1640625" style="136" customWidth="1"/>
    <col min="3090" max="3090" width="10.5" style="136" customWidth="1"/>
    <col min="3091" max="3329" width="9.1640625" style="136" customWidth="1"/>
    <col min="3330" max="3331" width="4.83203125" style="136" customWidth="1"/>
    <col min="3332" max="3332" width="4.1640625" style="136" customWidth="1"/>
    <col min="3333" max="3333" width="11.1640625" style="136" customWidth="1"/>
    <col min="3334" max="3334" width="25.33203125" style="136" customWidth="1"/>
    <col min="3335" max="3335" width="9.5" style="136" customWidth="1"/>
    <col min="3336" max="3336" width="8.1640625" style="136" customWidth="1"/>
    <col min="3337" max="3337" width="7.83203125" style="136" customWidth="1"/>
    <col min="3338" max="3338" width="14.5" style="136" customWidth="1"/>
    <col min="3339" max="3339" width="6.33203125" style="136" customWidth="1"/>
    <col min="3340" max="3340" width="6.1640625" style="136" customWidth="1"/>
    <col min="3341" max="3341" width="9.1640625" style="136" customWidth="1"/>
    <col min="3342" max="3342" width="10.5" style="136" customWidth="1"/>
    <col min="3343" max="3343" width="22.1640625" style="136" customWidth="1"/>
    <col min="3344" max="3345" width="9.1640625" style="136" customWidth="1"/>
    <col min="3346" max="3346" width="10.5" style="136" customWidth="1"/>
    <col min="3347" max="3585" width="9.1640625" style="136" customWidth="1"/>
    <col min="3586" max="3587" width="4.83203125" style="136" customWidth="1"/>
    <col min="3588" max="3588" width="4.1640625" style="136" customWidth="1"/>
    <col min="3589" max="3589" width="11.1640625" style="136" customWidth="1"/>
    <col min="3590" max="3590" width="25.33203125" style="136" customWidth="1"/>
    <col min="3591" max="3591" width="9.5" style="136" customWidth="1"/>
    <col min="3592" max="3592" width="8.1640625" style="136" customWidth="1"/>
    <col min="3593" max="3593" width="7.83203125" style="136" customWidth="1"/>
    <col min="3594" max="3594" width="14.5" style="136" customWidth="1"/>
    <col min="3595" max="3595" width="6.33203125" style="136" customWidth="1"/>
    <col min="3596" max="3596" width="6.1640625" style="136" customWidth="1"/>
    <col min="3597" max="3597" width="9.1640625" style="136" customWidth="1"/>
    <col min="3598" max="3598" width="10.5" style="136" customWidth="1"/>
    <col min="3599" max="3599" width="22.1640625" style="136" customWidth="1"/>
    <col min="3600" max="3601" width="9.1640625" style="136" customWidth="1"/>
    <col min="3602" max="3602" width="10.5" style="136" customWidth="1"/>
    <col min="3603" max="3841" width="9.1640625" style="136" customWidth="1"/>
    <col min="3842" max="3843" width="4.83203125" style="136" customWidth="1"/>
    <col min="3844" max="3844" width="4.1640625" style="136" customWidth="1"/>
    <col min="3845" max="3845" width="11.1640625" style="136" customWidth="1"/>
    <col min="3846" max="3846" width="25.33203125" style="136" customWidth="1"/>
    <col min="3847" max="3847" width="9.5" style="136" customWidth="1"/>
    <col min="3848" max="3848" width="8.1640625" style="136" customWidth="1"/>
    <col min="3849" max="3849" width="7.83203125" style="136" customWidth="1"/>
    <col min="3850" max="3850" width="14.5" style="136" customWidth="1"/>
    <col min="3851" max="3851" width="6.33203125" style="136" customWidth="1"/>
    <col min="3852" max="3852" width="6.1640625" style="136" customWidth="1"/>
    <col min="3853" max="3853" width="9.1640625" style="136" customWidth="1"/>
    <col min="3854" max="3854" width="10.5" style="136" customWidth="1"/>
    <col min="3855" max="3855" width="22.1640625" style="136" customWidth="1"/>
    <col min="3856" max="3857" width="9.1640625" style="136" customWidth="1"/>
    <col min="3858" max="3858" width="10.5" style="136" customWidth="1"/>
    <col min="3859" max="4097" width="9.1640625" style="136" customWidth="1"/>
    <col min="4098" max="4099" width="4.83203125" style="136" customWidth="1"/>
    <col min="4100" max="4100" width="4.1640625" style="136" customWidth="1"/>
    <col min="4101" max="4101" width="11.1640625" style="136" customWidth="1"/>
    <col min="4102" max="4102" width="25.33203125" style="136" customWidth="1"/>
    <col min="4103" max="4103" width="9.5" style="136" customWidth="1"/>
    <col min="4104" max="4104" width="8.1640625" style="136" customWidth="1"/>
    <col min="4105" max="4105" width="7.83203125" style="136" customWidth="1"/>
    <col min="4106" max="4106" width="14.5" style="136" customWidth="1"/>
    <col min="4107" max="4107" width="6.33203125" style="136" customWidth="1"/>
    <col min="4108" max="4108" width="6.1640625" style="136" customWidth="1"/>
    <col min="4109" max="4109" width="9.1640625" style="136" customWidth="1"/>
    <col min="4110" max="4110" width="10.5" style="136" customWidth="1"/>
    <col min="4111" max="4111" width="22.1640625" style="136" customWidth="1"/>
    <col min="4112" max="4113" width="9.1640625" style="136" customWidth="1"/>
    <col min="4114" max="4114" width="10.5" style="136" customWidth="1"/>
    <col min="4115" max="4353" width="9.1640625" style="136" customWidth="1"/>
    <col min="4354" max="4355" width="4.83203125" style="136" customWidth="1"/>
    <col min="4356" max="4356" width="4.1640625" style="136" customWidth="1"/>
    <col min="4357" max="4357" width="11.1640625" style="136" customWidth="1"/>
    <col min="4358" max="4358" width="25.33203125" style="136" customWidth="1"/>
    <col min="4359" max="4359" width="9.5" style="136" customWidth="1"/>
    <col min="4360" max="4360" width="8.1640625" style="136" customWidth="1"/>
    <col min="4361" max="4361" width="7.83203125" style="136" customWidth="1"/>
    <col min="4362" max="4362" width="14.5" style="136" customWidth="1"/>
    <col min="4363" max="4363" width="6.33203125" style="136" customWidth="1"/>
    <col min="4364" max="4364" width="6.1640625" style="136" customWidth="1"/>
    <col min="4365" max="4365" width="9.1640625" style="136" customWidth="1"/>
    <col min="4366" max="4366" width="10.5" style="136" customWidth="1"/>
    <col min="4367" max="4367" width="22.1640625" style="136" customWidth="1"/>
    <col min="4368" max="4369" width="9.1640625" style="136" customWidth="1"/>
    <col min="4370" max="4370" width="10.5" style="136" customWidth="1"/>
    <col min="4371" max="4609" width="9.1640625" style="136" customWidth="1"/>
    <col min="4610" max="4611" width="4.83203125" style="136" customWidth="1"/>
    <col min="4612" max="4612" width="4.1640625" style="136" customWidth="1"/>
    <col min="4613" max="4613" width="11.1640625" style="136" customWidth="1"/>
    <col min="4614" max="4614" width="25.33203125" style="136" customWidth="1"/>
    <col min="4615" max="4615" width="9.5" style="136" customWidth="1"/>
    <col min="4616" max="4616" width="8.1640625" style="136" customWidth="1"/>
    <col min="4617" max="4617" width="7.83203125" style="136" customWidth="1"/>
    <col min="4618" max="4618" width="14.5" style="136" customWidth="1"/>
    <col min="4619" max="4619" width="6.33203125" style="136" customWidth="1"/>
    <col min="4620" max="4620" width="6.1640625" style="136" customWidth="1"/>
    <col min="4621" max="4621" width="9.1640625" style="136" customWidth="1"/>
    <col min="4622" max="4622" width="10.5" style="136" customWidth="1"/>
    <col min="4623" max="4623" width="22.1640625" style="136" customWidth="1"/>
    <col min="4624" max="4625" width="9.1640625" style="136" customWidth="1"/>
    <col min="4626" max="4626" width="10.5" style="136" customWidth="1"/>
    <col min="4627" max="4865" width="9.1640625" style="136" customWidth="1"/>
    <col min="4866" max="4867" width="4.83203125" style="136" customWidth="1"/>
    <col min="4868" max="4868" width="4.1640625" style="136" customWidth="1"/>
    <col min="4869" max="4869" width="11.1640625" style="136" customWidth="1"/>
    <col min="4870" max="4870" width="25.33203125" style="136" customWidth="1"/>
    <col min="4871" max="4871" width="9.5" style="136" customWidth="1"/>
    <col min="4872" max="4872" width="8.1640625" style="136" customWidth="1"/>
    <col min="4873" max="4873" width="7.83203125" style="136" customWidth="1"/>
    <col min="4874" max="4874" width="14.5" style="136" customWidth="1"/>
    <col min="4875" max="4875" width="6.33203125" style="136" customWidth="1"/>
    <col min="4876" max="4876" width="6.1640625" style="136" customWidth="1"/>
    <col min="4877" max="4877" width="9.1640625" style="136" customWidth="1"/>
    <col min="4878" max="4878" width="10.5" style="136" customWidth="1"/>
    <col min="4879" max="4879" width="22.1640625" style="136" customWidth="1"/>
    <col min="4880" max="4881" width="9.1640625" style="136" customWidth="1"/>
    <col min="4882" max="4882" width="10.5" style="136" customWidth="1"/>
    <col min="4883" max="5121" width="9.1640625" style="136" customWidth="1"/>
    <col min="5122" max="5123" width="4.83203125" style="136" customWidth="1"/>
    <col min="5124" max="5124" width="4.1640625" style="136" customWidth="1"/>
    <col min="5125" max="5125" width="11.1640625" style="136" customWidth="1"/>
    <col min="5126" max="5126" width="25.33203125" style="136" customWidth="1"/>
    <col min="5127" max="5127" width="9.5" style="136" customWidth="1"/>
    <col min="5128" max="5128" width="8.1640625" style="136" customWidth="1"/>
    <col min="5129" max="5129" width="7.83203125" style="136" customWidth="1"/>
    <col min="5130" max="5130" width="14.5" style="136" customWidth="1"/>
    <col min="5131" max="5131" width="6.33203125" style="136" customWidth="1"/>
    <col min="5132" max="5132" width="6.1640625" style="136" customWidth="1"/>
    <col min="5133" max="5133" width="9.1640625" style="136" customWidth="1"/>
    <col min="5134" max="5134" width="10.5" style="136" customWidth="1"/>
    <col min="5135" max="5135" width="22.1640625" style="136" customWidth="1"/>
    <col min="5136" max="5137" width="9.1640625" style="136" customWidth="1"/>
    <col min="5138" max="5138" width="10.5" style="136" customWidth="1"/>
    <col min="5139" max="5377" width="9.1640625" style="136" customWidth="1"/>
    <col min="5378" max="5379" width="4.83203125" style="136" customWidth="1"/>
    <col min="5380" max="5380" width="4.1640625" style="136" customWidth="1"/>
    <col min="5381" max="5381" width="11.1640625" style="136" customWidth="1"/>
    <col min="5382" max="5382" width="25.33203125" style="136" customWidth="1"/>
    <col min="5383" max="5383" width="9.5" style="136" customWidth="1"/>
    <col min="5384" max="5384" width="8.1640625" style="136" customWidth="1"/>
    <col min="5385" max="5385" width="7.83203125" style="136" customWidth="1"/>
    <col min="5386" max="5386" width="14.5" style="136" customWidth="1"/>
    <col min="5387" max="5387" width="6.33203125" style="136" customWidth="1"/>
    <col min="5388" max="5388" width="6.1640625" style="136" customWidth="1"/>
    <col min="5389" max="5389" width="9.1640625" style="136" customWidth="1"/>
    <col min="5390" max="5390" width="10.5" style="136" customWidth="1"/>
    <col min="5391" max="5391" width="22.1640625" style="136" customWidth="1"/>
    <col min="5392" max="5393" width="9.1640625" style="136" customWidth="1"/>
    <col min="5394" max="5394" width="10.5" style="136" customWidth="1"/>
    <col min="5395" max="5633" width="9.1640625" style="136" customWidth="1"/>
    <col min="5634" max="5635" width="4.83203125" style="136" customWidth="1"/>
    <col min="5636" max="5636" width="4.1640625" style="136" customWidth="1"/>
    <col min="5637" max="5637" width="11.1640625" style="136" customWidth="1"/>
    <col min="5638" max="5638" width="25.33203125" style="136" customWidth="1"/>
    <col min="5639" max="5639" width="9.5" style="136" customWidth="1"/>
    <col min="5640" max="5640" width="8.1640625" style="136" customWidth="1"/>
    <col min="5641" max="5641" width="7.83203125" style="136" customWidth="1"/>
    <col min="5642" max="5642" width="14.5" style="136" customWidth="1"/>
    <col min="5643" max="5643" width="6.33203125" style="136" customWidth="1"/>
    <col min="5644" max="5644" width="6.1640625" style="136" customWidth="1"/>
    <col min="5645" max="5645" width="9.1640625" style="136" customWidth="1"/>
    <col min="5646" max="5646" width="10.5" style="136" customWidth="1"/>
    <col min="5647" max="5647" width="22.1640625" style="136" customWidth="1"/>
    <col min="5648" max="5649" width="9.1640625" style="136" customWidth="1"/>
    <col min="5650" max="5650" width="10.5" style="136" customWidth="1"/>
    <col min="5651" max="5889" width="9.1640625" style="136" customWidth="1"/>
    <col min="5890" max="5891" width="4.83203125" style="136" customWidth="1"/>
    <col min="5892" max="5892" width="4.1640625" style="136" customWidth="1"/>
    <col min="5893" max="5893" width="11.1640625" style="136" customWidth="1"/>
    <col min="5894" max="5894" width="25.33203125" style="136" customWidth="1"/>
    <col min="5895" max="5895" width="9.5" style="136" customWidth="1"/>
    <col min="5896" max="5896" width="8.1640625" style="136" customWidth="1"/>
    <col min="5897" max="5897" width="7.83203125" style="136" customWidth="1"/>
    <col min="5898" max="5898" width="14.5" style="136" customWidth="1"/>
    <col min="5899" max="5899" width="6.33203125" style="136" customWidth="1"/>
    <col min="5900" max="5900" width="6.1640625" style="136" customWidth="1"/>
    <col min="5901" max="5901" width="9.1640625" style="136" customWidth="1"/>
    <col min="5902" max="5902" width="10.5" style="136" customWidth="1"/>
    <col min="5903" max="5903" width="22.1640625" style="136" customWidth="1"/>
    <col min="5904" max="5905" width="9.1640625" style="136" customWidth="1"/>
    <col min="5906" max="5906" width="10.5" style="136" customWidth="1"/>
    <col min="5907" max="6145" width="9.1640625" style="136" customWidth="1"/>
    <col min="6146" max="6147" width="4.83203125" style="136" customWidth="1"/>
    <col min="6148" max="6148" width="4.1640625" style="136" customWidth="1"/>
    <col min="6149" max="6149" width="11.1640625" style="136" customWidth="1"/>
    <col min="6150" max="6150" width="25.33203125" style="136" customWidth="1"/>
    <col min="6151" max="6151" width="9.5" style="136" customWidth="1"/>
    <col min="6152" max="6152" width="8.1640625" style="136" customWidth="1"/>
    <col min="6153" max="6153" width="7.83203125" style="136" customWidth="1"/>
    <col min="6154" max="6154" width="14.5" style="136" customWidth="1"/>
    <col min="6155" max="6155" width="6.33203125" style="136" customWidth="1"/>
    <col min="6156" max="6156" width="6.1640625" style="136" customWidth="1"/>
    <col min="6157" max="6157" width="9.1640625" style="136" customWidth="1"/>
    <col min="6158" max="6158" width="10.5" style="136" customWidth="1"/>
    <col min="6159" max="6159" width="22.1640625" style="136" customWidth="1"/>
    <col min="6160" max="6161" width="9.1640625" style="136" customWidth="1"/>
    <col min="6162" max="6162" width="10.5" style="136" customWidth="1"/>
    <col min="6163" max="6401" width="9.1640625" style="136" customWidth="1"/>
    <col min="6402" max="6403" width="4.83203125" style="136" customWidth="1"/>
    <col min="6404" max="6404" width="4.1640625" style="136" customWidth="1"/>
    <col min="6405" max="6405" width="11.1640625" style="136" customWidth="1"/>
    <col min="6406" max="6406" width="25.33203125" style="136" customWidth="1"/>
    <col min="6407" max="6407" width="9.5" style="136" customWidth="1"/>
    <col min="6408" max="6408" width="8.1640625" style="136" customWidth="1"/>
    <col min="6409" max="6409" width="7.83203125" style="136" customWidth="1"/>
    <col min="6410" max="6410" width="14.5" style="136" customWidth="1"/>
    <col min="6411" max="6411" width="6.33203125" style="136" customWidth="1"/>
    <col min="6412" max="6412" width="6.1640625" style="136" customWidth="1"/>
    <col min="6413" max="6413" width="9.1640625" style="136" customWidth="1"/>
    <col min="6414" max="6414" width="10.5" style="136" customWidth="1"/>
    <col min="6415" max="6415" width="22.1640625" style="136" customWidth="1"/>
    <col min="6416" max="6417" width="9.1640625" style="136" customWidth="1"/>
    <col min="6418" max="6418" width="10.5" style="136" customWidth="1"/>
    <col min="6419" max="6657" width="9.1640625" style="136" customWidth="1"/>
    <col min="6658" max="6659" width="4.83203125" style="136" customWidth="1"/>
    <col min="6660" max="6660" width="4.1640625" style="136" customWidth="1"/>
    <col min="6661" max="6661" width="11.1640625" style="136" customWidth="1"/>
    <col min="6662" max="6662" width="25.33203125" style="136" customWidth="1"/>
    <col min="6663" max="6663" width="9.5" style="136" customWidth="1"/>
    <col min="6664" max="6664" width="8.1640625" style="136" customWidth="1"/>
    <col min="6665" max="6665" width="7.83203125" style="136" customWidth="1"/>
    <col min="6666" max="6666" width="14.5" style="136" customWidth="1"/>
    <col min="6667" max="6667" width="6.33203125" style="136" customWidth="1"/>
    <col min="6668" max="6668" width="6.1640625" style="136" customWidth="1"/>
    <col min="6669" max="6669" width="9.1640625" style="136" customWidth="1"/>
    <col min="6670" max="6670" width="10.5" style="136" customWidth="1"/>
    <col min="6671" max="6671" width="22.1640625" style="136" customWidth="1"/>
    <col min="6672" max="6673" width="9.1640625" style="136" customWidth="1"/>
    <col min="6674" max="6674" width="10.5" style="136" customWidth="1"/>
    <col min="6675" max="6913" width="9.1640625" style="136" customWidth="1"/>
    <col min="6914" max="6915" width="4.83203125" style="136" customWidth="1"/>
    <col min="6916" max="6916" width="4.1640625" style="136" customWidth="1"/>
    <col min="6917" max="6917" width="11.1640625" style="136" customWidth="1"/>
    <col min="6918" max="6918" width="25.33203125" style="136" customWidth="1"/>
    <col min="6919" max="6919" width="9.5" style="136" customWidth="1"/>
    <col min="6920" max="6920" width="8.1640625" style="136" customWidth="1"/>
    <col min="6921" max="6921" width="7.83203125" style="136" customWidth="1"/>
    <col min="6922" max="6922" width="14.5" style="136" customWidth="1"/>
    <col min="6923" max="6923" width="6.33203125" style="136" customWidth="1"/>
    <col min="6924" max="6924" width="6.1640625" style="136" customWidth="1"/>
    <col min="6925" max="6925" width="9.1640625" style="136" customWidth="1"/>
    <col min="6926" max="6926" width="10.5" style="136" customWidth="1"/>
    <col min="6927" max="6927" width="22.1640625" style="136" customWidth="1"/>
    <col min="6928" max="6929" width="9.1640625" style="136" customWidth="1"/>
    <col min="6930" max="6930" width="10.5" style="136" customWidth="1"/>
    <col min="6931" max="7169" width="9.1640625" style="136" customWidth="1"/>
    <col min="7170" max="7171" width="4.83203125" style="136" customWidth="1"/>
    <col min="7172" max="7172" width="4.1640625" style="136" customWidth="1"/>
    <col min="7173" max="7173" width="11.1640625" style="136" customWidth="1"/>
    <col min="7174" max="7174" width="25.33203125" style="136" customWidth="1"/>
    <col min="7175" max="7175" width="9.5" style="136" customWidth="1"/>
    <col min="7176" max="7176" width="8.1640625" style="136" customWidth="1"/>
    <col min="7177" max="7177" width="7.83203125" style="136" customWidth="1"/>
    <col min="7178" max="7178" width="14.5" style="136" customWidth="1"/>
    <col min="7179" max="7179" width="6.33203125" style="136" customWidth="1"/>
    <col min="7180" max="7180" width="6.1640625" style="136" customWidth="1"/>
    <col min="7181" max="7181" width="9.1640625" style="136" customWidth="1"/>
    <col min="7182" max="7182" width="10.5" style="136" customWidth="1"/>
    <col min="7183" max="7183" width="22.1640625" style="136" customWidth="1"/>
    <col min="7184" max="7185" width="9.1640625" style="136" customWidth="1"/>
    <col min="7186" max="7186" width="10.5" style="136" customWidth="1"/>
    <col min="7187" max="7425" width="9.1640625" style="136" customWidth="1"/>
    <col min="7426" max="7427" width="4.83203125" style="136" customWidth="1"/>
    <col min="7428" max="7428" width="4.1640625" style="136" customWidth="1"/>
    <col min="7429" max="7429" width="11.1640625" style="136" customWidth="1"/>
    <col min="7430" max="7430" width="25.33203125" style="136" customWidth="1"/>
    <col min="7431" max="7431" width="9.5" style="136" customWidth="1"/>
    <col min="7432" max="7432" width="8.1640625" style="136" customWidth="1"/>
    <col min="7433" max="7433" width="7.83203125" style="136" customWidth="1"/>
    <col min="7434" max="7434" width="14.5" style="136" customWidth="1"/>
    <col min="7435" max="7435" width="6.33203125" style="136" customWidth="1"/>
    <col min="7436" max="7436" width="6.1640625" style="136" customWidth="1"/>
    <col min="7437" max="7437" width="9.1640625" style="136" customWidth="1"/>
    <col min="7438" max="7438" width="10.5" style="136" customWidth="1"/>
    <col min="7439" max="7439" width="22.1640625" style="136" customWidth="1"/>
    <col min="7440" max="7441" width="9.1640625" style="136" customWidth="1"/>
    <col min="7442" max="7442" width="10.5" style="136" customWidth="1"/>
    <col min="7443" max="7681" width="9.1640625" style="136" customWidth="1"/>
    <col min="7682" max="7683" width="4.83203125" style="136" customWidth="1"/>
    <col min="7684" max="7684" width="4.1640625" style="136" customWidth="1"/>
    <col min="7685" max="7685" width="11.1640625" style="136" customWidth="1"/>
    <col min="7686" max="7686" width="25.33203125" style="136" customWidth="1"/>
    <col min="7687" max="7687" width="9.5" style="136" customWidth="1"/>
    <col min="7688" max="7688" width="8.1640625" style="136" customWidth="1"/>
    <col min="7689" max="7689" width="7.83203125" style="136" customWidth="1"/>
    <col min="7690" max="7690" width="14.5" style="136" customWidth="1"/>
    <col min="7691" max="7691" width="6.33203125" style="136" customWidth="1"/>
    <col min="7692" max="7692" width="6.1640625" style="136" customWidth="1"/>
    <col min="7693" max="7693" width="9.1640625" style="136" customWidth="1"/>
    <col min="7694" max="7694" width="10.5" style="136" customWidth="1"/>
    <col min="7695" max="7695" width="22.1640625" style="136" customWidth="1"/>
    <col min="7696" max="7697" width="9.1640625" style="136" customWidth="1"/>
    <col min="7698" max="7698" width="10.5" style="136" customWidth="1"/>
    <col min="7699" max="7937" width="9.1640625" style="136" customWidth="1"/>
    <col min="7938" max="7939" width="4.83203125" style="136" customWidth="1"/>
    <col min="7940" max="7940" width="4.1640625" style="136" customWidth="1"/>
    <col min="7941" max="7941" width="11.1640625" style="136" customWidth="1"/>
    <col min="7942" max="7942" width="25.33203125" style="136" customWidth="1"/>
    <col min="7943" max="7943" width="9.5" style="136" customWidth="1"/>
    <col min="7944" max="7944" width="8.1640625" style="136" customWidth="1"/>
    <col min="7945" max="7945" width="7.83203125" style="136" customWidth="1"/>
    <col min="7946" max="7946" width="14.5" style="136" customWidth="1"/>
    <col min="7947" max="7947" width="6.33203125" style="136" customWidth="1"/>
    <col min="7948" max="7948" width="6.1640625" style="136" customWidth="1"/>
    <col min="7949" max="7949" width="9.1640625" style="136" customWidth="1"/>
    <col min="7950" max="7950" width="10.5" style="136" customWidth="1"/>
    <col min="7951" max="7951" width="22.1640625" style="136" customWidth="1"/>
    <col min="7952" max="7953" width="9.1640625" style="136" customWidth="1"/>
    <col min="7954" max="7954" width="10.5" style="136" customWidth="1"/>
    <col min="7955" max="8193" width="9.1640625" style="136" customWidth="1"/>
    <col min="8194" max="8195" width="4.83203125" style="136" customWidth="1"/>
    <col min="8196" max="8196" width="4.1640625" style="136" customWidth="1"/>
    <col min="8197" max="8197" width="11.1640625" style="136" customWidth="1"/>
    <col min="8198" max="8198" width="25.33203125" style="136" customWidth="1"/>
    <col min="8199" max="8199" width="9.5" style="136" customWidth="1"/>
    <col min="8200" max="8200" width="8.1640625" style="136" customWidth="1"/>
    <col min="8201" max="8201" width="7.83203125" style="136" customWidth="1"/>
    <col min="8202" max="8202" width="14.5" style="136" customWidth="1"/>
    <col min="8203" max="8203" width="6.33203125" style="136" customWidth="1"/>
    <col min="8204" max="8204" width="6.1640625" style="136" customWidth="1"/>
    <col min="8205" max="8205" width="9.1640625" style="136" customWidth="1"/>
    <col min="8206" max="8206" width="10.5" style="136" customWidth="1"/>
    <col min="8207" max="8207" width="22.1640625" style="136" customWidth="1"/>
    <col min="8208" max="8209" width="9.1640625" style="136" customWidth="1"/>
    <col min="8210" max="8210" width="10.5" style="136" customWidth="1"/>
    <col min="8211" max="8449" width="9.1640625" style="136" customWidth="1"/>
    <col min="8450" max="8451" width="4.83203125" style="136" customWidth="1"/>
    <col min="8452" max="8452" width="4.1640625" style="136" customWidth="1"/>
    <col min="8453" max="8453" width="11.1640625" style="136" customWidth="1"/>
    <col min="8454" max="8454" width="25.33203125" style="136" customWidth="1"/>
    <col min="8455" max="8455" width="9.5" style="136" customWidth="1"/>
    <col min="8456" max="8456" width="8.1640625" style="136" customWidth="1"/>
    <col min="8457" max="8457" width="7.83203125" style="136" customWidth="1"/>
    <col min="8458" max="8458" width="14.5" style="136" customWidth="1"/>
    <col min="8459" max="8459" width="6.33203125" style="136" customWidth="1"/>
    <col min="8460" max="8460" width="6.1640625" style="136" customWidth="1"/>
    <col min="8461" max="8461" width="9.1640625" style="136" customWidth="1"/>
    <col min="8462" max="8462" width="10.5" style="136" customWidth="1"/>
    <col min="8463" max="8463" width="22.1640625" style="136" customWidth="1"/>
    <col min="8464" max="8465" width="9.1640625" style="136" customWidth="1"/>
    <col min="8466" max="8466" width="10.5" style="136" customWidth="1"/>
    <col min="8467" max="8705" width="9.1640625" style="136" customWidth="1"/>
    <col min="8706" max="8707" width="4.83203125" style="136" customWidth="1"/>
    <col min="8708" max="8708" width="4.1640625" style="136" customWidth="1"/>
    <col min="8709" max="8709" width="11.1640625" style="136" customWidth="1"/>
    <col min="8710" max="8710" width="25.33203125" style="136" customWidth="1"/>
    <col min="8711" max="8711" width="9.5" style="136" customWidth="1"/>
    <col min="8712" max="8712" width="8.1640625" style="136" customWidth="1"/>
    <col min="8713" max="8713" width="7.83203125" style="136" customWidth="1"/>
    <col min="8714" max="8714" width="14.5" style="136" customWidth="1"/>
    <col min="8715" max="8715" width="6.33203125" style="136" customWidth="1"/>
    <col min="8716" max="8716" width="6.1640625" style="136" customWidth="1"/>
    <col min="8717" max="8717" width="9.1640625" style="136" customWidth="1"/>
    <col min="8718" max="8718" width="10.5" style="136" customWidth="1"/>
    <col min="8719" max="8719" width="22.1640625" style="136" customWidth="1"/>
    <col min="8720" max="8721" width="9.1640625" style="136" customWidth="1"/>
    <col min="8722" max="8722" width="10.5" style="136" customWidth="1"/>
    <col min="8723" max="8961" width="9.1640625" style="136" customWidth="1"/>
    <col min="8962" max="8963" width="4.83203125" style="136" customWidth="1"/>
    <col min="8964" max="8964" width="4.1640625" style="136" customWidth="1"/>
    <col min="8965" max="8965" width="11.1640625" style="136" customWidth="1"/>
    <col min="8966" max="8966" width="25.33203125" style="136" customWidth="1"/>
    <col min="8967" max="8967" width="9.5" style="136" customWidth="1"/>
    <col min="8968" max="8968" width="8.1640625" style="136" customWidth="1"/>
    <col min="8969" max="8969" width="7.83203125" style="136" customWidth="1"/>
    <col min="8970" max="8970" width="14.5" style="136" customWidth="1"/>
    <col min="8971" max="8971" width="6.33203125" style="136" customWidth="1"/>
    <col min="8972" max="8972" width="6.1640625" style="136" customWidth="1"/>
    <col min="8973" max="8973" width="9.1640625" style="136" customWidth="1"/>
    <col min="8974" max="8974" width="10.5" style="136" customWidth="1"/>
    <col min="8975" max="8975" width="22.1640625" style="136" customWidth="1"/>
    <col min="8976" max="8977" width="9.1640625" style="136" customWidth="1"/>
    <col min="8978" max="8978" width="10.5" style="136" customWidth="1"/>
    <col min="8979" max="9217" width="9.1640625" style="136" customWidth="1"/>
    <col min="9218" max="9219" width="4.83203125" style="136" customWidth="1"/>
    <col min="9220" max="9220" width="4.1640625" style="136" customWidth="1"/>
    <col min="9221" max="9221" width="11.1640625" style="136" customWidth="1"/>
    <col min="9222" max="9222" width="25.33203125" style="136" customWidth="1"/>
    <col min="9223" max="9223" width="9.5" style="136" customWidth="1"/>
    <col min="9224" max="9224" width="8.1640625" style="136" customWidth="1"/>
    <col min="9225" max="9225" width="7.83203125" style="136" customWidth="1"/>
    <col min="9226" max="9226" width="14.5" style="136" customWidth="1"/>
    <col min="9227" max="9227" width="6.33203125" style="136" customWidth="1"/>
    <col min="9228" max="9228" width="6.1640625" style="136" customWidth="1"/>
    <col min="9229" max="9229" width="9.1640625" style="136" customWidth="1"/>
    <col min="9230" max="9230" width="10.5" style="136" customWidth="1"/>
    <col min="9231" max="9231" width="22.1640625" style="136" customWidth="1"/>
    <col min="9232" max="9233" width="9.1640625" style="136" customWidth="1"/>
    <col min="9234" max="9234" width="10.5" style="136" customWidth="1"/>
    <col min="9235" max="9473" width="9.1640625" style="136" customWidth="1"/>
    <col min="9474" max="9475" width="4.83203125" style="136" customWidth="1"/>
    <col min="9476" max="9476" width="4.1640625" style="136" customWidth="1"/>
    <col min="9477" max="9477" width="11.1640625" style="136" customWidth="1"/>
    <col min="9478" max="9478" width="25.33203125" style="136" customWidth="1"/>
    <col min="9479" max="9479" width="9.5" style="136" customWidth="1"/>
    <col min="9480" max="9480" width="8.1640625" style="136" customWidth="1"/>
    <col min="9481" max="9481" width="7.83203125" style="136" customWidth="1"/>
    <col min="9482" max="9482" width="14.5" style="136" customWidth="1"/>
    <col min="9483" max="9483" width="6.33203125" style="136" customWidth="1"/>
    <col min="9484" max="9484" width="6.1640625" style="136" customWidth="1"/>
    <col min="9485" max="9485" width="9.1640625" style="136" customWidth="1"/>
    <col min="9486" max="9486" width="10.5" style="136" customWidth="1"/>
    <col min="9487" max="9487" width="22.1640625" style="136" customWidth="1"/>
    <col min="9488" max="9489" width="9.1640625" style="136" customWidth="1"/>
    <col min="9490" max="9490" width="10.5" style="136" customWidth="1"/>
    <col min="9491" max="9729" width="9.1640625" style="136" customWidth="1"/>
    <col min="9730" max="9731" width="4.83203125" style="136" customWidth="1"/>
    <col min="9732" max="9732" width="4.1640625" style="136" customWidth="1"/>
    <col min="9733" max="9733" width="11.1640625" style="136" customWidth="1"/>
    <col min="9734" max="9734" width="25.33203125" style="136" customWidth="1"/>
    <col min="9735" max="9735" width="9.5" style="136" customWidth="1"/>
    <col min="9736" max="9736" width="8.1640625" style="136" customWidth="1"/>
    <col min="9737" max="9737" width="7.83203125" style="136" customWidth="1"/>
    <col min="9738" max="9738" width="14.5" style="136" customWidth="1"/>
    <col min="9739" max="9739" width="6.33203125" style="136" customWidth="1"/>
    <col min="9740" max="9740" width="6.1640625" style="136" customWidth="1"/>
    <col min="9741" max="9741" width="9.1640625" style="136" customWidth="1"/>
    <col min="9742" max="9742" width="10.5" style="136" customWidth="1"/>
    <col min="9743" max="9743" width="22.1640625" style="136" customWidth="1"/>
    <col min="9744" max="9745" width="9.1640625" style="136" customWidth="1"/>
    <col min="9746" max="9746" width="10.5" style="136" customWidth="1"/>
    <col min="9747" max="9985" width="9.1640625" style="136" customWidth="1"/>
    <col min="9986" max="9987" width="4.83203125" style="136" customWidth="1"/>
    <col min="9988" max="9988" width="4.1640625" style="136" customWidth="1"/>
    <col min="9989" max="9989" width="11.1640625" style="136" customWidth="1"/>
    <col min="9990" max="9990" width="25.33203125" style="136" customWidth="1"/>
    <col min="9991" max="9991" width="9.5" style="136" customWidth="1"/>
    <col min="9992" max="9992" width="8.1640625" style="136" customWidth="1"/>
    <col min="9993" max="9993" width="7.83203125" style="136" customWidth="1"/>
    <col min="9994" max="9994" width="14.5" style="136" customWidth="1"/>
    <col min="9995" max="9995" width="6.33203125" style="136" customWidth="1"/>
    <col min="9996" max="9996" width="6.1640625" style="136" customWidth="1"/>
    <col min="9997" max="9997" width="9.1640625" style="136" customWidth="1"/>
    <col min="9998" max="9998" width="10.5" style="136" customWidth="1"/>
    <col min="9999" max="9999" width="22.1640625" style="136" customWidth="1"/>
    <col min="10000" max="10001" width="9.1640625" style="136" customWidth="1"/>
    <col min="10002" max="10002" width="10.5" style="136" customWidth="1"/>
    <col min="10003" max="10241" width="9.1640625" style="136" customWidth="1"/>
    <col min="10242" max="10243" width="4.83203125" style="136" customWidth="1"/>
    <col min="10244" max="10244" width="4.1640625" style="136" customWidth="1"/>
    <col min="10245" max="10245" width="11.1640625" style="136" customWidth="1"/>
    <col min="10246" max="10246" width="25.33203125" style="136" customWidth="1"/>
    <col min="10247" max="10247" width="9.5" style="136" customWidth="1"/>
    <col min="10248" max="10248" width="8.1640625" style="136" customWidth="1"/>
    <col min="10249" max="10249" width="7.83203125" style="136" customWidth="1"/>
    <col min="10250" max="10250" width="14.5" style="136" customWidth="1"/>
    <col min="10251" max="10251" width="6.33203125" style="136" customWidth="1"/>
    <col min="10252" max="10252" width="6.1640625" style="136" customWidth="1"/>
    <col min="10253" max="10253" width="9.1640625" style="136" customWidth="1"/>
    <col min="10254" max="10254" width="10.5" style="136" customWidth="1"/>
    <col min="10255" max="10255" width="22.1640625" style="136" customWidth="1"/>
    <col min="10256" max="10257" width="9.1640625" style="136" customWidth="1"/>
    <col min="10258" max="10258" width="10.5" style="136" customWidth="1"/>
    <col min="10259" max="10497" width="9.1640625" style="136" customWidth="1"/>
    <col min="10498" max="10499" width="4.83203125" style="136" customWidth="1"/>
    <col min="10500" max="10500" width="4.1640625" style="136" customWidth="1"/>
    <col min="10501" max="10501" width="11.1640625" style="136" customWidth="1"/>
    <col min="10502" max="10502" width="25.33203125" style="136" customWidth="1"/>
    <col min="10503" max="10503" width="9.5" style="136" customWidth="1"/>
    <col min="10504" max="10504" width="8.1640625" style="136" customWidth="1"/>
    <col min="10505" max="10505" width="7.83203125" style="136" customWidth="1"/>
    <col min="10506" max="10506" width="14.5" style="136" customWidth="1"/>
    <col min="10507" max="10507" width="6.33203125" style="136" customWidth="1"/>
    <col min="10508" max="10508" width="6.1640625" style="136" customWidth="1"/>
    <col min="10509" max="10509" width="9.1640625" style="136" customWidth="1"/>
    <col min="10510" max="10510" width="10.5" style="136" customWidth="1"/>
    <col min="10511" max="10511" width="22.1640625" style="136" customWidth="1"/>
    <col min="10512" max="10513" width="9.1640625" style="136" customWidth="1"/>
    <col min="10514" max="10514" width="10.5" style="136" customWidth="1"/>
    <col min="10515" max="10753" width="9.1640625" style="136" customWidth="1"/>
    <col min="10754" max="10755" width="4.83203125" style="136" customWidth="1"/>
    <col min="10756" max="10756" width="4.1640625" style="136" customWidth="1"/>
    <col min="10757" max="10757" width="11.1640625" style="136" customWidth="1"/>
    <col min="10758" max="10758" width="25.33203125" style="136" customWidth="1"/>
    <col min="10759" max="10759" width="9.5" style="136" customWidth="1"/>
    <col min="10760" max="10760" width="8.1640625" style="136" customWidth="1"/>
    <col min="10761" max="10761" width="7.83203125" style="136" customWidth="1"/>
    <col min="10762" max="10762" width="14.5" style="136" customWidth="1"/>
    <col min="10763" max="10763" width="6.33203125" style="136" customWidth="1"/>
    <col min="10764" max="10764" width="6.1640625" style="136" customWidth="1"/>
    <col min="10765" max="10765" width="9.1640625" style="136" customWidth="1"/>
    <col min="10766" max="10766" width="10.5" style="136" customWidth="1"/>
    <col min="10767" max="10767" width="22.1640625" style="136" customWidth="1"/>
    <col min="10768" max="10769" width="9.1640625" style="136" customWidth="1"/>
    <col min="10770" max="10770" width="10.5" style="136" customWidth="1"/>
    <col min="10771" max="11009" width="9.1640625" style="136" customWidth="1"/>
    <col min="11010" max="11011" width="4.83203125" style="136" customWidth="1"/>
    <col min="11012" max="11012" width="4.1640625" style="136" customWidth="1"/>
    <col min="11013" max="11013" width="11.1640625" style="136" customWidth="1"/>
    <col min="11014" max="11014" width="25.33203125" style="136" customWidth="1"/>
    <col min="11015" max="11015" width="9.5" style="136" customWidth="1"/>
    <col min="11016" max="11016" width="8.1640625" style="136" customWidth="1"/>
    <col min="11017" max="11017" width="7.83203125" style="136" customWidth="1"/>
    <col min="11018" max="11018" width="14.5" style="136" customWidth="1"/>
    <col min="11019" max="11019" width="6.33203125" style="136" customWidth="1"/>
    <col min="11020" max="11020" width="6.1640625" style="136" customWidth="1"/>
    <col min="11021" max="11021" width="9.1640625" style="136" customWidth="1"/>
    <col min="11022" max="11022" width="10.5" style="136" customWidth="1"/>
    <col min="11023" max="11023" width="22.1640625" style="136" customWidth="1"/>
    <col min="11024" max="11025" width="9.1640625" style="136" customWidth="1"/>
    <col min="11026" max="11026" width="10.5" style="136" customWidth="1"/>
    <col min="11027" max="11265" width="9.1640625" style="136" customWidth="1"/>
    <col min="11266" max="11267" width="4.83203125" style="136" customWidth="1"/>
    <col min="11268" max="11268" width="4.1640625" style="136" customWidth="1"/>
    <col min="11269" max="11269" width="11.1640625" style="136" customWidth="1"/>
    <col min="11270" max="11270" width="25.33203125" style="136" customWidth="1"/>
    <col min="11271" max="11271" width="9.5" style="136" customWidth="1"/>
    <col min="11272" max="11272" width="8.1640625" style="136" customWidth="1"/>
    <col min="11273" max="11273" width="7.83203125" style="136" customWidth="1"/>
    <col min="11274" max="11274" width="14.5" style="136" customWidth="1"/>
    <col min="11275" max="11275" width="6.33203125" style="136" customWidth="1"/>
    <col min="11276" max="11276" width="6.1640625" style="136" customWidth="1"/>
    <col min="11277" max="11277" width="9.1640625" style="136" customWidth="1"/>
    <col min="11278" max="11278" width="10.5" style="136" customWidth="1"/>
    <col min="11279" max="11279" width="22.1640625" style="136" customWidth="1"/>
    <col min="11280" max="11281" width="9.1640625" style="136" customWidth="1"/>
    <col min="11282" max="11282" width="10.5" style="136" customWidth="1"/>
    <col min="11283" max="11521" width="9.1640625" style="136" customWidth="1"/>
    <col min="11522" max="11523" width="4.83203125" style="136" customWidth="1"/>
    <col min="11524" max="11524" width="4.1640625" style="136" customWidth="1"/>
    <col min="11525" max="11525" width="11.1640625" style="136" customWidth="1"/>
    <col min="11526" max="11526" width="25.33203125" style="136" customWidth="1"/>
    <col min="11527" max="11527" width="9.5" style="136" customWidth="1"/>
    <col min="11528" max="11528" width="8.1640625" style="136" customWidth="1"/>
    <col min="11529" max="11529" width="7.83203125" style="136" customWidth="1"/>
    <col min="11530" max="11530" width="14.5" style="136" customWidth="1"/>
    <col min="11531" max="11531" width="6.33203125" style="136" customWidth="1"/>
    <col min="11532" max="11532" width="6.1640625" style="136" customWidth="1"/>
    <col min="11533" max="11533" width="9.1640625" style="136" customWidth="1"/>
    <col min="11534" max="11534" width="10.5" style="136" customWidth="1"/>
    <col min="11535" max="11535" width="22.1640625" style="136" customWidth="1"/>
    <col min="11536" max="11537" width="9.1640625" style="136" customWidth="1"/>
    <col min="11538" max="11538" width="10.5" style="136" customWidth="1"/>
    <col min="11539" max="11777" width="9.1640625" style="136" customWidth="1"/>
    <col min="11778" max="11779" width="4.83203125" style="136" customWidth="1"/>
    <col min="11780" max="11780" width="4.1640625" style="136" customWidth="1"/>
    <col min="11781" max="11781" width="11.1640625" style="136" customWidth="1"/>
    <col min="11782" max="11782" width="25.33203125" style="136" customWidth="1"/>
    <col min="11783" max="11783" width="9.5" style="136" customWidth="1"/>
    <col min="11784" max="11784" width="8.1640625" style="136" customWidth="1"/>
    <col min="11785" max="11785" width="7.83203125" style="136" customWidth="1"/>
    <col min="11786" max="11786" width="14.5" style="136" customWidth="1"/>
    <col min="11787" max="11787" width="6.33203125" style="136" customWidth="1"/>
    <col min="11788" max="11788" width="6.1640625" style="136" customWidth="1"/>
    <col min="11789" max="11789" width="9.1640625" style="136" customWidth="1"/>
    <col min="11790" max="11790" width="10.5" style="136" customWidth="1"/>
    <col min="11791" max="11791" width="22.1640625" style="136" customWidth="1"/>
    <col min="11792" max="11793" width="9.1640625" style="136" customWidth="1"/>
    <col min="11794" max="11794" width="10.5" style="136" customWidth="1"/>
    <col min="11795" max="12033" width="9.1640625" style="136" customWidth="1"/>
    <col min="12034" max="12035" width="4.83203125" style="136" customWidth="1"/>
    <col min="12036" max="12036" width="4.1640625" style="136" customWidth="1"/>
    <col min="12037" max="12037" width="11.1640625" style="136" customWidth="1"/>
    <col min="12038" max="12038" width="25.33203125" style="136" customWidth="1"/>
    <col min="12039" max="12039" width="9.5" style="136" customWidth="1"/>
    <col min="12040" max="12040" width="8.1640625" style="136" customWidth="1"/>
    <col min="12041" max="12041" width="7.83203125" style="136" customWidth="1"/>
    <col min="12042" max="12042" width="14.5" style="136" customWidth="1"/>
    <col min="12043" max="12043" width="6.33203125" style="136" customWidth="1"/>
    <col min="12044" max="12044" width="6.1640625" style="136" customWidth="1"/>
    <col min="12045" max="12045" width="9.1640625" style="136" customWidth="1"/>
    <col min="12046" max="12046" width="10.5" style="136" customWidth="1"/>
    <col min="12047" max="12047" width="22.1640625" style="136" customWidth="1"/>
    <col min="12048" max="12049" width="9.1640625" style="136" customWidth="1"/>
    <col min="12050" max="12050" width="10.5" style="136" customWidth="1"/>
    <col min="12051" max="12289" width="9.1640625" style="136" customWidth="1"/>
    <col min="12290" max="12291" width="4.83203125" style="136" customWidth="1"/>
    <col min="12292" max="12292" width="4.1640625" style="136" customWidth="1"/>
    <col min="12293" max="12293" width="11.1640625" style="136" customWidth="1"/>
    <col min="12294" max="12294" width="25.33203125" style="136" customWidth="1"/>
    <col min="12295" max="12295" width="9.5" style="136" customWidth="1"/>
    <col min="12296" max="12296" width="8.1640625" style="136" customWidth="1"/>
    <col min="12297" max="12297" width="7.83203125" style="136" customWidth="1"/>
    <col min="12298" max="12298" width="14.5" style="136" customWidth="1"/>
    <col min="12299" max="12299" width="6.33203125" style="136" customWidth="1"/>
    <col min="12300" max="12300" width="6.1640625" style="136" customWidth="1"/>
    <col min="12301" max="12301" width="9.1640625" style="136" customWidth="1"/>
    <col min="12302" max="12302" width="10.5" style="136" customWidth="1"/>
    <col min="12303" max="12303" width="22.1640625" style="136" customWidth="1"/>
    <col min="12304" max="12305" width="9.1640625" style="136" customWidth="1"/>
    <col min="12306" max="12306" width="10.5" style="136" customWidth="1"/>
    <col min="12307" max="12545" width="9.1640625" style="136" customWidth="1"/>
    <col min="12546" max="12547" width="4.83203125" style="136" customWidth="1"/>
    <col min="12548" max="12548" width="4.1640625" style="136" customWidth="1"/>
    <col min="12549" max="12549" width="11.1640625" style="136" customWidth="1"/>
    <col min="12550" max="12550" width="25.33203125" style="136" customWidth="1"/>
    <col min="12551" max="12551" width="9.5" style="136" customWidth="1"/>
    <col min="12552" max="12552" width="8.1640625" style="136" customWidth="1"/>
    <col min="12553" max="12553" width="7.83203125" style="136" customWidth="1"/>
    <col min="12554" max="12554" width="14.5" style="136" customWidth="1"/>
    <col min="12555" max="12555" width="6.33203125" style="136" customWidth="1"/>
    <col min="12556" max="12556" width="6.1640625" style="136" customWidth="1"/>
    <col min="12557" max="12557" width="9.1640625" style="136" customWidth="1"/>
    <col min="12558" max="12558" width="10.5" style="136" customWidth="1"/>
    <col min="12559" max="12559" width="22.1640625" style="136" customWidth="1"/>
    <col min="12560" max="12561" width="9.1640625" style="136" customWidth="1"/>
    <col min="12562" max="12562" width="10.5" style="136" customWidth="1"/>
    <col min="12563" max="12801" width="9.1640625" style="136" customWidth="1"/>
    <col min="12802" max="12803" width="4.83203125" style="136" customWidth="1"/>
    <col min="12804" max="12804" width="4.1640625" style="136" customWidth="1"/>
    <col min="12805" max="12805" width="11.1640625" style="136" customWidth="1"/>
    <col min="12806" max="12806" width="25.33203125" style="136" customWidth="1"/>
    <col min="12807" max="12807" width="9.5" style="136" customWidth="1"/>
    <col min="12808" max="12808" width="8.1640625" style="136" customWidth="1"/>
    <col min="12809" max="12809" width="7.83203125" style="136" customWidth="1"/>
    <col min="12810" max="12810" width="14.5" style="136" customWidth="1"/>
    <col min="12811" max="12811" width="6.33203125" style="136" customWidth="1"/>
    <col min="12812" max="12812" width="6.1640625" style="136" customWidth="1"/>
    <col min="12813" max="12813" width="9.1640625" style="136" customWidth="1"/>
    <col min="12814" max="12814" width="10.5" style="136" customWidth="1"/>
    <col min="12815" max="12815" width="22.1640625" style="136" customWidth="1"/>
    <col min="12816" max="12817" width="9.1640625" style="136" customWidth="1"/>
    <col min="12818" max="12818" width="10.5" style="136" customWidth="1"/>
    <col min="12819" max="13057" width="9.1640625" style="136" customWidth="1"/>
    <col min="13058" max="13059" width="4.83203125" style="136" customWidth="1"/>
    <col min="13060" max="13060" width="4.1640625" style="136" customWidth="1"/>
    <col min="13061" max="13061" width="11.1640625" style="136" customWidth="1"/>
    <col min="13062" max="13062" width="25.33203125" style="136" customWidth="1"/>
    <col min="13063" max="13063" width="9.5" style="136" customWidth="1"/>
    <col min="13064" max="13064" width="8.1640625" style="136" customWidth="1"/>
    <col min="13065" max="13065" width="7.83203125" style="136" customWidth="1"/>
    <col min="13066" max="13066" width="14.5" style="136" customWidth="1"/>
    <col min="13067" max="13067" width="6.33203125" style="136" customWidth="1"/>
    <col min="13068" max="13068" width="6.1640625" style="136" customWidth="1"/>
    <col min="13069" max="13069" width="9.1640625" style="136" customWidth="1"/>
    <col min="13070" max="13070" width="10.5" style="136" customWidth="1"/>
    <col min="13071" max="13071" width="22.1640625" style="136" customWidth="1"/>
    <col min="13072" max="13073" width="9.1640625" style="136" customWidth="1"/>
    <col min="13074" max="13074" width="10.5" style="136" customWidth="1"/>
    <col min="13075" max="13313" width="9.1640625" style="136" customWidth="1"/>
    <col min="13314" max="13315" width="4.83203125" style="136" customWidth="1"/>
    <col min="13316" max="13316" width="4.1640625" style="136" customWidth="1"/>
    <col min="13317" max="13317" width="11.1640625" style="136" customWidth="1"/>
    <col min="13318" max="13318" width="25.33203125" style="136" customWidth="1"/>
    <col min="13319" max="13319" width="9.5" style="136" customWidth="1"/>
    <col min="13320" max="13320" width="8.1640625" style="136" customWidth="1"/>
    <col min="13321" max="13321" width="7.83203125" style="136" customWidth="1"/>
    <col min="13322" max="13322" width="14.5" style="136" customWidth="1"/>
    <col min="13323" max="13323" width="6.33203125" style="136" customWidth="1"/>
    <col min="13324" max="13324" width="6.1640625" style="136" customWidth="1"/>
    <col min="13325" max="13325" width="9.1640625" style="136" customWidth="1"/>
    <col min="13326" max="13326" width="10.5" style="136" customWidth="1"/>
    <col min="13327" max="13327" width="22.1640625" style="136" customWidth="1"/>
    <col min="13328" max="13329" width="9.1640625" style="136" customWidth="1"/>
    <col min="13330" max="13330" width="10.5" style="136" customWidth="1"/>
    <col min="13331" max="13569" width="9.1640625" style="136" customWidth="1"/>
    <col min="13570" max="13571" width="4.83203125" style="136" customWidth="1"/>
    <col min="13572" max="13572" width="4.1640625" style="136" customWidth="1"/>
    <col min="13573" max="13573" width="11.1640625" style="136" customWidth="1"/>
    <col min="13574" max="13574" width="25.33203125" style="136" customWidth="1"/>
    <col min="13575" max="13575" width="9.5" style="136" customWidth="1"/>
    <col min="13576" max="13576" width="8.1640625" style="136" customWidth="1"/>
    <col min="13577" max="13577" width="7.83203125" style="136" customWidth="1"/>
    <col min="13578" max="13578" width="14.5" style="136" customWidth="1"/>
    <col min="13579" max="13579" width="6.33203125" style="136" customWidth="1"/>
    <col min="13580" max="13580" width="6.1640625" style="136" customWidth="1"/>
    <col min="13581" max="13581" width="9.1640625" style="136" customWidth="1"/>
    <col min="13582" max="13582" width="10.5" style="136" customWidth="1"/>
    <col min="13583" max="13583" width="22.1640625" style="136" customWidth="1"/>
    <col min="13584" max="13585" width="9.1640625" style="136" customWidth="1"/>
    <col min="13586" max="13586" width="10.5" style="136" customWidth="1"/>
    <col min="13587" max="13825" width="9.1640625" style="136" customWidth="1"/>
    <col min="13826" max="13827" width="4.83203125" style="136" customWidth="1"/>
    <col min="13828" max="13828" width="4.1640625" style="136" customWidth="1"/>
    <col min="13829" max="13829" width="11.1640625" style="136" customWidth="1"/>
    <col min="13830" max="13830" width="25.33203125" style="136" customWidth="1"/>
    <col min="13831" max="13831" width="9.5" style="136" customWidth="1"/>
    <col min="13832" max="13832" width="8.1640625" style="136" customWidth="1"/>
    <col min="13833" max="13833" width="7.83203125" style="136" customWidth="1"/>
    <col min="13834" max="13834" width="14.5" style="136" customWidth="1"/>
    <col min="13835" max="13835" width="6.33203125" style="136" customWidth="1"/>
    <col min="13836" max="13836" width="6.1640625" style="136" customWidth="1"/>
    <col min="13837" max="13837" width="9.1640625" style="136" customWidth="1"/>
    <col min="13838" max="13838" width="10.5" style="136" customWidth="1"/>
    <col min="13839" max="13839" width="22.1640625" style="136" customWidth="1"/>
    <col min="13840" max="13841" width="9.1640625" style="136" customWidth="1"/>
    <col min="13842" max="13842" width="10.5" style="136" customWidth="1"/>
    <col min="13843" max="14081" width="9.1640625" style="136" customWidth="1"/>
    <col min="14082" max="14083" width="4.83203125" style="136" customWidth="1"/>
    <col min="14084" max="14084" width="4.1640625" style="136" customWidth="1"/>
    <col min="14085" max="14085" width="11.1640625" style="136" customWidth="1"/>
    <col min="14086" max="14086" width="25.33203125" style="136" customWidth="1"/>
    <col min="14087" max="14087" width="9.5" style="136" customWidth="1"/>
    <col min="14088" max="14088" width="8.1640625" style="136" customWidth="1"/>
    <col min="14089" max="14089" width="7.83203125" style="136" customWidth="1"/>
    <col min="14090" max="14090" width="14.5" style="136" customWidth="1"/>
    <col min="14091" max="14091" width="6.33203125" style="136" customWidth="1"/>
    <col min="14092" max="14092" width="6.1640625" style="136" customWidth="1"/>
    <col min="14093" max="14093" width="9.1640625" style="136" customWidth="1"/>
    <col min="14094" max="14094" width="10.5" style="136" customWidth="1"/>
    <col min="14095" max="14095" width="22.1640625" style="136" customWidth="1"/>
    <col min="14096" max="14097" width="9.1640625" style="136" customWidth="1"/>
    <col min="14098" max="14098" width="10.5" style="136" customWidth="1"/>
    <col min="14099" max="14337" width="9.1640625" style="136" customWidth="1"/>
    <col min="14338" max="14339" width="4.83203125" style="136" customWidth="1"/>
    <col min="14340" max="14340" width="4.1640625" style="136" customWidth="1"/>
    <col min="14341" max="14341" width="11.1640625" style="136" customWidth="1"/>
    <col min="14342" max="14342" width="25.33203125" style="136" customWidth="1"/>
    <col min="14343" max="14343" width="9.5" style="136" customWidth="1"/>
    <col min="14344" max="14344" width="8.1640625" style="136" customWidth="1"/>
    <col min="14345" max="14345" width="7.83203125" style="136" customWidth="1"/>
    <col min="14346" max="14346" width="14.5" style="136" customWidth="1"/>
    <col min="14347" max="14347" width="6.33203125" style="136" customWidth="1"/>
    <col min="14348" max="14348" width="6.1640625" style="136" customWidth="1"/>
    <col min="14349" max="14349" width="9.1640625" style="136" customWidth="1"/>
    <col min="14350" max="14350" width="10.5" style="136" customWidth="1"/>
    <col min="14351" max="14351" width="22.1640625" style="136" customWidth="1"/>
    <col min="14352" max="14353" width="9.1640625" style="136" customWidth="1"/>
    <col min="14354" max="14354" width="10.5" style="136" customWidth="1"/>
    <col min="14355" max="14593" width="9.1640625" style="136" customWidth="1"/>
    <col min="14594" max="14595" width="4.83203125" style="136" customWidth="1"/>
    <col min="14596" max="14596" width="4.1640625" style="136" customWidth="1"/>
    <col min="14597" max="14597" width="11.1640625" style="136" customWidth="1"/>
    <col min="14598" max="14598" width="25.33203125" style="136" customWidth="1"/>
    <col min="14599" max="14599" width="9.5" style="136" customWidth="1"/>
    <col min="14600" max="14600" width="8.1640625" style="136" customWidth="1"/>
    <col min="14601" max="14601" width="7.83203125" style="136" customWidth="1"/>
    <col min="14602" max="14602" width="14.5" style="136" customWidth="1"/>
    <col min="14603" max="14603" width="6.33203125" style="136" customWidth="1"/>
    <col min="14604" max="14604" width="6.1640625" style="136" customWidth="1"/>
    <col min="14605" max="14605" width="9.1640625" style="136" customWidth="1"/>
    <col min="14606" max="14606" width="10.5" style="136" customWidth="1"/>
    <col min="14607" max="14607" width="22.1640625" style="136" customWidth="1"/>
    <col min="14608" max="14609" width="9.1640625" style="136" customWidth="1"/>
    <col min="14610" max="14610" width="10.5" style="136" customWidth="1"/>
    <col min="14611" max="14849" width="9.1640625" style="136" customWidth="1"/>
    <col min="14850" max="14851" width="4.83203125" style="136" customWidth="1"/>
    <col min="14852" max="14852" width="4.1640625" style="136" customWidth="1"/>
    <col min="14853" max="14853" width="11.1640625" style="136" customWidth="1"/>
    <col min="14854" max="14854" width="25.33203125" style="136" customWidth="1"/>
    <col min="14855" max="14855" width="9.5" style="136" customWidth="1"/>
    <col min="14856" max="14856" width="8.1640625" style="136" customWidth="1"/>
    <col min="14857" max="14857" width="7.83203125" style="136" customWidth="1"/>
    <col min="14858" max="14858" width="14.5" style="136" customWidth="1"/>
    <col min="14859" max="14859" width="6.33203125" style="136" customWidth="1"/>
    <col min="14860" max="14860" width="6.1640625" style="136" customWidth="1"/>
    <col min="14861" max="14861" width="9.1640625" style="136" customWidth="1"/>
    <col min="14862" max="14862" width="10.5" style="136" customWidth="1"/>
    <col min="14863" max="14863" width="22.1640625" style="136" customWidth="1"/>
    <col min="14864" max="14865" width="9.1640625" style="136" customWidth="1"/>
    <col min="14866" max="14866" width="10.5" style="136" customWidth="1"/>
    <col min="14867" max="15105" width="9.1640625" style="136" customWidth="1"/>
    <col min="15106" max="15107" width="4.83203125" style="136" customWidth="1"/>
    <col min="15108" max="15108" width="4.1640625" style="136" customWidth="1"/>
    <col min="15109" max="15109" width="11.1640625" style="136" customWidth="1"/>
    <col min="15110" max="15110" width="25.33203125" style="136" customWidth="1"/>
    <col min="15111" max="15111" width="9.5" style="136" customWidth="1"/>
    <col min="15112" max="15112" width="8.1640625" style="136" customWidth="1"/>
    <col min="15113" max="15113" width="7.83203125" style="136" customWidth="1"/>
    <col min="15114" max="15114" width="14.5" style="136" customWidth="1"/>
    <col min="15115" max="15115" width="6.33203125" style="136" customWidth="1"/>
    <col min="15116" max="15116" width="6.1640625" style="136" customWidth="1"/>
    <col min="15117" max="15117" width="9.1640625" style="136" customWidth="1"/>
    <col min="15118" max="15118" width="10.5" style="136" customWidth="1"/>
    <col min="15119" max="15119" width="22.1640625" style="136" customWidth="1"/>
    <col min="15120" max="15121" width="9.1640625" style="136" customWidth="1"/>
    <col min="15122" max="15122" width="10.5" style="136" customWidth="1"/>
    <col min="15123" max="15361" width="9.1640625" style="136" customWidth="1"/>
    <col min="15362" max="15363" width="4.83203125" style="136" customWidth="1"/>
    <col min="15364" max="15364" width="4.1640625" style="136" customWidth="1"/>
    <col min="15365" max="15365" width="11.1640625" style="136" customWidth="1"/>
    <col min="15366" max="15366" width="25.33203125" style="136" customWidth="1"/>
    <col min="15367" max="15367" width="9.5" style="136" customWidth="1"/>
    <col min="15368" max="15368" width="8.1640625" style="136" customWidth="1"/>
    <col min="15369" max="15369" width="7.83203125" style="136" customWidth="1"/>
    <col min="15370" max="15370" width="14.5" style="136" customWidth="1"/>
    <col min="15371" max="15371" width="6.33203125" style="136" customWidth="1"/>
    <col min="15372" max="15372" width="6.1640625" style="136" customWidth="1"/>
    <col min="15373" max="15373" width="9.1640625" style="136" customWidth="1"/>
    <col min="15374" max="15374" width="10.5" style="136" customWidth="1"/>
    <col min="15375" max="15375" width="22.1640625" style="136" customWidth="1"/>
    <col min="15376" max="15377" width="9.1640625" style="136" customWidth="1"/>
    <col min="15378" max="15378" width="10.5" style="136" customWidth="1"/>
    <col min="15379" max="15617" width="9.1640625" style="136" customWidth="1"/>
    <col min="15618" max="15619" width="4.83203125" style="136" customWidth="1"/>
    <col min="15620" max="15620" width="4.1640625" style="136" customWidth="1"/>
    <col min="15621" max="15621" width="11.1640625" style="136" customWidth="1"/>
    <col min="15622" max="15622" width="25.33203125" style="136" customWidth="1"/>
    <col min="15623" max="15623" width="9.5" style="136" customWidth="1"/>
    <col min="15624" max="15624" width="8.1640625" style="136" customWidth="1"/>
    <col min="15625" max="15625" width="7.83203125" style="136" customWidth="1"/>
    <col min="15626" max="15626" width="14.5" style="136" customWidth="1"/>
    <col min="15627" max="15627" width="6.33203125" style="136" customWidth="1"/>
    <col min="15628" max="15628" width="6.1640625" style="136" customWidth="1"/>
    <col min="15629" max="15629" width="9.1640625" style="136" customWidth="1"/>
    <col min="15630" max="15630" width="10.5" style="136" customWidth="1"/>
    <col min="15631" max="15631" width="22.1640625" style="136" customWidth="1"/>
    <col min="15632" max="15633" width="9.1640625" style="136" customWidth="1"/>
    <col min="15634" max="15634" width="10.5" style="136" customWidth="1"/>
    <col min="15635" max="15873" width="9.1640625" style="136" customWidth="1"/>
    <col min="15874" max="15875" width="4.83203125" style="136" customWidth="1"/>
    <col min="15876" max="15876" width="4.1640625" style="136" customWidth="1"/>
    <col min="15877" max="15877" width="11.1640625" style="136" customWidth="1"/>
    <col min="15878" max="15878" width="25.33203125" style="136" customWidth="1"/>
    <col min="15879" max="15879" width="9.5" style="136" customWidth="1"/>
    <col min="15880" max="15880" width="8.1640625" style="136" customWidth="1"/>
    <col min="15881" max="15881" width="7.83203125" style="136" customWidth="1"/>
    <col min="15882" max="15882" width="14.5" style="136" customWidth="1"/>
    <col min="15883" max="15883" width="6.33203125" style="136" customWidth="1"/>
    <col min="15884" max="15884" width="6.1640625" style="136" customWidth="1"/>
    <col min="15885" max="15885" width="9.1640625" style="136" customWidth="1"/>
    <col min="15886" max="15886" width="10.5" style="136" customWidth="1"/>
    <col min="15887" max="15887" width="22.1640625" style="136" customWidth="1"/>
    <col min="15888" max="15889" width="9.1640625" style="136" customWidth="1"/>
    <col min="15890" max="15890" width="10.5" style="136" customWidth="1"/>
    <col min="15891" max="16129" width="9.1640625" style="136" customWidth="1"/>
    <col min="16130" max="16131" width="4.83203125" style="136" customWidth="1"/>
    <col min="16132" max="16132" width="4.1640625" style="136" customWidth="1"/>
    <col min="16133" max="16133" width="11.1640625" style="136" customWidth="1"/>
    <col min="16134" max="16134" width="25.33203125" style="136" customWidth="1"/>
    <col min="16135" max="16135" width="9.5" style="136" customWidth="1"/>
    <col min="16136" max="16136" width="8.1640625" style="136" customWidth="1"/>
    <col min="16137" max="16137" width="7.83203125" style="136" customWidth="1"/>
    <col min="16138" max="16138" width="14.5" style="136" customWidth="1"/>
    <col min="16139" max="16139" width="6.33203125" style="136" customWidth="1"/>
    <col min="16140" max="16140" width="6.1640625" style="136" customWidth="1"/>
    <col min="16141" max="16141" width="9.1640625" style="136" customWidth="1"/>
    <col min="16142" max="16142" width="10.5" style="136" customWidth="1"/>
    <col min="16143" max="16143" width="22.1640625" style="136" customWidth="1"/>
    <col min="16144" max="16145" width="9.1640625" style="136" customWidth="1"/>
    <col min="16146" max="16146" width="10.5" style="136" customWidth="1"/>
    <col min="16147" max="16384" width="9.1640625" style="136" customWidth="1"/>
  </cols>
  <sheetData>
    <row r="1" spans="1:12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ht="13.5" customHeight="1" spans="1:12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ht="9" customHeight="1" spans="1:12" x14ac:dyDescent="0.2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ht="17.25" customHeight="1" spans="1:16" s="139" customFormat="1" x14ac:dyDescent="0.25">
      <c r="A5" s="140" t="s">
        <v>374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39"/>
      <c r="N5" s="139"/>
      <c r="O5" s="139"/>
      <c r="P5" s="142"/>
    </row>
    <row r="6" ht="17.25" customHeight="1" spans="1:21" s="139" customFormat="1" x14ac:dyDescent="0.25">
      <c r="A6" s="140" t="s">
        <v>375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39"/>
      <c r="N6" s="139"/>
      <c r="O6" s="139"/>
      <c r="P6" s="142"/>
      <c r="Q6" s="139"/>
      <c r="R6" s="139"/>
      <c r="S6" s="143"/>
      <c r="T6" s="143"/>
      <c r="U6" s="143"/>
    </row>
    <row r="7" ht="31.5" customHeight="1" spans="1:21" s="139" customFormat="1" x14ac:dyDescent="0.25">
      <c r="A7" s="144" t="s">
        <v>376</v>
      </c>
      <c r="B7" s="145"/>
      <c r="C7" s="145"/>
      <c r="D7" s="145"/>
      <c r="E7" s="145"/>
      <c r="F7" s="151"/>
      <c r="G7" s="141"/>
      <c r="H7" s="141"/>
      <c r="I7" s="141"/>
      <c r="J7" s="141"/>
      <c r="K7" s="145"/>
      <c r="L7" s="145"/>
      <c r="M7" s="139"/>
      <c r="N7" s="139"/>
      <c r="O7" s="139"/>
      <c r="P7" s="142"/>
      <c r="Q7" s="139"/>
      <c r="R7" s="139"/>
      <c r="S7" s="143"/>
      <c r="T7" s="143"/>
      <c r="U7" s="143"/>
    </row>
    <row r="8" ht="31.5" customHeight="1" spans="1:21" s="139" customFormat="1" x14ac:dyDescent="0.25">
      <c r="A8" s="144" t="s">
        <v>377</v>
      </c>
      <c r="B8" s="145"/>
      <c r="C8" s="145"/>
      <c r="D8" s="145"/>
      <c r="E8" s="145"/>
      <c r="F8" s="151"/>
      <c r="G8" s="145" t="s">
        <v>378</v>
      </c>
      <c r="H8" s="145"/>
      <c r="I8" s="145"/>
      <c r="J8" s="146" t="s">
        <v>379</v>
      </c>
      <c r="K8" s="146"/>
      <c r="L8" s="146"/>
      <c r="M8" s="139"/>
      <c r="N8" s="139"/>
      <c r="O8" s="139"/>
      <c r="P8" s="142"/>
      <c r="Q8" s="139"/>
      <c r="R8" s="139"/>
      <c r="S8" s="143"/>
      <c r="T8" s="143"/>
      <c r="U8" s="143"/>
    </row>
    <row r="9" ht="31.5" customHeight="1" spans="1:21" s="147" customFormat="1" x14ac:dyDescent="0.25">
      <c r="A9" s="102" t="s">
        <v>380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7"/>
      <c r="N9" s="147"/>
      <c r="O9" s="149"/>
      <c r="P9" s="150"/>
      <c r="Q9" s="147"/>
      <c r="R9" s="147"/>
      <c r="S9" s="143"/>
      <c r="T9" s="143"/>
      <c r="U9" s="143"/>
    </row>
    <row r="10" ht="31.5" customHeight="1" spans="1:24" x14ac:dyDescent="0.25">
      <c r="A10" s="151" t="s">
        <v>381</v>
      </c>
      <c r="B10" s="152"/>
      <c r="C10" s="152"/>
      <c r="D10" s="152"/>
      <c r="E10" s="146" t="s">
        <v>382</v>
      </c>
      <c r="F10" s="153">
        <f>IF(OR(VLOOKUP($F$12,'Sem1-2'!$B$7:$ZZ$37,2,FALSE)="ຊາຍ", VLOOKUP($F$12,'Sem1-2'!$B$7:$ZZ$37,2,FALSE)="ທ້າວ"),"ທ້າວ","ນາງ")&amp;" "&amp;VLOOKUP($F$12,'Sem1-2'!$B$7:$ZZ$37,3,FALSE)&amp;" "&amp;VLOOKUP($F$12,'Sem1-2'!$B$7:$ZZ$37,4,FALSE)</f>
      </c>
      <c r="G10" s="154"/>
      <c r="H10" s="154"/>
      <c r="I10" s="151" t="s">
        <v>15</v>
      </c>
      <c r="J10" s="151"/>
      <c r="K10" s="145" t="s">
        <v>383</v>
      </c>
      <c r="L10" s="145"/>
      <c r="M10" s="136"/>
      <c r="N10" s="156"/>
      <c r="O10" s="156"/>
      <c r="P10" s="156"/>
      <c r="Q10" s="156"/>
      <c r="R10" s="157"/>
      <c r="S10" s="47"/>
      <c r="T10" s="47"/>
      <c r="U10" s="156"/>
      <c r="V10" s="158"/>
      <c r="W10" s="158"/>
      <c r="X10" s="158"/>
    </row>
    <row r="11" ht="31.5" customHeight="1" spans="1:24" x14ac:dyDescent="0.25">
      <c r="A11" s="151" t="s">
        <v>384</v>
      </c>
      <c r="B11" s="152"/>
      <c r="C11" s="152"/>
      <c r="D11" s="152"/>
      <c r="E11" s="145" t="s">
        <v>382</v>
      </c>
      <c r="F11" s="159">
        <f>VLOOKUP($F$12,'Sem1-2'!$B$7:$ZZ$37,7,FALSE)</f>
      </c>
      <c r="G11" s="145"/>
      <c r="H11" s="145"/>
      <c r="I11" s="151" t="s">
        <v>385</v>
      </c>
      <c r="J11" s="151"/>
      <c r="K11" s="145" t="s">
        <v>386</v>
      </c>
      <c r="L11" s="145"/>
      <c r="M11" s="136"/>
      <c r="N11" s="156"/>
      <c r="O11" s="156"/>
      <c r="P11" s="156"/>
      <c r="Q11" s="156"/>
      <c r="R11" s="160"/>
      <c r="S11" s="47"/>
      <c r="T11" s="47"/>
      <c r="U11" s="156"/>
      <c r="V11" s="158"/>
      <c r="W11" s="158"/>
      <c r="X11" s="158"/>
    </row>
    <row r="12" ht="31.5" customHeight="1" spans="1:24" s="161" customFormat="1" x14ac:dyDescent="0.25">
      <c r="A12" s="151" t="s">
        <v>387</v>
      </c>
      <c r="B12" s="146"/>
      <c r="C12" s="146"/>
      <c r="D12" s="146"/>
      <c r="E12" s="145" t="s">
        <v>382</v>
      </c>
      <c r="F12" s="145" t="s">
        <v>79</v>
      </c>
      <c r="G12" s="145"/>
      <c r="H12" s="145"/>
      <c r="I12" s="277" t="s">
        <v>388</v>
      </c>
      <c r="J12" s="277"/>
      <c r="K12" s="145" t="str">
        <f>": "&amp;G52</f>
        <v>: 66</v>
      </c>
      <c r="L12" s="145"/>
      <c r="M12" s="161"/>
      <c r="N12" s="156"/>
      <c r="O12" s="156"/>
      <c r="P12" s="156"/>
      <c r="Q12" s="47"/>
      <c r="R12" s="158"/>
      <c r="S12" s="47"/>
      <c r="T12" s="47"/>
      <c r="U12" s="156"/>
      <c r="V12" s="156"/>
      <c r="W12" s="162"/>
      <c r="X12" s="163"/>
    </row>
    <row r="13" ht="31.5" customHeight="1" spans="1:24" s="161" customFormat="1" x14ac:dyDescent="0.25">
      <c r="A13" s="164" t="s">
        <v>389</v>
      </c>
      <c r="B13" s="165"/>
      <c r="C13" s="165"/>
      <c r="D13" s="165"/>
      <c r="E13" s="166" t="s">
        <v>382</v>
      </c>
      <c r="F13" s="164" t="s">
        <v>390</v>
      </c>
      <c r="G13" s="166"/>
      <c r="H13" s="166"/>
      <c r="I13" s="164" t="s">
        <v>391</v>
      </c>
      <c r="J13" s="164"/>
      <c r="K13" s="166" t="s">
        <v>495</v>
      </c>
      <c r="L13" s="166"/>
      <c r="M13" s="161"/>
      <c r="N13" s="170"/>
      <c r="O13" s="170"/>
      <c r="P13" s="47"/>
      <c r="Q13" s="47"/>
      <c r="R13" s="151"/>
      <c r="S13" s="47"/>
      <c r="T13" s="47"/>
      <c r="U13" s="171"/>
      <c r="V13" s="171"/>
      <c r="W13" s="163"/>
      <c r="X13" s="171"/>
    </row>
    <row r="14" ht="30" customHeight="1" spans="1:21" x14ac:dyDescent="0.25">
      <c r="A14" s="172" t="s">
        <v>393</v>
      </c>
      <c r="B14" s="173"/>
      <c r="C14" s="174">
        <v>1</v>
      </c>
      <c r="D14" s="175" t="s">
        <v>496</v>
      </c>
      <c r="E14" s="174" t="s">
        <v>497</v>
      </c>
      <c r="F14" s="176"/>
      <c r="G14" s="177" t="s">
        <v>388</v>
      </c>
      <c r="H14" s="178">
        <f>VLOOKUP($F$12,'Sem3-4 '!$B$7:$ZZ$37,NaN,FALSE)</f>
      </c>
      <c r="I14" s="179">
        <f>IF(H15&gt;=91, 4.00, IF(H15&gt;=81, 3.50, IF(H15&gt;=70, 3.00, IF(H15&gt;=65, 2.50, IF(H15&gt;=60, 2.00, IF(H15&gt;=55, 1.50, IF(H15&gt;=50, 1.00, 0.00)))))))</f>
      </c>
      <c r="J14" s="175">
        <f>IF(H15&gt;=91,"A",IF(H15&gt;=81,"B+",IF(H15&gt;=70,"B",IF(H15&gt;=65,"C+",IF(H15&gt;=60,"C",IF(H15&gt;=55,"D+",IF(H15&gt;=50,"D","F")))))))</f>
      </c>
      <c r="K14" s="175" t="s">
        <v>396</v>
      </c>
      <c r="L14" s="175" t="s">
        <v>397</v>
      </c>
      <c r="M14" s="136"/>
      <c r="N14" s="136"/>
      <c r="O14" s="180"/>
      <c r="P14" s="137"/>
      <c r="Q14" s="136"/>
      <c r="R14" s="136"/>
      <c r="S14" s="181"/>
      <c r="T14" s="181"/>
      <c r="U14" s="181"/>
    </row>
    <row r="15" ht="19" customHeight="1" spans="1:43" s="182" customFormat="1" x14ac:dyDescent="0.25">
      <c r="A15" s="183"/>
      <c r="B15" s="184"/>
      <c r="C15" s="185"/>
      <c r="D15" s="186"/>
      <c r="E15" s="185"/>
      <c r="F15" s="187"/>
      <c r="G15" s="188">
        <v>3</v>
      </c>
      <c r="H15" s="189"/>
      <c r="I15" s="190"/>
      <c r="J15" s="186"/>
      <c r="K15" s="186"/>
      <c r="L15" s="186"/>
      <c r="M15" s="136"/>
      <c r="N15" s="136"/>
      <c r="O15" s="180"/>
      <c r="P15" s="137"/>
      <c r="Q15" s="136"/>
      <c r="R15" s="136"/>
      <c r="S15" s="181"/>
      <c r="T15" s="181"/>
      <c r="U15" s="181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ht="19" customHeight="1" spans="1:15" x14ac:dyDescent="0.25">
      <c r="A16" s="183"/>
      <c r="B16" s="184"/>
      <c r="C16" s="185">
        <v>2</v>
      </c>
      <c r="D16" s="186" t="s">
        <v>498</v>
      </c>
      <c r="E16" s="185" t="s">
        <v>499</v>
      </c>
      <c r="F16" s="187"/>
      <c r="G16" s="188">
        <v>2</v>
      </c>
      <c r="H16" s="189">
        <f>VLOOKUP($F$12,'Sem3-4 '!$B$7:$ZZ$37,NaN,FALSE)</f>
      </c>
      <c r="I16" s="190">
        <f>IF(H16&gt;=91, 4.00, IF(H16&gt;=81, 3.50, IF(H16&gt;=70, 3.00, IF(H16&gt;=65, 2.50, IF(H16&gt;=60, 2.00, IF(H16&gt;=55, 1.50, IF(H16&gt;=50, 1.00, 0.00)))))))</f>
      </c>
      <c r="J16" s="186">
        <f>IF(H16&gt;=91,"A",IF(H16&gt;=81,"B+",IF(H16&gt;=70,"B",IF(H16&gt;=65,"C+",IF(H16&gt;=60,"C",IF(H16&gt;=55,"D+",IF(H16&gt;=50,"D","F")))))))</f>
      </c>
      <c r="K16" s="186"/>
      <c r="L16" s="186"/>
      <c r="M16" s="136"/>
      <c r="N16" s="136"/>
      <c r="O16" s="180"/>
    </row>
    <row r="17" ht="19" customHeight="1" spans="1:15" x14ac:dyDescent="0.25">
      <c r="A17" s="183"/>
      <c r="B17" s="184"/>
      <c r="C17" s="185">
        <v>3</v>
      </c>
      <c r="D17" s="186" t="s">
        <v>500</v>
      </c>
      <c r="E17" s="185" t="s">
        <v>501</v>
      </c>
      <c r="F17" s="187"/>
      <c r="G17" s="188">
        <v>1</v>
      </c>
      <c r="H17" s="189">
        <f>VLOOKUP($F$12,'Sem3-4 '!$B$7:$ZZ$37,NaN,FALSE)</f>
      </c>
      <c r="I17" s="190">
        <f>IF(H17&gt;=91, 4.00, IF(H17&gt;=81, 3.50, IF(H17&gt;=70, 3.00, IF(H17&gt;=65, 2.50, IF(H17&gt;=60, 2.00, IF(H17&gt;=55, 1.50, IF(H17&gt;=50, 1.00, 0.00)))))))</f>
      </c>
      <c r="J17" s="186">
        <f>IF(H17&gt;=91,"A",IF(H17&gt;=81,"B+",IF(H17&gt;=70,"B",IF(H17&gt;=65,"C+",IF(H17&gt;=60,"C",IF(H17&gt;=55,"D+",IF(H17&gt;=50,"D","F")))))))</f>
      </c>
      <c r="K17" s="186"/>
      <c r="L17" s="186"/>
      <c r="M17" s="136"/>
      <c r="N17" s="136"/>
      <c r="O17" s="180"/>
    </row>
    <row r="18" ht="19" customHeight="1" spans="1:15" x14ac:dyDescent="0.25">
      <c r="A18" s="183"/>
      <c r="B18" s="184"/>
      <c r="C18" s="185">
        <v>4</v>
      </c>
      <c r="D18" s="186" t="s">
        <v>502</v>
      </c>
      <c r="E18" s="185" t="s">
        <v>503</v>
      </c>
      <c r="F18" s="187"/>
      <c r="G18" s="188">
        <v>1</v>
      </c>
      <c r="H18" s="189">
        <f>VLOOKUP($F$12,'Sem3-4 '!$B$7:$ZZ$37,NaN,FALSE)</f>
      </c>
      <c r="I18" s="190">
        <f>IF(H18&gt;=91, 4.00, IF(H18&gt;=81, 3.50, IF(H18&gt;=70, 3.00, IF(H18&gt;=65, 2.50, IF(H18&gt;=60, 2.00, IF(H18&gt;=55, 1.50, IF(H18&gt;=50, 1.00, 0.00)))))))</f>
      </c>
      <c r="J18" s="186">
        <f>IF(H18&gt;=91,"A",IF(H18&gt;=81,"B+",IF(H18&gt;=70,"B",IF(H18&gt;=65,"C+",IF(H18&gt;=60,"C",IF(H18&gt;=55,"D+",IF(H18&gt;=50,"D","F")))))))</f>
      </c>
      <c r="K18" s="186"/>
      <c r="L18" s="186"/>
      <c r="M18" s="136"/>
      <c r="N18" s="136"/>
      <c r="O18" s="180"/>
    </row>
    <row r="19" ht="19" customHeight="1" spans="1:15" x14ac:dyDescent="0.25">
      <c r="A19" s="183"/>
      <c r="B19" s="184"/>
      <c r="C19" s="185">
        <v>5</v>
      </c>
      <c r="D19" s="186" t="s">
        <v>504</v>
      </c>
      <c r="E19" s="185" t="s">
        <v>505</v>
      </c>
      <c r="F19" s="187"/>
      <c r="G19" s="188">
        <v>1</v>
      </c>
      <c r="H19" s="189">
        <f>VLOOKUP($F$12,'Sem3-4 '!$B$7:$ZZ$37,NaN,FALSE)</f>
      </c>
      <c r="I19" s="190">
        <f>IF(H19&gt;=91, 4.00, IF(H19&gt;=81, 3.50, IF(H19&gt;=70, 3.00, IF(H19&gt;=65, 2.50, IF(H19&gt;=60, 2.00, IF(H19&gt;=55, 1.50, IF(H19&gt;=50, 1.00, 0.00)))))))</f>
      </c>
      <c r="J19" s="186">
        <f>IF(H19&gt;=91,"A",IF(H19&gt;=81,"B+",IF(H19&gt;=70,"B",IF(H19&gt;=65,"C+",IF(H19&gt;=60,"C",IF(H19&gt;=55,"D+",IF(H19&gt;=50,"D","F")))))))</f>
      </c>
      <c r="K19" s="186"/>
      <c r="L19" s="186"/>
      <c r="M19" s="136"/>
      <c r="N19" s="136"/>
      <c r="O19" s="180"/>
    </row>
    <row r="20" ht="19" customHeight="1" spans="1:15" x14ac:dyDescent="0.25">
      <c r="A20" s="183"/>
      <c r="B20" s="184"/>
      <c r="C20" s="185">
        <v>6</v>
      </c>
      <c r="D20" s="186" t="s">
        <v>506</v>
      </c>
      <c r="E20" s="185" t="s">
        <v>507</v>
      </c>
      <c r="F20" s="187"/>
      <c r="G20" s="188">
        <v>2</v>
      </c>
      <c r="H20" s="189">
        <f>VLOOKUP($F$12,'Sem3-4 '!$B$7:$ZZ$37,NaN,FALSE)</f>
      </c>
      <c r="I20" s="190">
        <f>IF(H20&gt;=91, 4.00, IF(H20&gt;=81, 3.50, IF(H20&gt;=70, 3.00, IF(H20&gt;=65, 2.50, IF(H20&gt;=60, 2.00, IF(H20&gt;=55, 1.50, IF(H20&gt;=50, 1.00, 0.00)))))))</f>
      </c>
      <c r="J20" s="186">
        <f>IF(H20&gt;=91,"A",IF(H20&gt;=81,"B+",IF(H20&gt;=70,"B",IF(H20&gt;=65,"C+",IF(H20&gt;=60,"C",IF(H20&gt;=55,"D+",IF(H20&gt;=50,"D","F")))))))</f>
      </c>
      <c r="K20" s="186"/>
      <c r="L20" s="186"/>
      <c r="M20" s="136"/>
      <c r="N20" s="136"/>
      <c r="O20" s="180"/>
    </row>
    <row r="21" ht="19" customHeight="1" spans="1:15" x14ac:dyDescent="0.25">
      <c r="A21" s="183"/>
      <c r="B21" s="184"/>
      <c r="C21" s="185">
        <v>7</v>
      </c>
      <c r="D21" s="186" t="s">
        <v>508</v>
      </c>
      <c r="E21" s="185" t="s">
        <v>509</v>
      </c>
      <c r="F21" s="187"/>
      <c r="G21" s="188">
        <v>2</v>
      </c>
      <c r="H21" s="189">
        <f>VLOOKUP($F$12,'Sem3-4 '!$B$7:$ZZ$37,NaN,FALSE)</f>
      </c>
      <c r="I21" s="190">
        <f>IF(H21&gt;=91, 4.00, IF(H21&gt;=81, 3.50, IF(H21&gt;=70, 3.00, IF(H21&gt;=65, 2.50, IF(H21&gt;=60, 2.00, IF(H21&gt;=55, 1.50, IF(H21&gt;=50, 1.00, 0.00)))))))</f>
      </c>
      <c r="J21" s="186">
        <f>IF(H21&gt;=91,"A",IF(H21&gt;=81,"B+",IF(H21&gt;=70,"B",IF(H21&gt;=65,"C+",IF(H21&gt;=60,"C",IF(H21&gt;=55,"D+",IF(H21&gt;=50,"D","F")))))))</f>
      </c>
      <c r="K21" s="186"/>
      <c r="L21" s="186"/>
      <c r="M21" s="136"/>
      <c r="N21" s="136"/>
      <c r="O21" s="180"/>
    </row>
    <row r="22" ht="19" customHeight="1" spans="1:15" x14ac:dyDescent="0.25">
      <c r="A22" s="183"/>
      <c r="B22" s="184"/>
      <c r="C22" s="185">
        <v>8</v>
      </c>
      <c r="D22" s="186" t="s">
        <v>510</v>
      </c>
      <c r="E22" s="185" t="s">
        <v>511</v>
      </c>
      <c r="F22" s="187"/>
      <c r="G22" s="188">
        <v>1</v>
      </c>
      <c r="H22" s="189">
        <f>VLOOKUP($F$12,'Sem3-4 '!$B$7:$ZZ$37,NaN,FALSE)</f>
      </c>
      <c r="I22" s="190">
        <f>IF(H22&gt;=91, 4.00, IF(H22&gt;=81, 3.50, IF(H22&gt;=70, 3.00, IF(H22&gt;=65, 2.50, IF(H22&gt;=60, 2.00, IF(H22&gt;=55, 1.50, IF(H22&gt;=50, 1.00, 0.00)))))))</f>
      </c>
      <c r="J22" s="186">
        <f>IF(H22&gt;=91,"A",IF(H22&gt;=81,"B+",IF(H22&gt;=70,"B",IF(H22&gt;=65,"C+",IF(H22&gt;=60,"C",IF(H22&gt;=55,"D+",IF(H22&gt;=50,"D","F")))))))</f>
      </c>
      <c r="K22" s="186"/>
      <c r="L22" s="186"/>
      <c r="M22" s="136"/>
      <c r="N22" s="136"/>
      <c r="O22" s="180"/>
    </row>
    <row r="23" ht="19" customHeight="1" spans="1:15" x14ac:dyDescent="0.25">
      <c r="A23" s="183"/>
      <c r="B23" s="184"/>
      <c r="C23" s="185">
        <v>9</v>
      </c>
      <c r="D23" s="186" t="s">
        <v>512</v>
      </c>
      <c r="E23" s="185" t="s">
        <v>513</v>
      </c>
      <c r="F23" s="187"/>
      <c r="G23" s="188">
        <v>2</v>
      </c>
      <c r="H23" s="189">
        <f>VLOOKUP($F$12,'Sem3-4 '!$B$7:$ZZ$37,NaN,FALSE)</f>
      </c>
      <c r="I23" s="190">
        <f>IF(H23&gt;=91, 4.00, IF(H23&gt;=81, 3.50, IF(H23&gt;=70, 3.00, IF(H23&gt;=65, 2.50, IF(H23&gt;=60, 2.00, IF(H23&gt;=55, 1.50, IF(H23&gt;=50, 1.00, 0.00)))))))</f>
      </c>
      <c r="J23" s="186">
        <f>IF(H23&gt;=91,"A",IF(H23&gt;=81,"B+",IF(H23&gt;=70,"B",IF(H23&gt;=65,"C+",IF(H23&gt;=60,"C",IF(H23&gt;=55,"D+",IF(H23&gt;=50,"D","F")))))))</f>
      </c>
      <c r="K23" s="186"/>
      <c r="L23" s="186"/>
      <c r="M23" s="136"/>
      <c r="N23" s="136"/>
      <c r="O23" s="180"/>
    </row>
    <row r="24" ht="19" customHeight="1" spans="1:43" s="192" customFormat="1" x14ac:dyDescent="0.25">
      <c r="A24" s="193" t="s">
        <v>514</v>
      </c>
      <c r="B24" s="278" t="s">
        <v>415</v>
      </c>
      <c r="C24" s="194">
        <v>1</v>
      </c>
      <c r="D24" s="195" t="s">
        <v>515</v>
      </c>
      <c r="E24" s="196" t="s">
        <v>516</v>
      </c>
      <c r="F24" s="197" t="s">
        <v>395</v>
      </c>
      <c r="G24" s="194">
        <f>SUM(G15:G23)</f>
      </c>
      <c r="H24" s="198">
        <f>VLOOKUP($F$12,'Sem3-4 '!$B$7:$ZZ$37,NaN,FALSE)</f>
      </c>
      <c r="I24" s="279">
        <f>ROUND((G15*I15+G16*I16+G17*I17+G18*I18+G19*I19+G20*I20+G21*I21+G22*I22+G23*I23)/G24, 2)</f>
      </c>
      <c r="J24" s="280">
        <f>IF(H24&gt;=91,"A",IF(H24&gt;=81,"B+",IF(H24&gt;=70,"B",IF(H24&gt;=65,"C+",IF(H24&gt;=60,"C",IF(H24&gt;=55,"D+",IF(H24&gt;=50,"D","F")))))))</f>
      </c>
      <c r="K24" s="264" t="e">
        <f>(I16*G16+I17*G17+G18*I18+I19*G19+I20*G20+I21*G21+I22*G22)/(G16+G17+G18+G19+G20+G21+G22)</f>
        <v>#REF!</v>
      </c>
      <c r="L24" s="264" t="e">
        <f>(K16+K23)/2</f>
        <v>#REF!</v>
      </c>
      <c r="M24" s="181"/>
      <c r="N24" s="161"/>
      <c r="O24" s="163"/>
      <c r="P24" s="20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  <c r="AQ24" s="161"/>
    </row>
    <row r="25" ht="19" customHeight="1" spans="1:43" s="202" customFormat="1" x14ac:dyDescent="0.25">
      <c r="A25" s="203" t="s">
        <v>514</v>
      </c>
      <c r="B25" s="281" t="s">
        <v>415</v>
      </c>
      <c r="C25" s="204">
        <v>2</v>
      </c>
      <c r="D25" s="205" t="s">
        <v>517</v>
      </c>
      <c r="E25" s="206" t="s">
        <v>518</v>
      </c>
      <c r="F25" s="207" t="s">
        <v>403</v>
      </c>
      <c r="G25" s="204">
        <v>2</v>
      </c>
      <c r="H25" s="282">
        <f>VLOOKUP($F$12,'Sem3-4 '!$B$7:$ZZ$37,NaN,FALSE)</f>
      </c>
      <c r="I25" s="208">
        <f>IF(H25&gt;=91, 4.00, IF(H25&gt;=81, 3.50, IF(H25&gt;=70, 3.00, IF(H25&gt;=65, 2.50, IF(H25&gt;=60, 2.00, IF(H25&gt;=55, 1.50, IF(H25&gt;=50, 1.00, 0.00)))))))</f>
      </c>
      <c r="J25" s="204">
        <f>IF(H25&gt;=91,"A",IF(H25&gt;=81,"B+",IF(H25&gt;=70,"B",IF(H25&gt;=65,"C+",IF(H25&gt;=60,"C",IF(H25&gt;=55,"D+",IF(H25&gt;=50,"D","F")))))))</f>
      </c>
      <c r="K25" s="266" t="e">
        <f>(I16*G16+I17*G17+G18*I18+I19*G19+I20*G20+I21*G21+I22*G22)/(G16+G17+G18+G19+G20+G21+G22)</f>
        <v>#REF!</v>
      </c>
      <c r="L25" s="266" t="e">
        <f>(K16+K23)/2</f>
        <v>#REF!</v>
      </c>
      <c r="M25" s="181"/>
      <c r="N25" s="161"/>
      <c r="O25" s="163"/>
      <c r="P25" s="20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  <c r="AQ25" s="161"/>
    </row>
    <row r="26" ht="19" customHeight="1" spans="1:43" s="202" customFormat="1" x14ac:dyDescent="0.25">
      <c r="A26" s="203" t="s">
        <v>514</v>
      </c>
      <c r="B26" s="281" t="s">
        <v>415</v>
      </c>
      <c r="C26" s="210">
        <v>3</v>
      </c>
      <c r="D26" s="205" t="s">
        <v>519</v>
      </c>
      <c r="E26" s="211" t="s">
        <v>520</v>
      </c>
      <c r="F26" s="212" t="s">
        <v>405</v>
      </c>
      <c r="G26" s="204">
        <v>1</v>
      </c>
      <c r="H26" s="282">
        <f>VLOOKUP($F$12,'Sem3-4 '!$B$7:$ZZ$37,NaN,FALSE)</f>
      </c>
      <c r="I26" s="208">
        <f>IF(H26&gt;=91, 4.00, IF(H26&gt;=81, 3.50, IF(H26&gt;=70, 3.00, IF(H26&gt;=65, 2.50, IF(H26&gt;=60, 2.00, IF(H26&gt;=55, 1.50, IF(H26&gt;=50, 1.00, 0.00)))))))</f>
      </c>
      <c r="J26" s="204">
        <f>IF(H26&gt;=91,"A",IF(H26&gt;=81,"B+",IF(H26&gt;=70,"B",IF(H26&gt;=65,"C+",IF(H26&gt;=60,"C",IF(H26&gt;=55,"D+",IF(H26&gt;=50,"D","F")))))))</f>
      </c>
      <c r="K26" s="266" t="e">
        <f>(I16*G16+I17*G17+G18*I18+I19*G19+I20*G20+I21*G21+I22*G22)/(G16+G17+G18+G19+G20+G21+G22)</f>
        <v>#REF!</v>
      </c>
      <c r="L26" s="266" t="e">
        <f>(K16+K23)/2</f>
        <v>#REF!</v>
      </c>
      <c r="M26" s="181"/>
      <c r="N26" s="161"/>
      <c r="O26" s="163"/>
      <c r="P26" s="20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</row>
    <row r="27" ht="19" customHeight="1" spans="1:43" s="202" customFormat="1" x14ac:dyDescent="0.25">
      <c r="A27" s="203" t="s">
        <v>514</v>
      </c>
      <c r="B27" s="281" t="s">
        <v>415</v>
      </c>
      <c r="C27" s="210">
        <v>4</v>
      </c>
      <c r="D27" s="205" t="s">
        <v>521</v>
      </c>
      <c r="E27" s="211" t="s">
        <v>522</v>
      </c>
      <c r="F27" s="212" t="s">
        <v>401</v>
      </c>
      <c r="G27" s="204">
        <v>1</v>
      </c>
      <c r="H27" s="282">
        <f>VLOOKUP($F$12,'Sem3-4 '!$B$7:$ZZ$37,NaN,FALSE)</f>
      </c>
      <c r="I27" s="208">
        <f>IF(H27&gt;=91, 4.00, IF(H27&gt;=81, 3.50, IF(H27&gt;=70, 3.00, IF(H27&gt;=65, 2.50, IF(H27&gt;=60, 2.00, IF(H27&gt;=55, 1.50, IF(H27&gt;=50, 1.00, 0.00)))))))</f>
      </c>
      <c r="J27" s="204">
        <f>IF(H27&gt;=91,"A",IF(H27&gt;=81,"B+",IF(H27&gt;=70,"B",IF(H27&gt;=65,"C+",IF(H27&gt;=60,"C",IF(H27&gt;=55,"D+",IF(H27&gt;=50,"D","F")))))))</f>
      </c>
      <c r="K27" s="266" t="e">
        <f>(I16*G16+I17*G17+G18*I18+I19*G19+I20*G20+I21*G21+I22*G22)/(G16+G17+G18+G19+G20+G21+G22)</f>
        <v>#REF!</v>
      </c>
      <c r="L27" s="266" t="e">
        <f>(K16+K23)/2</f>
        <v>#REF!</v>
      </c>
      <c r="M27" s="181"/>
      <c r="N27" s="161"/>
      <c r="O27" s="163"/>
      <c r="P27" s="20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</row>
    <row r="28" ht="19" customHeight="1" spans="1:43" s="202" customFormat="1" x14ac:dyDescent="0.25">
      <c r="A28" s="203" t="s">
        <v>514</v>
      </c>
      <c r="B28" s="281" t="s">
        <v>415</v>
      </c>
      <c r="C28" s="210">
        <v>5</v>
      </c>
      <c r="D28" s="205" t="s">
        <v>523</v>
      </c>
      <c r="E28" s="211" t="s">
        <v>524</v>
      </c>
      <c r="F28" s="212" t="s">
        <v>399</v>
      </c>
      <c r="G28" s="204">
        <v>1</v>
      </c>
      <c r="H28" s="282">
        <f>VLOOKUP($F$12,'Sem3-4 '!$B$7:$ZZ$37,NaN,FALSE)</f>
      </c>
      <c r="I28" s="208">
        <f>IF(H28&gt;=91, 4.00, IF(H28&gt;=81, 3.50, IF(H28&gt;=70, 3.00, IF(H28&gt;=65, 2.50, IF(H28&gt;=60, 2.00, IF(H28&gt;=55, 1.50, IF(H28&gt;=50, 1.00, 0.00)))))))</f>
      </c>
      <c r="J28" s="204">
        <f>IF(H28&gt;=91,"A",IF(H28&gt;=81,"B+",IF(H28&gt;=70,"B",IF(H28&gt;=65,"C+",IF(H28&gt;=60,"C",IF(H28&gt;=55,"D+",IF(H28&gt;=50,"D","F")))))))</f>
      </c>
      <c r="K28" s="283" t="e">
        <f>(I16*G16+I17*G17+G18*I18+I19*G19+I20*G20+I21*G21+I22*G22)/(G16+G17+G18+G19+G20+G21+G22)</f>
        <v>#REF!</v>
      </c>
      <c r="L28" s="266" t="e">
        <f>(K16+K23)/2</f>
        <v>#REF!</v>
      </c>
      <c r="M28" s="181"/>
      <c r="N28" s="161"/>
      <c r="O28" s="163"/>
      <c r="P28" s="20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</row>
    <row r="29" ht="19" customHeight="1" spans="1:43" s="202" customFormat="1" x14ac:dyDescent="0.25">
      <c r="A29" s="203" t="s">
        <v>514</v>
      </c>
      <c r="B29" s="281" t="s">
        <v>415</v>
      </c>
      <c r="C29" s="210">
        <v>6</v>
      </c>
      <c r="D29" s="205" t="s">
        <v>525</v>
      </c>
      <c r="E29" s="211" t="s">
        <v>526</v>
      </c>
      <c r="F29" s="212" t="s">
        <v>409</v>
      </c>
      <c r="G29" s="204">
        <v>2</v>
      </c>
      <c r="H29" s="282">
        <f>VLOOKUP($F$12,'Sem3-4 '!$B$7:$ZZ$37,NaN,FALSE)</f>
      </c>
      <c r="I29" s="208">
        <f>IF(H29&gt;=91, 4.00, IF(H29&gt;=81, 3.50, IF(H29&gt;=70, 3.00, IF(H29&gt;=65, 2.50, IF(H29&gt;=60, 2.00, IF(H29&gt;=55, 1.50, IF(H29&gt;=50, 1.00, 0.00)))))))</f>
      </c>
      <c r="J29" s="204">
        <f>IF(H29&gt;=91,"A",IF(H29&gt;=81,"B+",IF(H29&gt;=70,"B",IF(H29&gt;=65,"C+",IF(H29&gt;=60,"C",IF(H29&gt;=55,"D+",IF(H29&gt;=50,"D","F")))))))</f>
      </c>
      <c r="K29" s="283" t="e">
        <f>(I16*G16+I17*G17+G18*I18+I19*G19+I20*G20+I21*G21+I22*G22)/(G16+G17+G18+G19+G20+G21+G22)</f>
        <v>#REF!</v>
      </c>
      <c r="L29" s="266" t="e">
        <f>(K16+K23)/2</f>
        <v>#REF!</v>
      </c>
      <c r="M29" s="181"/>
      <c r="N29" s="161"/>
      <c r="O29" s="163"/>
      <c r="P29" s="20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</row>
    <row r="30" ht="19" customHeight="1" spans="1:43" s="202" customFormat="1" x14ac:dyDescent="0.25">
      <c r="A30" s="203" t="s">
        <v>514</v>
      </c>
      <c r="B30" s="281" t="s">
        <v>415</v>
      </c>
      <c r="C30" s="210">
        <v>7</v>
      </c>
      <c r="D30" s="205" t="s">
        <v>527</v>
      </c>
      <c r="E30" s="213" t="s">
        <v>528</v>
      </c>
      <c r="F30" s="214" t="s">
        <v>430</v>
      </c>
      <c r="G30" s="284">
        <v>2</v>
      </c>
      <c r="H30" s="285">
        <f>VLOOKUP($F$12,'Sem3-4 '!$B$7:$ZZ$37,NaN,FALSE)</f>
      </c>
      <c r="I30" s="285">
        <f>IF(H30&gt;=91, 4.00, IF(H30&gt;=81, 3.50, IF(H30&gt;=70, 3.00, IF(H30&gt;=65, 2.50, IF(H30&gt;=60, 2.00, IF(H30&gt;=55, 1.50, IF(H30&gt;=50, 1.00, 0.00)))))))</f>
      </c>
      <c r="J30" s="284">
        <f>IF(H30&gt;=91,"A",IF(H30&gt;=81,"B+",IF(H30&gt;=70,"B",IF(H30&gt;=65,"C+",IF(H30&gt;=60,"C",IF(H30&gt;=55,"D+",IF(H30&gt;=50,"D","F")))))))</f>
      </c>
      <c r="K30" s="286" t="e">
        <f>(I16*G16+I17*G17+G18*I18+I19*G19+I20*G20+I21*G21+I22*G22)/(G16+G17+G18+G19+G20+G21+G22)</f>
        <v>#REF!</v>
      </c>
      <c r="L30" s="266" t="e">
        <f>(K16+K23)/2</f>
        <v>#REF!</v>
      </c>
      <c r="M30" s="181"/>
      <c r="N30" s="161"/>
      <c r="O30" s="163"/>
      <c r="P30" s="20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</row>
    <row r="31" ht="19" customHeight="1" spans="1:43" s="192" customFormat="1" x14ac:dyDescent="0.25">
      <c r="A31" s="203" t="s">
        <v>514</v>
      </c>
      <c r="B31" s="193" t="s">
        <v>433</v>
      </c>
      <c r="C31" s="194">
        <v>8</v>
      </c>
      <c r="D31" s="195" t="s">
        <v>529</v>
      </c>
      <c r="E31" s="211" t="s">
        <v>530</v>
      </c>
      <c r="F31" s="212" t="s">
        <v>417</v>
      </c>
      <c r="G31" s="195">
        <v>1</v>
      </c>
      <c r="H31" s="287">
        <f>VLOOKUP($F$12,'Sem3-4 '!$B$7:$ZZ$37,NaN,FALSE)</f>
      </c>
      <c r="I31" s="223">
        <f>IF(H31&gt;=91, 4.00, IF(H31&gt;=81, 3.50, IF(H31&gt;=70, 3.00, IF(H31&gt;=65, 2.50, IF(H31&gt;=60, 2.00, IF(H31&gt;=55, 1.50, IF(H31&gt;=50, 1.00, 0.00)))))))</f>
      </c>
      <c r="J31" s="210">
        <f>IF(H31&gt;=91,"A",IF(H31&gt;=81,"B+",IF(H31&gt;=70,"B",IF(H31&gt;=65,"C+",IF(H31&gt;=60,"C",IF(H31&gt;=55,"D+",IF(H31&gt;=50,"D","F")))))))</f>
      </c>
      <c r="K31" s="264" t="e">
        <f>(I23*G23+I24*G24+I25*G25+I26*G26+I27*G27+I28*G28+I29*G29+I30*G30+I31*G31+I32*G32)/(G23+G24+G25+G26+G27+G28+G29+G30+G31+G32)</f>
        <v>#REF!</v>
      </c>
      <c r="L31" s="266" t="e">
        <f>(K16+K23)/2</f>
        <v>#REF!</v>
      </c>
      <c r="M31" s="181"/>
      <c r="N31" s="161"/>
      <c r="O31" s="161"/>
      <c r="P31" s="20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</row>
    <row r="32" ht="19" customHeight="1" spans="1:43" s="192" customFormat="1" x14ac:dyDescent="0.25">
      <c r="A32" s="203" t="s">
        <v>514</v>
      </c>
      <c r="B32" s="203" t="s">
        <v>433</v>
      </c>
      <c r="C32" s="210">
        <v>9</v>
      </c>
      <c r="D32" s="205" t="s">
        <v>531</v>
      </c>
      <c r="E32" s="211" t="s">
        <v>532</v>
      </c>
      <c r="F32" s="212" t="s">
        <v>423</v>
      </c>
      <c r="G32" s="205">
        <v>2</v>
      </c>
      <c r="H32" s="282">
        <f>VLOOKUP($F$12,'Sem3-4 '!$B$7:$ZZ$37,NaN,FALSE)</f>
      </c>
      <c r="I32" s="223">
        <f>IF(H32&gt;=91, 4.00, IF(H32&gt;=81, 3.50, IF(H32&gt;=70, 3.00, IF(H32&gt;=65, 2.50, IF(H32&gt;=60, 2.00, IF(H32&gt;=55, 1.50, IF(H32&gt;=50, 1.00, 0.00)))))))</f>
      </c>
      <c r="J32" s="210">
        <f>IF(H32&gt;=91,"A",IF(H32&gt;=81,"B+",IF(H32&gt;=70,"B",IF(H32&gt;=65,"C+",IF(H32&gt;=60,"C",IF(H32&gt;=55,"D+",IF(H32&gt;=50,"D","F")))))))</f>
      </c>
      <c r="K32" s="266" t="e">
        <f>(I23*G23+I24*G24+I25*G25+I26*G26+I27*G27+I28*G28+I29*G29+I30*G30+I31*G31+I32*G32)/(G23+G24+G25+G26+G27+G28+G29+G30+G31+G32)</f>
        <v>#REF!</v>
      </c>
      <c r="L32" s="266" t="e">
        <f>(K16+K23)/2</f>
        <v>#REF!</v>
      </c>
      <c r="M32" s="181"/>
      <c r="N32" s="161"/>
      <c r="O32" s="161"/>
      <c r="P32" s="20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</row>
    <row r="33" ht="30" customHeight="1" spans="1:13" x14ac:dyDescent="0.25">
      <c r="A33" s="288" t="s">
        <v>438</v>
      </c>
      <c r="B33" s="289" t="s">
        <v>438</v>
      </c>
      <c r="C33" s="289" t="s">
        <v>438</v>
      </c>
      <c r="D33" s="289" t="s">
        <v>438</v>
      </c>
      <c r="E33" s="289" t="s">
        <v>438</v>
      </c>
      <c r="F33" s="290" t="s">
        <v>438</v>
      </c>
      <c r="G33" s="291">
        <f>SUM(G24:G32)</f>
      </c>
      <c r="H33" s="292"/>
      <c r="I33" s="293">
        <f>ROUND((G24*I24+G25*I25+G26*I26+G27*I27+G28*I28+G29*I29+G30*I30+G31*I31+G32*I32)/G33, 2)</f>
      </c>
      <c r="J33" s="292" t="e">
        <f>IF(K52&gt;4,"A",IF(K52&gt;3.5,"B+",IF(K52&gt;3,"B",IF(K52&gt;2.5,"C+",IF(K52&gt;2,"C",IF(K52&gt;1.5,"D+",IF(K52&gt;1,"D",IF(K52&gt;0.5,"F"))))))))</f>
        <v>#REF!</v>
      </c>
      <c r="K33" s="294" t="e">
        <f>AVERAGE(L16:L51)</f>
        <v>#REF!</v>
      </c>
      <c r="L33" s="295" t="e">
        <f>AVERAGE(L16:L51)</f>
        <v>#REF!</v>
      </c>
      <c r="M33" s="296"/>
    </row>
    <row r="34" ht="24.75" customHeight="1" spans="1:9" x14ac:dyDescent="0.25">
      <c r="A34" s="136"/>
      <c r="B34" s="136"/>
      <c r="C34" s="136"/>
      <c r="D34" s="181"/>
      <c r="E34" s="181"/>
      <c r="F34" s="276"/>
      <c r="G34" s="136"/>
      <c r="H34" s="136"/>
      <c r="I34" s="136" t="s">
        <v>533</v>
      </c>
    </row>
    <row r="35" ht="22.5" customHeight="1" spans="1:9" x14ac:dyDescent="0.25">
      <c r="A35" s="150" t="s">
        <v>441</v>
      </c>
      <c r="B35" s="231"/>
      <c r="C35" s="142"/>
      <c r="D35" s="149"/>
      <c r="E35" s="149"/>
      <c r="F35" s="276"/>
      <c r="G35" s="136"/>
      <c r="H35" s="136"/>
      <c r="I35" s="150" t="s">
        <v>442</v>
      </c>
    </row>
    <row r="36" ht="22.5" customHeight="1" spans="1:10" x14ac:dyDescent="0.25">
      <c r="A36" s="150" t="s">
        <v>443</v>
      </c>
      <c r="B36" s="231"/>
      <c r="C36" s="142"/>
      <c r="D36" s="136"/>
      <c r="E36" s="136"/>
      <c r="F36" s="276"/>
      <c r="G36" s="136"/>
      <c r="H36" s="136"/>
      <c r="I36" s="232" t="s">
        <v>444</v>
      </c>
      <c r="J36" s="142"/>
    </row>
    <row r="37" ht="22.5" customHeight="1" spans="1:12" x14ac:dyDescent="0.25">
      <c r="A37" s="136"/>
      <c r="B37" s="233"/>
      <c r="C37" s="233"/>
      <c r="D37" s="233"/>
      <c r="E37" s="233"/>
      <c r="F37" s="234"/>
      <c r="G37" s="136"/>
      <c r="H37" s="136"/>
      <c r="I37" s="136"/>
      <c r="J37" s="180"/>
      <c r="K37" s="180"/>
      <c r="L37" s="180"/>
    </row>
    <row r="38" spans="1:12" x14ac:dyDescent="0.25">
      <c r="A38" s="136"/>
      <c r="B38" s="136"/>
      <c r="C38" s="136"/>
      <c r="D38" s="136"/>
      <c r="E38" s="136"/>
      <c r="F38" s="276"/>
      <c r="G38" s="136"/>
      <c r="H38" s="136"/>
      <c r="I38" s="136"/>
      <c r="J38" s="180"/>
      <c r="K38" s="180"/>
      <c r="L38" s="180"/>
    </row>
    <row r="39" spans="1:12" x14ac:dyDescent="0.25">
      <c r="A39" s="136"/>
      <c r="B39" s="136"/>
      <c r="C39" s="136"/>
      <c r="D39" s="136"/>
      <c r="E39" s="136"/>
      <c r="F39" s="276"/>
      <c r="G39" s="136"/>
      <c r="H39" s="136"/>
      <c r="I39" s="136"/>
      <c r="J39" s="235"/>
      <c r="K39" s="235"/>
      <c r="L39" s="235"/>
    </row>
    <row r="40" ht="30" customHeight="1" spans="1:43" s="202" customFormat="1" x14ac:dyDescent="0.25">
      <c r="A40" s="203" t="s">
        <v>514</v>
      </c>
      <c r="B40" s="203" t="s">
        <v>433</v>
      </c>
      <c r="C40" s="204">
        <v>10</v>
      </c>
      <c r="D40" s="205" t="s">
        <v>534</v>
      </c>
      <c r="E40" s="218" t="s">
        <v>435</v>
      </c>
      <c r="F40" s="219" t="s">
        <v>435</v>
      </c>
      <c r="G40" s="217">
        <v>2</v>
      </c>
      <c r="H40" s="285" t="e">
        <f>VLOOKUP($F$12,#REF!,26,FALSE)</f>
        <v>#REF!</v>
      </c>
      <c r="I40" s="285" t="e">
        <f>IF(H32&gt;90,"4.00",IF(H32&gt;80,"3.50",IF(H32&gt;69,"3.00",IF(H32&gt;64,"2.50",IF(H32&gt;59,"2.00",IF(H32&gt;54,"1.50",IF(H32&gt;49,"1.00","0.00")))))))</f>
        <v>#REF!</v>
      </c>
      <c r="J40" s="210" t="e">
        <f>IF(H32&gt;90,"A",IF(H32&gt;80,"B+",IF(H32&gt;69,"B",IF(H32&gt;64,"C+",IF(H32&gt;59,"C",IF(H32&gt;54,"D+",IF(H32&gt;49,"D",IF(H32&gt;=0,"F"))))))))</f>
        <v>#REF!</v>
      </c>
      <c r="K40" s="286" t="e">
        <f>(I23*G23+I24*G24+I25*G25+I26*G26+I27*G27+I28*G28+I29*G29+I30*G30+I31*G31+I32*G32)/(G23+G24+G25+G26+G27+G28+G29+G30+G31+G32)</f>
        <v>#REF!</v>
      </c>
      <c r="L40" s="283" t="e">
        <f>(K16+K23)/2</f>
        <v>#REF!</v>
      </c>
      <c r="M40" s="181"/>
      <c r="N40" s="161"/>
      <c r="O40" s="161"/>
      <c r="P40" s="236"/>
      <c r="Q40" s="237"/>
      <c r="R40" s="237"/>
      <c r="S40" s="238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161"/>
      <c r="AM40" s="161"/>
      <c r="AN40" s="161"/>
      <c r="AO40" s="161"/>
      <c r="AP40" s="161"/>
      <c r="AQ40" s="161"/>
    </row>
    <row r="41" ht="30" customHeight="1" spans="1:43" s="192" customFormat="1" x14ac:dyDescent="0.25">
      <c r="A41" s="193" t="s">
        <v>535</v>
      </c>
      <c r="B41" s="193" t="s">
        <v>536</v>
      </c>
      <c r="C41" s="198">
        <v>1</v>
      </c>
      <c r="D41" s="195" t="s">
        <v>537</v>
      </c>
      <c r="E41" s="297" t="s">
        <v>497</v>
      </c>
      <c r="F41" s="298" t="s">
        <v>497</v>
      </c>
      <c r="G41" s="299">
        <v>3</v>
      </c>
      <c r="H41" s="287" t="e">
        <f>VLOOKUP($F$12,#REF!,27,FALSE)</f>
        <v>#REF!</v>
      </c>
      <c r="I41" s="223" t="e">
        <f>IF(H33&gt;90,"4.00",IF(H33&gt;80,"3.50",IF(H33&gt;69,"3.00",IF(H33&gt;64,"2.50",IF(H33&gt;59,"2.00",IF(H33&gt;54,"1.50",IF(H33&gt;49,"1.00","0.00")))))))</f>
        <v>#REF!</v>
      </c>
      <c r="J41" s="194" t="e">
        <f>IF(H33&gt;90,"A",IF(H33&gt;80,"B+",IF(H33&gt;69,"B",IF(H33&gt;64,"C+",IF(H33&gt;59,"C",IF(H33&gt;54,"D+",IF(H33&gt;49,"D",IF(H33&gt;=0,"F"))))))))</f>
        <v>#REF!</v>
      </c>
      <c r="K41" s="209" t="e">
        <f>(I33*G33+I34*G34+I35*G35+I36*G36+I37*G37+I38*G38+I40*G40+I41*G41+I42*G42)/(G33+G34+G35+G36+G37+G38+G40+G41+G42)</f>
        <v>#REF!</v>
      </c>
      <c r="L41" s="264" t="e">
        <f>(K33+K43)/2</f>
        <v>#REF!</v>
      </c>
      <c r="M41" s="181"/>
      <c r="N41" s="161"/>
      <c r="O41" s="161"/>
      <c r="P41" s="20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</row>
    <row r="42" ht="30" customHeight="1" spans="1:43" s="192" customFormat="1" x14ac:dyDescent="0.25">
      <c r="A42" s="203" t="s">
        <v>535</v>
      </c>
      <c r="B42" s="203" t="s">
        <v>536</v>
      </c>
      <c r="C42" s="204">
        <v>2</v>
      </c>
      <c r="D42" s="205" t="s">
        <v>538</v>
      </c>
      <c r="E42" s="211" t="s">
        <v>507</v>
      </c>
      <c r="F42" s="212" t="s">
        <v>507</v>
      </c>
      <c r="G42" s="205">
        <v>2</v>
      </c>
      <c r="H42" s="282" t="e">
        <f>VLOOKUP($F$12,#REF!,28,FALSE)</f>
        <v>#REF!</v>
      </c>
      <c r="I42" s="223" t="e">
        <f>IF(H34&gt;90,"4.00",IF(H34&gt;80,"3.50",IF(H34&gt;69,"3.00",IF(H34&gt;64,"2.50",IF(H34&gt;59,"2.00",IF(H34&gt;54,"1.50",IF(H34&gt;49,"1.00","0.00")))))))</f>
        <v>#REF!</v>
      </c>
      <c r="J42" s="204" t="e">
        <f>IF(H34&gt;90,"A",IF(H34&gt;80,"B+",IF(H34&gt;69,"B",IF(H34&gt;64,"C+",IF(H34&gt;59,"C",IF(H34&gt;54,"D+",IF(H34&gt;49,"D",IF(H34&gt;=0,"F"))))))))</f>
        <v>#REF!</v>
      </c>
      <c r="K42" s="209" t="e">
        <f>(I33*G33+I34*G34+I35*G35+I36*G36+I37*G37+I38*G38+I40*G40+I41*G41+I42*G42)/(G33+G34+G35+G36+G37+G38+G40+G41+G42)</f>
        <v>#REF!</v>
      </c>
      <c r="L42" s="266" t="e">
        <f>(K33+K43)/2</f>
        <v>#REF!</v>
      </c>
      <c r="M42" s="181"/>
      <c r="N42" s="161"/>
      <c r="O42" s="161"/>
      <c r="P42" s="20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  <c r="AQ42" s="161"/>
    </row>
    <row r="43" ht="30" customHeight="1" spans="1:43" s="202" customFormat="1" x14ac:dyDescent="0.25">
      <c r="A43" s="203" t="s">
        <v>535</v>
      </c>
      <c r="B43" s="203" t="s">
        <v>536</v>
      </c>
      <c r="C43" s="215">
        <v>3</v>
      </c>
      <c r="D43" s="205" t="s">
        <v>539</v>
      </c>
      <c r="E43" s="211" t="s">
        <v>501</v>
      </c>
      <c r="F43" s="212" t="s">
        <v>501</v>
      </c>
      <c r="G43" s="205">
        <v>1</v>
      </c>
      <c r="H43" s="282" t="e">
        <f>VLOOKUP($F$12,#REF!,29,FALSE)</f>
        <v>#REF!</v>
      </c>
      <c r="I43" s="223" t="e">
        <f>IF(H35&gt;90,"4.00",IF(H35&gt;80,"3.50",IF(H35&gt;69,"3.00",IF(H35&gt;64,"2.50",IF(H35&gt;59,"2.00",IF(H35&gt;54,"1.50",IF(H35&gt;49,"1.00","0.00")))))))</f>
        <v>#REF!</v>
      </c>
      <c r="J43" s="210" t="e">
        <f>IF(H35&gt;90,"A",IF(H35&gt;80,"B+",IF(H35&gt;69,"B",IF(H35&gt;64,"C+",IF(H35&gt;59,"C",IF(H35&gt;54,"D+",IF(H35&gt;49,"D",IF(H35&gt;=0,"F"))))))))</f>
        <v>#REF!</v>
      </c>
      <c r="K43" s="209" t="e">
        <f>(I33*G33+I34*G34+I35*G35+I36*G36+I37*G37+I38*G38+I40*G40+I41*G41+I42*G42)/(G33+G34+G35+G36+G37+G38+G40+G41+G42)</f>
        <v>#REF!</v>
      </c>
      <c r="L43" s="266" t="e">
        <f>(K33+K43)/2</f>
        <v>#REF!</v>
      </c>
      <c r="M43" s="181"/>
      <c r="N43" s="161"/>
      <c r="O43" s="161"/>
      <c r="P43" s="20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  <c r="AQ43" s="161"/>
    </row>
    <row r="44" ht="30" customHeight="1" spans="1:43" s="202" customFormat="1" x14ac:dyDescent="0.25">
      <c r="A44" s="203" t="s">
        <v>535</v>
      </c>
      <c r="B44" s="203" t="s">
        <v>536</v>
      </c>
      <c r="C44" s="215">
        <v>4</v>
      </c>
      <c r="D44" s="217" t="s">
        <v>540</v>
      </c>
      <c r="E44" s="211" t="s">
        <v>499</v>
      </c>
      <c r="F44" s="212" t="s">
        <v>499</v>
      </c>
      <c r="G44" s="205">
        <v>2</v>
      </c>
      <c r="H44" s="282" t="e">
        <f>VLOOKUP($F$12,#REF!,30,FALSE)</f>
        <v>#REF!</v>
      </c>
      <c r="I44" s="223" t="e">
        <f>IF(H36&gt;90,"4.00",IF(H36&gt;80,"3.50",IF(H36&gt;69,"3.00",IF(H36&gt;64,"2.50",IF(H36&gt;59,"2.00",IF(H36&gt;54,"1.50",IF(H36&gt;49,"1.00","0.00")))))))</f>
        <v>#REF!</v>
      </c>
      <c r="J44" s="204" t="e">
        <f>IF(H36&gt;90,"A",IF(H36&gt;80,"B+",IF(H36&gt;69,"B",IF(H36&gt;64,"C+",IF(H36&gt;59,"C",IF(H36&gt;54,"D+",IF(H36&gt;49,"D",IF(H36&gt;=0,"F"))))))))</f>
        <v>#REF!</v>
      </c>
      <c r="K44" s="209" t="e">
        <f>(I33*G33+I34*G34+I35*G35+I36*G36+I37*G37+I38*G38+I40*G40+I41*G41+I42*G42)/(G33+G34+G35+G36+G37+G38+G40+G41+G42)</f>
        <v>#REF!</v>
      </c>
      <c r="L44" s="266" t="e">
        <f>(K33+K43)/2</f>
        <v>#REF!</v>
      </c>
      <c r="M44" s="181"/>
      <c r="N44" s="161"/>
      <c r="O44" s="161"/>
      <c r="P44" s="20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</row>
    <row r="45" ht="30" customHeight="1" spans="1:43" s="202" customFormat="1" x14ac:dyDescent="0.25">
      <c r="A45" s="203" t="s">
        <v>535</v>
      </c>
      <c r="B45" s="203" t="s">
        <v>536</v>
      </c>
      <c r="C45" s="204">
        <v>5</v>
      </c>
      <c r="D45" s="205" t="s">
        <v>541</v>
      </c>
      <c r="E45" s="211" t="s">
        <v>505</v>
      </c>
      <c r="F45" s="212" t="s">
        <v>505</v>
      </c>
      <c r="G45" s="205">
        <v>1</v>
      </c>
      <c r="H45" s="282" t="e">
        <f>VLOOKUP($F$12,#REF!,31,FALSE)</f>
        <v>#REF!</v>
      </c>
      <c r="I45" s="223" t="e">
        <f>IF(H37&gt;90,"4.00",IF(H37&gt;80,"3.50",IF(H37&gt;69,"3.00",IF(H37&gt;64,"2.50",IF(H37&gt;59,"2.00",IF(H37&gt;54,"1.50",IF(H37&gt;49,"1.00","0.00")))))))</f>
        <v>#REF!</v>
      </c>
      <c r="J45" s="204" t="e">
        <f>IF(H37&gt;90,"A",IF(H37&gt;80,"B+",IF(H37&gt;69,"B",IF(H37&gt;64,"C+",IF(H37&gt;59,"C",IF(H37&gt;54,"D+",IF(H37&gt;49,"D",IF(H37&gt;=0,"F"))))))))</f>
        <v>#REF!</v>
      </c>
      <c r="K45" s="209" t="e">
        <f>(I33*G33+I34*G34+I35*G35+I36*G36+I37*G37+I38*G38+I40*G40+I41*G41+I42*G42)/(G33+G34+G35+G36+G37+G38+G40+G41+G42)</f>
        <v>#REF!</v>
      </c>
      <c r="L45" s="266" t="e">
        <f>(K33+K43)/2</f>
        <v>#REF!</v>
      </c>
      <c r="M45" s="181"/>
      <c r="N45" s="161"/>
      <c r="O45" s="161"/>
      <c r="P45" s="20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</row>
    <row r="46" ht="30" customHeight="1" spans="1:43" s="202" customFormat="1" x14ac:dyDescent="0.25">
      <c r="A46" s="203" t="s">
        <v>535</v>
      </c>
      <c r="B46" s="203" t="s">
        <v>536</v>
      </c>
      <c r="C46" s="215">
        <v>6</v>
      </c>
      <c r="D46" s="205" t="s">
        <v>542</v>
      </c>
      <c r="E46" s="211" t="s">
        <v>503</v>
      </c>
      <c r="F46" s="212" t="s">
        <v>503</v>
      </c>
      <c r="G46" s="205">
        <v>1</v>
      </c>
      <c r="H46" s="282" t="e">
        <f>VLOOKUP($F$12,#REF!,32,FALSE)</f>
        <v>#REF!</v>
      </c>
      <c r="I46" s="223" t="e">
        <f>IF(H38&gt;90,"4.00",IF(H38&gt;80,"3.50",IF(H38&gt;69,"3.00",IF(H38&gt;64,"2.50",IF(H38&gt;59,"2.00",IF(H38&gt;54,"1.50",IF(H38&gt;49,"1.00","0.00")))))))</f>
        <v>#REF!</v>
      </c>
      <c r="J46" s="204" t="e">
        <f>IF(H38&gt;90,"A",IF(H38&gt;80,"B+",IF(H38&gt;69,"B",IF(H38&gt;64,"C+",IF(H38&gt;59,"C",IF(H38&gt;54,"D+",IF(H38&gt;49,"D",IF(H38&gt;=0,"F"))))))))</f>
        <v>#REF!</v>
      </c>
      <c r="K46" s="209" t="e">
        <f>(I33*G33+I34*G34+I35*G35+I36*G36+I37*G37+I38*G38+I40*G40+I41*G41+I42*G42)/(G33+G34+G35+G36+G37+G38+G40+G41+G42)</f>
        <v>#REF!</v>
      </c>
      <c r="L46" s="266" t="e">
        <f>(K33+K43)/2</f>
        <v>#REF!</v>
      </c>
      <c r="M46" s="181"/>
      <c r="N46" s="161"/>
      <c r="O46" s="161"/>
      <c r="P46" s="20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</row>
    <row r="47" ht="30" customHeight="1" spans="1:43" s="202" customFormat="1" x14ac:dyDescent="0.25">
      <c r="A47" s="203" t="s">
        <v>535</v>
      </c>
      <c r="B47" s="203" t="s">
        <v>536</v>
      </c>
      <c r="C47" s="215">
        <v>7</v>
      </c>
      <c r="D47" s="205" t="s">
        <v>543</v>
      </c>
      <c r="E47" s="211" t="s">
        <v>544</v>
      </c>
      <c r="F47" s="212" t="s">
        <v>544</v>
      </c>
      <c r="G47" s="204">
        <v>2</v>
      </c>
      <c r="H47" s="282" t="e">
        <f>VLOOKUP($F$12,#REF!,33,FALSE)</f>
        <v>#REF!</v>
      </c>
      <c r="I47" s="223" t="e">
        <f>IF(H39&gt;90,"4.00",IF(H39&gt;80,"3.50",IF(H39&gt;69,"3.00",IF(H39&gt;64,"2.50",IF(H39&gt;59,"2.00",IF(H39&gt;54,"1.50",IF(H39&gt;49,"1.00","0.00")))))))</f>
        <v>#REF!</v>
      </c>
      <c r="J47" s="204" t="e">
        <f>IF(H39&gt;90,"A",IF(H39&gt;80,"B+",IF(H39&gt;69,"B",IF(H39&gt;64,"C+",IF(H39&gt;59,"C",IF(H39&gt;54,"D+",IF(H39&gt;49,"D",IF(H39&gt;=0,"F"))))))))</f>
        <v>#REF!</v>
      </c>
      <c r="K47" s="209" t="e">
        <f>(I33*G33+I34*G34+I35*G35+I36*G36+I37*G37+I38*G38+I40*G40+I41*G41+I42*G42)/(G33+G34+G35+G36+G37+G38+G40+G41+G42)</f>
        <v>#REF!</v>
      </c>
      <c r="L47" s="266" t="e">
        <f>(K33+K43)/2</f>
        <v>#REF!</v>
      </c>
      <c r="M47" s="181"/>
      <c r="N47" s="161"/>
      <c r="O47" s="161"/>
      <c r="P47" s="20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</row>
    <row r="48" ht="30" customHeight="1" spans="1:43" s="202" customFormat="1" x14ac:dyDescent="0.25">
      <c r="A48" s="203" t="s">
        <v>535</v>
      </c>
      <c r="B48" s="203" t="s">
        <v>536</v>
      </c>
      <c r="C48" s="215">
        <v>8</v>
      </c>
      <c r="D48" s="205" t="s">
        <v>545</v>
      </c>
      <c r="E48" s="211" t="s">
        <v>429</v>
      </c>
      <c r="F48" s="212" t="s">
        <v>429</v>
      </c>
      <c r="G48" s="205">
        <v>2</v>
      </c>
      <c r="H48" s="282" t="e">
        <f>VLOOKUP($F$12,#REF!,34,FALSE)</f>
        <v>#REF!</v>
      </c>
      <c r="I48" s="223" t="e">
        <f>IF(H40&gt;90,"4.00",IF(H40&gt;80,"3.50",IF(H40&gt;69,"3.00",IF(H40&gt;64,"2.50",IF(H40&gt;59,"2.00",IF(H40&gt;54,"1.50",IF(H40&gt;49,"1.00","0.00")))))))</f>
        <v>#REF!</v>
      </c>
      <c r="J48" s="204" t="e">
        <f>IF(H40&gt;90,"A",IF(H40&gt;80,"B+",IF(H40&gt;69,"B",IF(H40&gt;64,"C+",IF(H40&gt;59,"C",IF(H40&gt;54,"D+",IF(H40&gt;49,"D",IF(H40&gt;=0,"F"))))))))</f>
        <v>#REF!</v>
      </c>
      <c r="K48" s="209" t="e">
        <f>(I33*G33+I34*G34+I35*G35+I36*G36+I37*G37+I38*G38+I40*G40+I41*G41+I42*G42)/(G33+G34+G35+G36+G37+G38+G40+G41+G42)</f>
        <v>#REF!</v>
      </c>
      <c r="L48" s="266" t="e">
        <f>(K33+K43)/2</f>
        <v>#REF!</v>
      </c>
      <c r="M48" s="181"/>
      <c r="N48" s="236"/>
      <c r="O48" s="237"/>
      <c r="P48" s="237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</row>
    <row r="49" ht="30" customHeight="1" spans="1:43" s="202" customFormat="1" x14ac:dyDescent="0.25">
      <c r="A49" s="203" t="s">
        <v>535</v>
      </c>
      <c r="B49" s="203" t="s">
        <v>536</v>
      </c>
      <c r="C49" s="284">
        <v>9</v>
      </c>
      <c r="D49" s="216" t="s">
        <v>546</v>
      </c>
      <c r="E49" s="221" t="s">
        <v>547</v>
      </c>
      <c r="F49" s="222" t="s">
        <v>547</v>
      </c>
      <c r="G49" s="300">
        <v>2</v>
      </c>
      <c r="H49" s="282" t="e">
        <f>VLOOKUP($F$12,#REF!,35,FALSE)</f>
        <v>#REF!</v>
      </c>
      <c r="I49" s="223" t="e">
        <f>IF(H41&gt;90,"4.00",IF(H41&gt;80,"3.50",IF(H41&gt;69,"3.00",IF(H41&gt;64,"2.50",IF(H41&gt;59,"2.00",IF(H41&gt;54,"1.50",IF(H41&gt;49,"1.00","0.00")))))))</f>
        <v>#REF!</v>
      </c>
      <c r="J49" s="210" t="e">
        <f>IF(H41&gt;90,"A",IF(H41&gt;80,"B+",IF(H41&gt;69,"B",IF(H41&gt;64,"C+",IF(H41&gt;59,"C",IF(H41&gt;54,"D+",IF(H41&gt;49,"D",IF(H41&gt;=0,"F"))))))))</f>
        <v>#REF!</v>
      </c>
      <c r="K49" s="209" t="e">
        <f>(I33*G33+I34*G34+I35*G35+I36*G36+I37*G37+I38*G38+I40*G40+I41*G41+I42*G42)/(G33+G34+G35+G36+G37+G38+G40+G41+G42)</f>
        <v>#REF!</v>
      </c>
      <c r="L49" s="266" t="e">
        <f>(K33+K43)/2</f>
        <v>#REF!</v>
      </c>
      <c r="M49" s="181"/>
      <c r="N49" s="161"/>
      <c r="O49" s="161"/>
      <c r="P49" s="20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</row>
    <row r="50" ht="30" customHeight="1" spans="1:43" s="202" customFormat="1" x14ac:dyDescent="0.25">
      <c r="A50" s="203" t="s">
        <v>535</v>
      </c>
      <c r="B50" s="301" t="s">
        <v>536</v>
      </c>
      <c r="C50" s="284">
        <v>10</v>
      </c>
      <c r="D50" s="302" t="s">
        <v>548</v>
      </c>
      <c r="E50" s="218" t="s">
        <v>549</v>
      </c>
      <c r="F50" s="219" t="s">
        <v>549</v>
      </c>
      <c r="G50" s="284">
        <v>3</v>
      </c>
      <c r="H50" s="285" t="e">
        <f>VLOOKUP($F$12,#REF!,36,FALSE)</f>
        <v>#REF!</v>
      </c>
      <c r="I50" s="285" t="e">
        <f>IF(H42&gt;90,"4.00",IF(H42&gt;80,"3.50",IF(H42&gt;69,"3.00",IF(H42&gt;64,"2.50",IF(H42&gt;59,"2.00",IF(H42&gt;54,"1.50",IF(H42&gt;49,"1.00","0.00")))))))</f>
        <v>#REF!</v>
      </c>
      <c r="J50" s="303" t="e">
        <f>IF(H42&gt;90,"A",IF(H42&gt;80,"B+",IF(H42&gt;69,"B",IF(H42&gt;64,"C+",IF(H42&gt;59,"C",IF(H42&gt;54,"D+",IF(H42&gt;49,"D",IF(H42&gt;=0,"F"))))))))</f>
        <v>#REF!</v>
      </c>
      <c r="K50" s="209" t="e">
        <f>(I33*G33+I34*G34+I35*G35+I36*G36+I37*G37+I38*G38+I40*G40+I41*G41+I42*G42)/(G33+G34+G35+G36+G37+G38+G40+G41+G42)</f>
        <v>#REF!</v>
      </c>
      <c r="L50" s="266" t="e">
        <f>(K33+K43)/2</f>
        <v>#REF!</v>
      </c>
      <c r="M50" s="181"/>
      <c r="N50" s="161"/>
      <c r="O50" s="161"/>
      <c r="P50" s="20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</row>
    <row r="51" ht="30" customHeight="1" spans="1:43" s="192" customFormat="1" x14ac:dyDescent="0.25">
      <c r="A51" s="203" t="s">
        <v>535</v>
      </c>
      <c r="B51" s="203" t="s">
        <v>550</v>
      </c>
      <c r="C51" s="210">
        <v>1</v>
      </c>
      <c r="D51" s="216" t="s">
        <v>551</v>
      </c>
      <c r="E51" s="196" t="s">
        <v>516</v>
      </c>
      <c r="F51" s="197" t="s">
        <v>516</v>
      </c>
      <c r="G51" s="210">
        <v>3</v>
      </c>
      <c r="H51" s="287" t="e">
        <f>VLOOKUP($F$12,#REF!,37,FALSE)</f>
        <v>#REF!</v>
      </c>
      <c r="I51" s="223" t="e">
        <f>IF(H43&gt;90,"4.00",IF(H43&gt;80,"3.50",IF(H43&gt;69,"3.00",IF(H43&gt;64,"2.50",IF(H43&gt;59,"2.00",IF(H43&gt;54,"1.50",IF(H43&gt;49,"1.00","0.00")))))))</f>
        <v>#REF!</v>
      </c>
      <c r="J51" s="210" t="e">
        <f>IF(H43&gt;90,"A",IF(H43&gt;80,"B+",IF(H43&gt;69,"B",IF(H43&gt;64,"C+",IF(H43&gt;59,"C",IF(H43&gt;54,"D+",IF(H43&gt;49,"D",IF(H43&gt;=0,"F"))))))))</f>
        <v>#REF!</v>
      </c>
      <c r="K51" s="304" t="e">
        <f>(I43*G43+I44*G44+I45*G45+I46*G46+I47*G47+I48*G48+I49*G49+I50*G50+I51*G51)/(G43+G44+G45+G46+G47+G48+G49+G50+G51)</f>
        <v>#REF!</v>
      </c>
      <c r="L51" s="266" t="e">
        <f>(K33+K43)/2</f>
        <v>#REF!</v>
      </c>
      <c r="M51" s="181"/>
      <c r="N51" s="161"/>
      <c r="O51" s="161"/>
      <c r="P51" s="20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</row>
    <row r="52" ht="30" customHeight="1" spans="1:43" s="202" customFormat="1" x14ac:dyDescent="0.25">
      <c r="A52" s="203" t="s">
        <v>535</v>
      </c>
      <c r="B52" s="305" t="s">
        <v>550</v>
      </c>
      <c r="C52" s="204">
        <v>2</v>
      </c>
      <c r="D52" s="204" t="s">
        <v>552</v>
      </c>
      <c r="E52" s="211" t="s">
        <v>526</v>
      </c>
      <c r="F52" s="212" t="s">
        <v>526</v>
      </c>
      <c r="G52" s="204">
        <v>2</v>
      </c>
      <c r="H52" s="282" t="e">
        <f>VLOOKUP($F$12,#REF!,38,FALSE)</f>
        <v>#REF!</v>
      </c>
      <c r="I52" s="223" t="e">
        <f>IF(H44&gt;90,"4.00",IF(H44&gt;80,"3.50",IF(H44&gt;69,"3.00",IF(H44&gt;64,"2.50",IF(H44&gt;59,"2.00",IF(H44&gt;54,"1.50",IF(H44&gt;49,"1.00","0.00")))))))</f>
        <v>#REF!</v>
      </c>
      <c r="J52" s="210" t="e">
        <f>IF(H44&gt;90,"A",IF(H44&gt;80,"B+",IF(H44&gt;69,"B",IF(H44&gt;64,"C+",IF(H44&gt;59,"C",IF(H44&gt;54,"D+",IF(H44&gt;49,"D",IF(H44&gt;=0,"F"))))))))</f>
        <v>#REF!</v>
      </c>
      <c r="K52" s="266" t="e">
        <f>(I43*G43+I44*G44+I45*G45+I46*G46+I47*G47+I48*G48+I49*G49+I50*G50+I51*G51)/(G43+G44+G45+G46+G47+G48+G49+G50+G51)</f>
        <v>#REF!</v>
      </c>
      <c r="L52" s="266" t="e">
        <f>(K33+K43)/2</f>
        <v>#REF!</v>
      </c>
      <c r="M52" s="181"/>
      <c r="N52" s="161"/>
      <c r="O52" s="161"/>
      <c r="P52" s="20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</row>
    <row r="53" ht="30" customHeight="1" spans="1:43" s="202" customFormat="1" x14ac:dyDescent="0.25">
      <c r="A53" s="203" t="s">
        <v>535</v>
      </c>
      <c r="B53" s="305" t="s">
        <v>550</v>
      </c>
      <c r="C53" s="204">
        <v>3</v>
      </c>
      <c r="D53" s="204" t="s">
        <v>553</v>
      </c>
      <c r="E53" s="211" t="s">
        <v>520</v>
      </c>
      <c r="F53" s="212" t="s">
        <v>520</v>
      </c>
      <c r="G53" s="204">
        <v>1</v>
      </c>
      <c r="H53" s="282" t="e">
        <f>VLOOKUP($F$12,#REF!,39,FALSE)</f>
        <v>#REF!</v>
      </c>
      <c r="I53" s="223" t="e">
        <f>IF(H45&gt;90,"4.00",IF(H45&gt;80,"3.50",IF(H45&gt;69,"3.00",IF(H45&gt;64,"2.50",IF(H45&gt;59,"2.00",IF(H45&gt;54,"1.50",IF(H45&gt;49,"1.00","0.00")))))))</f>
        <v>#REF!</v>
      </c>
      <c r="J53" s="210" t="e">
        <f>IF(H45&gt;90,"A",IF(H45&gt;80,"B+",IF(H45&gt;69,"B",IF(H45&gt;64,"C+",IF(H45&gt;59,"C",IF(H45&gt;54,"D+",IF(H45&gt;49,"D",IF(H45&gt;=0,"F"))))))))</f>
        <v>#REF!</v>
      </c>
      <c r="K53" s="266" t="e">
        <f>(I43*G43+I44*G44+I45*G45+I46*G46+I47*G47+I48*G48+I49*G49+I50*G50+I51*G51)/(G43+G44+G45+G46+G47+G48+G49+G50+G51)</f>
        <v>#REF!</v>
      </c>
      <c r="L53" s="266" t="e">
        <f>(K33+K43)/2</f>
        <v>#REF!</v>
      </c>
      <c r="M53" s="181"/>
      <c r="N53" s="161"/>
      <c r="O53" s="161"/>
      <c r="P53" s="20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</row>
    <row r="54" ht="30" customHeight="1" spans="1:43" s="202" customFormat="1" x14ac:dyDescent="0.25">
      <c r="A54" s="203" t="s">
        <v>535</v>
      </c>
      <c r="B54" s="305" t="s">
        <v>550</v>
      </c>
      <c r="C54" s="210">
        <v>4</v>
      </c>
      <c r="D54" s="204" t="s">
        <v>554</v>
      </c>
      <c r="E54" s="211" t="s">
        <v>518</v>
      </c>
      <c r="F54" s="212" t="s">
        <v>518</v>
      </c>
      <c r="G54" s="204">
        <v>2</v>
      </c>
      <c r="H54" s="282" t="e">
        <f>VLOOKUP($F$12,#REF!,40,FALSE)</f>
        <v>#REF!</v>
      </c>
      <c r="I54" s="223" t="e">
        <f>IF(H46&gt;90,"4.00",IF(H46&gt;80,"3.50",IF(H46&gt;69,"3.00",IF(H46&gt;64,"2.50",IF(H46&gt;59,"2.00",IF(H46&gt;54,"1.50",IF(H46&gt;49,"1.00","0.00")))))))</f>
        <v>#REF!</v>
      </c>
      <c r="J54" s="210" t="e">
        <f>IF(H46&gt;90,"A",IF(H46&gt;80,"B+",IF(H46&gt;69,"B",IF(H46&gt;64,"C+",IF(H46&gt;59,"C",IF(H46&gt;54,"D+",IF(H46&gt;49,"D",IF(H46&gt;=0,"F"))))))))</f>
        <v>#REF!</v>
      </c>
      <c r="K54" s="266" t="e">
        <f>(I43*G43+I44*G44+I45*G45+I46*G46+I47*G47+I48*G48+I49*G49+I50*G50+I51*G51)/(G43+G44+G45+G46+G47+G48+G49+G50+G51)</f>
        <v>#REF!</v>
      </c>
      <c r="L54" s="266" t="e">
        <f>(K33+K43)/2</f>
        <v>#REF!</v>
      </c>
      <c r="M54" s="181"/>
      <c r="N54" s="161"/>
      <c r="O54" s="161"/>
      <c r="P54" s="20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</row>
    <row r="55" ht="30" customHeight="1" spans="1:43" s="202" customFormat="1" x14ac:dyDescent="0.25">
      <c r="A55" s="203" t="s">
        <v>535</v>
      </c>
      <c r="B55" s="305" t="s">
        <v>550</v>
      </c>
      <c r="C55" s="204">
        <v>5</v>
      </c>
      <c r="D55" s="204" t="s">
        <v>555</v>
      </c>
      <c r="E55" s="211" t="s">
        <v>524</v>
      </c>
      <c r="F55" s="212" t="s">
        <v>524</v>
      </c>
      <c r="G55" s="204">
        <v>1</v>
      </c>
      <c r="H55" s="282" t="e">
        <f>VLOOKUP($F$12,#REF!,41,FALSE)</f>
        <v>#REF!</v>
      </c>
      <c r="I55" s="223" t="e">
        <f>IF(H47&gt;90,"4.00",IF(H47&gt;80,"3.50",IF(H47&gt;69,"3.00",IF(H47&gt;64,"2.50",IF(H47&gt;59,"2.00",IF(H47&gt;54,"1.50",IF(H47&gt;49,"1.00","0.00")))))))</f>
        <v>#REF!</v>
      </c>
      <c r="J55" s="210" t="e">
        <f>IF(H47&gt;90,"A",IF(H47&gt;80,"B+",IF(H47&gt;69,"B",IF(H47&gt;64,"C+",IF(H47&gt;59,"C",IF(H47&gt;54,"D+",IF(H47&gt;49,"D",IF(H47&gt;=0,"F"))))))))</f>
        <v>#REF!</v>
      </c>
      <c r="K55" s="266" t="e">
        <f>(I43*G43+I44*G44+I45*G45+I46*G46+I47*G47+I48*G48+I49*G49+I50*G50+I51*G51)/(G43+G44+G45+G46+G47+G48+G49+G50+G51)</f>
        <v>#REF!</v>
      </c>
      <c r="L55" s="266" t="e">
        <f>(K33+K43)/2</f>
        <v>#REF!</v>
      </c>
      <c r="M55" s="181"/>
      <c r="N55" s="161"/>
      <c r="O55" s="161"/>
      <c r="P55" s="20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</row>
    <row r="56" ht="30" customHeight="1" spans="1:43" s="202" customFormat="1" x14ac:dyDescent="0.25">
      <c r="A56" s="203" t="s">
        <v>535</v>
      </c>
      <c r="B56" s="305" t="s">
        <v>550</v>
      </c>
      <c r="C56" s="204">
        <v>6</v>
      </c>
      <c r="D56" s="204" t="s">
        <v>556</v>
      </c>
      <c r="E56" s="211" t="s">
        <v>557</v>
      </c>
      <c r="F56" s="212" t="s">
        <v>557</v>
      </c>
      <c r="G56" s="204">
        <v>1</v>
      </c>
      <c r="H56" s="282" t="e">
        <f>VLOOKUP($F$12,#REF!,42,FALSE)</f>
        <v>#REF!</v>
      </c>
      <c r="I56" s="223" t="e">
        <f>IF(H48&gt;90,"4.00",IF(H48&gt;80,"3.50",IF(H48&gt;69,"3.00",IF(H48&gt;64,"2.50",IF(H48&gt;59,"2.00",IF(H48&gt;54,"1.50",IF(H48&gt;49,"1.00","0.00")))))))</f>
        <v>#REF!</v>
      </c>
      <c r="J56" s="210" t="e">
        <f>IF(H48&gt;90,"A",IF(H48&gt;80,"B+",IF(H48&gt;69,"B",IF(H48&gt;64,"C+",IF(H48&gt;59,"C",IF(H48&gt;54,"D+",IF(H48&gt;49,"D",IF(H48&gt;=0,"F"))))))))</f>
        <v>#REF!</v>
      </c>
      <c r="K56" s="266" t="e">
        <f>(I43*G43+I44*G44+I45*G45+I46*G46+I47*G47+I48*G48+I49*G49+I50*G50+I51*G51)/(G43+G44+G45+G46+G47+G48+G49+G50+G51)</f>
        <v>#REF!</v>
      </c>
      <c r="L56" s="266" t="e">
        <f>(K33+K43)/2</f>
        <v>#REF!</v>
      </c>
      <c r="M56" s="181"/>
      <c r="N56" s="161"/>
      <c r="O56" s="161"/>
      <c r="P56" s="20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</row>
    <row r="57" ht="30" customHeight="1" spans="1:43" s="202" customFormat="1" x14ac:dyDescent="0.25">
      <c r="A57" s="203" t="s">
        <v>535</v>
      </c>
      <c r="B57" s="305" t="s">
        <v>550</v>
      </c>
      <c r="C57" s="204">
        <v>7</v>
      </c>
      <c r="D57" s="204" t="s">
        <v>558</v>
      </c>
      <c r="E57" s="211" t="s">
        <v>559</v>
      </c>
      <c r="F57" s="212" t="s">
        <v>559</v>
      </c>
      <c r="G57" s="306">
        <v>2</v>
      </c>
      <c r="H57" s="282" t="e">
        <f>VLOOKUP($F$12,#REF!,43,FALSE)</f>
        <v>#REF!</v>
      </c>
      <c r="I57" s="223" t="e">
        <f>IF(H49&gt;90,"4.00",IF(H49&gt;80,"3.50",IF(H49&gt;69,"3.00",IF(H49&gt;64,"2.50",IF(H49&gt;59,"2.00",IF(H49&gt;54,"1.50",IF(H49&gt;49,"1.00","0.00")))))))</f>
        <v>#REF!</v>
      </c>
      <c r="J57" s="210" t="e">
        <f>IF(H49&gt;90,"A",IF(H49&gt;80,"B+",IF(H49&gt;69,"B",IF(H49&gt;64,"C+",IF(H49&gt;59,"C",IF(H49&gt;54,"D+",IF(H49&gt;49,"D",IF(H49&gt;=0,"F"))))))))</f>
        <v>#REF!</v>
      </c>
      <c r="K57" s="283" t="e">
        <f>(I43*G43+I44*G44+I45*G45+I46*G46+I47*G47+I48*G48+I49*G49+I50*G50+I51*G51)/(G43+G44+G45+G46+G47+G48+G49+G50+G51)</f>
        <v>#REF!</v>
      </c>
      <c r="L57" s="283" t="e">
        <f>(K33+K43)/2</f>
        <v>#REF!</v>
      </c>
      <c r="M57" s="181"/>
      <c r="N57" s="161"/>
      <c r="O57" s="161"/>
      <c r="P57" s="20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</row>
    <row r="58" ht="30" customHeight="1" spans="1:43" s="202" customFormat="1" x14ac:dyDescent="0.25">
      <c r="A58" s="203" t="s">
        <v>535</v>
      </c>
      <c r="B58" s="305" t="s">
        <v>550</v>
      </c>
      <c r="C58" s="210">
        <v>8</v>
      </c>
      <c r="D58" s="204" t="s">
        <v>560</v>
      </c>
      <c r="E58" s="211" t="s">
        <v>511</v>
      </c>
      <c r="F58" s="212" t="s">
        <v>511</v>
      </c>
      <c r="G58" s="204">
        <v>2</v>
      </c>
      <c r="H58" s="282" t="e">
        <f>VLOOKUP($F$12,#REF!,44,FALSE)</f>
        <v>#REF!</v>
      </c>
      <c r="I58" s="223" t="e">
        <f>IF(H50&gt;90,"4.00",IF(H50&gt;80,"3.50",IF(H50&gt;69,"3.00",IF(H50&gt;64,"2.50",IF(H50&gt;59,"2.00",IF(H50&gt;54,"1.50",IF(H50&gt;49,"1.00","0.00")))))))</f>
        <v>#REF!</v>
      </c>
      <c r="J58" s="210" t="e">
        <f>IF(H50&gt;90,"A",IF(H50&gt;80,"B+",IF(H50&gt;69,"B",IF(H50&gt;64,"C+",IF(H50&gt;59,"C",IF(H50&gt;54,"D+",IF(H50&gt;49,"D",IF(H50&gt;=0,"F"))))))))</f>
        <v>#REF!</v>
      </c>
      <c r="K58" s="283" t="e">
        <f>(I43*G43+I44*G44+I45*G45+I46*G46+I47*G47+I48*G48+I49*G49+I50*G50+I51*G51)/(G43+G44+G45+G46+G47+G48+G49+G50+G51)</f>
        <v>#REF!</v>
      </c>
      <c r="L58" s="283" t="e">
        <f>(K33+K43)/2</f>
        <v>#REF!</v>
      </c>
      <c r="M58" s="181"/>
      <c r="N58" s="161"/>
      <c r="O58" s="161"/>
      <c r="P58" s="20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</row>
    <row r="59" ht="30" customHeight="1" spans="1:43" s="202" customFormat="1" x14ac:dyDescent="0.25">
      <c r="A59" s="301" t="s">
        <v>535</v>
      </c>
      <c r="B59" s="307" t="s">
        <v>550</v>
      </c>
      <c r="C59" s="284">
        <v>9</v>
      </c>
      <c r="D59" s="284" t="s">
        <v>561</v>
      </c>
      <c r="E59" s="218" t="s">
        <v>562</v>
      </c>
      <c r="F59" s="219" t="s">
        <v>562</v>
      </c>
      <c r="G59" s="284">
        <v>2</v>
      </c>
      <c r="H59" s="285" t="e">
        <f>VLOOKUP($F$12,#REF!,45,FALSE)</f>
        <v>#REF!</v>
      </c>
      <c r="I59" s="285" t="e">
        <f>IF(H51&gt;90,"4.00",IF(H51&gt;80,"3.50",IF(H51&gt;69,"3.00",IF(H51&gt;64,"2.50",IF(H51&gt;59,"2.00",IF(H51&gt;54,"1.50",IF(H51&gt;49,"1.00","0.00")))))))</f>
        <v>#REF!</v>
      </c>
      <c r="J59" s="284" t="e">
        <f>IF(H51&gt;90,"A",IF(H51&gt;80,"B+",IF(H51&gt;69,"B",IF(H51&gt;64,"C+",IF(H51&gt;59,"C",IF(H51&gt;54,"D+",IF(H51&gt;49,"D",IF(H51&gt;=0,"F"))))))))</f>
        <v>#REF!</v>
      </c>
      <c r="K59" s="286" t="e">
        <f>(I43*G43+I44*G44+I45*G45+I46*G46+I47*G47+I48*G48+I49*G49+I50*G50+I51*G51)/(G43+G44+G45+G46+G47+G48+G49+G50+G51)</f>
        <v>#REF!</v>
      </c>
      <c r="L59" s="286" t="e">
        <f>(K33+K43)/2</f>
        <v>#REF!</v>
      </c>
      <c r="M59" s="181"/>
      <c r="N59" s="161"/>
      <c r="O59" s="161"/>
      <c r="P59" s="20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</row>
  </sheetData>
  <mergeCells count="1">
    <mergeCell ref="A1:X15"/>
  </mergeCells>
  <printOptions horizontalCentered="1"/>
  <pageMargins left="0.7" right="0.7" top="0.75" bottom="0.75" header="0.3" footer="0.3"/>
  <pageSetup paperSize="9" orientation="portrait" horizontalDpi="0" verticalDpi="0" scale="38" fitToWidth="1" fitToHeight="1" firstPageNumber="1" useFirstPageNumber="1" copies="1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60"/>
  <sheetViews>
    <sheetView workbookViewId="0">
      <selection activeCell="A1" sqref="A1"/>
    </sheetView>
  </sheetViews>
  <sheetFormatPr defaultRowHeight="14" outlineLevelRow="0" outlineLevelCol="0" x14ac:dyDescent="0" defaultColWidth="8.83203125" customHeight="1"/>
  <cols>
    <col min="1" max="1" width="6.5" style="136" customWidth="1"/>
    <col min="2" max="2" width="7.33203125" style="136" customWidth="1"/>
    <col min="3" max="3" width="4.5" style="136" customWidth="1"/>
    <col min="4" max="4" width="2.33203125" style="136" customWidth="1"/>
    <col min="5" max="5" width="22.33203125" style="136" customWidth="1"/>
    <col min="6" max="6" width="8.5" style="136" customWidth="1"/>
    <col min="7" max="7" width="8" style="136" customWidth="1"/>
    <col min="8" max="8" width="8.6640625" style="136" customWidth="1"/>
    <col min="9" max="9" width="8.33203125" style="136" customWidth="1"/>
    <col min="10" max="11" width="6.5" style="136" customWidth="1"/>
    <col min="12" max="12" width="9.1640625" style="136" customWidth="1"/>
    <col min="13" max="13" width="10.5" style="136" customWidth="1"/>
    <col min="14" max="14" width="22.1640625" style="136" customWidth="1"/>
    <col min="15" max="15" width="9.1640625" style="137" customWidth="1"/>
    <col min="16" max="255" width="9.1640625" style="136" customWidth="1"/>
    <col min="256" max="256" width="6.33203125" style="136" customWidth="1"/>
    <col min="257" max="258" width="5.5" style="136" customWidth="1"/>
    <col min="259" max="259" width="11.5" style="136" customWidth="1"/>
    <col min="260" max="260" width="2.33203125" style="136" customWidth="1"/>
    <col min="261" max="261" width="29.6640625" style="136" customWidth="1"/>
    <col min="262" max="262" width="10.1640625" style="136" customWidth="1"/>
    <col min="263" max="263" width="8" style="136" customWidth="1"/>
    <col min="264" max="264" width="8.6640625" style="136" customWidth="1"/>
    <col min="265" max="265" width="8.33203125" style="136" customWidth="1"/>
    <col min="266" max="266" width="8" style="136" customWidth="1"/>
    <col min="267" max="267" width="9.33203125" style="136" customWidth="1"/>
    <col min="268" max="268" width="9.1640625" style="136" customWidth="1"/>
    <col min="269" max="269" width="10.5" style="136" customWidth="1"/>
    <col min="270" max="270" width="22.1640625" style="136" customWidth="1"/>
    <col min="271" max="511" width="9.1640625" style="136" customWidth="1"/>
    <col min="512" max="512" width="6.33203125" style="136" customWidth="1"/>
    <col min="513" max="514" width="5.5" style="136" customWidth="1"/>
    <col min="515" max="515" width="11.5" style="136" customWidth="1"/>
    <col min="516" max="516" width="2.33203125" style="136" customWidth="1"/>
    <col min="517" max="517" width="29.6640625" style="136" customWidth="1"/>
    <col min="518" max="518" width="10.1640625" style="136" customWidth="1"/>
    <col min="519" max="519" width="8" style="136" customWidth="1"/>
    <col min="520" max="520" width="8.6640625" style="136" customWidth="1"/>
    <col min="521" max="521" width="8.33203125" style="136" customWidth="1"/>
    <col min="522" max="522" width="8" style="136" customWidth="1"/>
    <col min="523" max="523" width="9.33203125" style="136" customWidth="1"/>
    <col min="524" max="524" width="9.1640625" style="136" customWidth="1"/>
    <col min="525" max="525" width="10.5" style="136" customWidth="1"/>
    <col min="526" max="526" width="22.1640625" style="136" customWidth="1"/>
    <col min="527" max="767" width="9.1640625" style="136" customWidth="1"/>
    <col min="768" max="768" width="6.33203125" style="136" customWidth="1"/>
    <col min="769" max="770" width="5.5" style="136" customWidth="1"/>
    <col min="771" max="771" width="11.5" style="136" customWidth="1"/>
    <col min="772" max="772" width="2.33203125" style="136" customWidth="1"/>
    <col min="773" max="773" width="29.6640625" style="136" customWidth="1"/>
    <col min="774" max="774" width="10.1640625" style="136" customWidth="1"/>
    <col min="775" max="775" width="8" style="136" customWidth="1"/>
    <col min="776" max="776" width="8.6640625" style="136" customWidth="1"/>
    <col min="777" max="777" width="8.33203125" style="136" customWidth="1"/>
    <col min="778" max="778" width="8" style="136" customWidth="1"/>
    <col min="779" max="779" width="9.33203125" style="136" customWidth="1"/>
    <col min="780" max="780" width="9.1640625" style="136" customWidth="1"/>
    <col min="781" max="781" width="10.5" style="136" customWidth="1"/>
    <col min="782" max="782" width="22.1640625" style="136" customWidth="1"/>
    <col min="783" max="1023" width="9.1640625" style="136" customWidth="1"/>
    <col min="1024" max="1024" width="6.33203125" style="136" customWidth="1"/>
    <col min="1025" max="1026" width="5.5" style="136" customWidth="1"/>
    <col min="1027" max="1027" width="11.5" style="136" customWidth="1"/>
    <col min="1028" max="1028" width="2.33203125" style="136" customWidth="1"/>
    <col min="1029" max="1029" width="29.6640625" style="136" customWidth="1"/>
    <col min="1030" max="1030" width="10.1640625" style="136" customWidth="1"/>
    <col min="1031" max="1031" width="8" style="136" customWidth="1"/>
    <col min="1032" max="1032" width="8.6640625" style="136" customWidth="1"/>
    <col min="1033" max="1033" width="8.33203125" style="136" customWidth="1"/>
    <col min="1034" max="1034" width="8" style="136" customWidth="1"/>
    <col min="1035" max="1035" width="9.33203125" style="136" customWidth="1"/>
    <col min="1036" max="1036" width="9.1640625" style="136" customWidth="1"/>
    <col min="1037" max="1037" width="10.5" style="136" customWidth="1"/>
    <col min="1038" max="1038" width="22.1640625" style="136" customWidth="1"/>
    <col min="1039" max="1279" width="9.1640625" style="136" customWidth="1"/>
    <col min="1280" max="1280" width="6.33203125" style="136" customWidth="1"/>
    <col min="1281" max="1282" width="5.5" style="136" customWidth="1"/>
    <col min="1283" max="1283" width="11.5" style="136" customWidth="1"/>
    <col min="1284" max="1284" width="2.33203125" style="136" customWidth="1"/>
    <col min="1285" max="1285" width="29.6640625" style="136" customWidth="1"/>
    <col min="1286" max="1286" width="10.1640625" style="136" customWidth="1"/>
    <col min="1287" max="1287" width="8" style="136" customWidth="1"/>
    <col min="1288" max="1288" width="8.6640625" style="136" customWidth="1"/>
    <col min="1289" max="1289" width="8.33203125" style="136" customWidth="1"/>
    <col min="1290" max="1290" width="8" style="136" customWidth="1"/>
    <col min="1291" max="1291" width="9.33203125" style="136" customWidth="1"/>
    <col min="1292" max="1292" width="9.1640625" style="136" customWidth="1"/>
    <col min="1293" max="1293" width="10.5" style="136" customWidth="1"/>
    <col min="1294" max="1294" width="22.1640625" style="136" customWidth="1"/>
    <col min="1295" max="1535" width="9.1640625" style="136" customWidth="1"/>
    <col min="1536" max="1536" width="6.33203125" style="136" customWidth="1"/>
    <col min="1537" max="1538" width="5.5" style="136" customWidth="1"/>
    <col min="1539" max="1539" width="11.5" style="136" customWidth="1"/>
    <col min="1540" max="1540" width="2.33203125" style="136" customWidth="1"/>
    <col min="1541" max="1541" width="29.6640625" style="136" customWidth="1"/>
    <col min="1542" max="1542" width="10.1640625" style="136" customWidth="1"/>
    <col min="1543" max="1543" width="8" style="136" customWidth="1"/>
    <col min="1544" max="1544" width="8.6640625" style="136" customWidth="1"/>
    <col min="1545" max="1545" width="8.33203125" style="136" customWidth="1"/>
    <col min="1546" max="1546" width="8" style="136" customWidth="1"/>
    <col min="1547" max="1547" width="9.33203125" style="136" customWidth="1"/>
    <col min="1548" max="1548" width="9.1640625" style="136" customWidth="1"/>
    <col min="1549" max="1549" width="10.5" style="136" customWidth="1"/>
    <col min="1550" max="1550" width="22.1640625" style="136" customWidth="1"/>
    <col min="1551" max="1791" width="9.1640625" style="136" customWidth="1"/>
    <col min="1792" max="1792" width="6.33203125" style="136" customWidth="1"/>
    <col min="1793" max="1794" width="5.5" style="136" customWidth="1"/>
    <col min="1795" max="1795" width="11.5" style="136" customWidth="1"/>
    <col min="1796" max="1796" width="2.33203125" style="136" customWidth="1"/>
    <col min="1797" max="1797" width="29.6640625" style="136" customWidth="1"/>
    <col min="1798" max="1798" width="10.1640625" style="136" customWidth="1"/>
    <col min="1799" max="1799" width="8" style="136" customWidth="1"/>
    <col min="1800" max="1800" width="8.6640625" style="136" customWidth="1"/>
    <col min="1801" max="1801" width="8.33203125" style="136" customWidth="1"/>
    <col min="1802" max="1802" width="8" style="136" customWidth="1"/>
    <col min="1803" max="1803" width="9.33203125" style="136" customWidth="1"/>
    <col min="1804" max="1804" width="9.1640625" style="136" customWidth="1"/>
    <col min="1805" max="1805" width="10.5" style="136" customWidth="1"/>
    <col min="1806" max="1806" width="22.1640625" style="136" customWidth="1"/>
    <col min="1807" max="2047" width="9.1640625" style="136" customWidth="1"/>
    <col min="2048" max="2048" width="6.33203125" style="136" customWidth="1"/>
    <col min="2049" max="2050" width="5.5" style="136" customWidth="1"/>
    <col min="2051" max="2051" width="11.5" style="136" customWidth="1"/>
    <col min="2052" max="2052" width="2.33203125" style="136" customWidth="1"/>
    <col min="2053" max="2053" width="29.6640625" style="136" customWidth="1"/>
    <col min="2054" max="2054" width="10.1640625" style="136" customWidth="1"/>
    <col min="2055" max="2055" width="8" style="136" customWidth="1"/>
    <col min="2056" max="2056" width="8.6640625" style="136" customWidth="1"/>
    <col min="2057" max="2057" width="8.33203125" style="136" customWidth="1"/>
    <col min="2058" max="2058" width="8" style="136" customWidth="1"/>
    <col min="2059" max="2059" width="9.33203125" style="136" customWidth="1"/>
    <col min="2060" max="2060" width="9.1640625" style="136" customWidth="1"/>
    <col min="2061" max="2061" width="10.5" style="136" customWidth="1"/>
    <col min="2062" max="2062" width="22.1640625" style="136" customWidth="1"/>
    <col min="2063" max="2303" width="9.1640625" style="136" customWidth="1"/>
    <col min="2304" max="2304" width="6.33203125" style="136" customWidth="1"/>
    <col min="2305" max="2306" width="5.5" style="136" customWidth="1"/>
    <col min="2307" max="2307" width="11.5" style="136" customWidth="1"/>
    <col min="2308" max="2308" width="2.33203125" style="136" customWidth="1"/>
    <col min="2309" max="2309" width="29.6640625" style="136" customWidth="1"/>
    <col min="2310" max="2310" width="10.1640625" style="136" customWidth="1"/>
    <col min="2311" max="2311" width="8" style="136" customWidth="1"/>
    <col min="2312" max="2312" width="8.6640625" style="136" customWidth="1"/>
    <col min="2313" max="2313" width="8.33203125" style="136" customWidth="1"/>
    <col min="2314" max="2314" width="8" style="136" customWidth="1"/>
    <col min="2315" max="2315" width="9.33203125" style="136" customWidth="1"/>
    <col min="2316" max="2316" width="9.1640625" style="136" customWidth="1"/>
    <col min="2317" max="2317" width="10.5" style="136" customWidth="1"/>
    <col min="2318" max="2318" width="22.1640625" style="136" customWidth="1"/>
    <col min="2319" max="2559" width="9.1640625" style="136" customWidth="1"/>
    <col min="2560" max="2560" width="6.33203125" style="136" customWidth="1"/>
    <col min="2561" max="2562" width="5.5" style="136" customWidth="1"/>
    <col min="2563" max="2563" width="11.5" style="136" customWidth="1"/>
    <col min="2564" max="2564" width="2.33203125" style="136" customWidth="1"/>
    <col min="2565" max="2565" width="29.6640625" style="136" customWidth="1"/>
    <col min="2566" max="2566" width="10.1640625" style="136" customWidth="1"/>
    <col min="2567" max="2567" width="8" style="136" customWidth="1"/>
    <col min="2568" max="2568" width="8.6640625" style="136" customWidth="1"/>
    <col min="2569" max="2569" width="8.33203125" style="136" customWidth="1"/>
    <col min="2570" max="2570" width="8" style="136" customWidth="1"/>
    <col min="2571" max="2571" width="9.33203125" style="136" customWidth="1"/>
    <col min="2572" max="2572" width="9.1640625" style="136" customWidth="1"/>
    <col min="2573" max="2573" width="10.5" style="136" customWidth="1"/>
    <col min="2574" max="2574" width="22.1640625" style="136" customWidth="1"/>
    <col min="2575" max="2815" width="9.1640625" style="136" customWidth="1"/>
    <col min="2816" max="2816" width="6.33203125" style="136" customWidth="1"/>
    <col min="2817" max="2818" width="5.5" style="136" customWidth="1"/>
    <col min="2819" max="2819" width="11.5" style="136" customWidth="1"/>
    <col min="2820" max="2820" width="2.33203125" style="136" customWidth="1"/>
    <col min="2821" max="2821" width="29.6640625" style="136" customWidth="1"/>
    <col min="2822" max="2822" width="10.1640625" style="136" customWidth="1"/>
    <col min="2823" max="2823" width="8" style="136" customWidth="1"/>
    <col min="2824" max="2824" width="8.6640625" style="136" customWidth="1"/>
    <col min="2825" max="2825" width="8.33203125" style="136" customWidth="1"/>
    <col min="2826" max="2826" width="8" style="136" customWidth="1"/>
    <col min="2827" max="2827" width="9.33203125" style="136" customWidth="1"/>
    <col min="2828" max="2828" width="9.1640625" style="136" customWidth="1"/>
    <col min="2829" max="2829" width="10.5" style="136" customWidth="1"/>
    <col min="2830" max="2830" width="22.1640625" style="136" customWidth="1"/>
    <col min="2831" max="3071" width="9.1640625" style="136" customWidth="1"/>
    <col min="3072" max="3072" width="6.33203125" style="136" customWidth="1"/>
    <col min="3073" max="3074" width="5.5" style="136" customWidth="1"/>
    <col min="3075" max="3075" width="11.5" style="136" customWidth="1"/>
    <col min="3076" max="3076" width="2.33203125" style="136" customWidth="1"/>
    <col min="3077" max="3077" width="29.6640625" style="136" customWidth="1"/>
    <col min="3078" max="3078" width="10.1640625" style="136" customWidth="1"/>
    <col min="3079" max="3079" width="8" style="136" customWidth="1"/>
    <col min="3080" max="3080" width="8.6640625" style="136" customWidth="1"/>
    <col min="3081" max="3081" width="8.33203125" style="136" customWidth="1"/>
    <col min="3082" max="3082" width="8" style="136" customWidth="1"/>
    <col min="3083" max="3083" width="9.33203125" style="136" customWidth="1"/>
    <col min="3084" max="3084" width="9.1640625" style="136" customWidth="1"/>
    <col min="3085" max="3085" width="10.5" style="136" customWidth="1"/>
    <col min="3086" max="3086" width="22.1640625" style="136" customWidth="1"/>
    <col min="3087" max="3327" width="9.1640625" style="136" customWidth="1"/>
    <col min="3328" max="3328" width="6.33203125" style="136" customWidth="1"/>
    <col min="3329" max="3330" width="5.5" style="136" customWidth="1"/>
    <col min="3331" max="3331" width="11.5" style="136" customWidth="1"/>
    <col min="3332" max="3332" width="2.33203125" style="136" customWidth="1"/>
    <col min="3333" max="3333" width="29.6640625" style="136" customWidth="1"/>
    <col min="3334" max="3334" width="10.1640625" style="136" customWidth="1"/>
    <col min="3335" max="3335" width="8" style="136" customWidth="1"/>
    <col min="3336" max="3336" width="8.6640625" style="136" customWidth="1"/>
    <col min="3337" max="3337" width="8.33203125" style="136" customWidth="1"/>
    <col min="3338" max="3338" width="8" style="136" customWidth="1"/>
    <col min="3339" max="3339" width="9.33203125" style="136" customWidth="1"/>
    <col min="3340" max="3340" width="9.1640625" style="136" customWidth="1"/>
    <col min="3341" max="3341" width="10.5" style="136" customWidth="1"/>
    <col min="3342" max="3342" width="22.1640625" style="136" customWidth="1"/>
    <col min="3343" max="3583" width="9.1640625" style="136" customWidth="1"/>
    <col min="3584" max="3584" width="6.33203125" style="136" customWidth="1"/>
    <col min="3585" max="3586" width="5.5" style="136" customWidth="1"/>
    <col min="3587" max="3587" width="11.5" style="136" customWidth="1"/>
    <col min="3588" max="3588" width="2.33203125" style="136" customWidth="1"/>
    <col min="3589" max="3589" width="29.6640625" style="136" customWidth="1"/>
    <col min="3590" max="3590" width="10.1640625" style="136" customWidth="1"/>
    <col min="3591" max="3591" width="8" style="136" customWidth="1"/>
    <col min="3592" max="3592" width="8.6640625" style="136" customWidth="1"/>
    <col min="3593" max="3593" width="8.33203125" style="136" customWidth="1"/>
    <col min="3594" max="3594" width="8" style="136" customWidth="1"/>
    <col min="3595" max="3595" width="9.33203125" style="136" customWidth="1"/>
    <col min="3596" max="3596" width="9.1640625" style="136" customWidth="1"/>
    <col min="3597" max="3597" width="10.5" style="136" customWidth="1"/>
    <col min="3598" max="3598" width="22.1640625" style="136" customWidth="1"/>
    <col min="3599" max="3839" width="9.1640625" style="136" customWidth="1"/>
    <col min="3840" max="3840" width="6.33203125" style="136" customWidth="1"/>
    <col min="3841" max="3842" width="5.5" style="136" customWidth="1"/>
    <col min="3843" max="3843" width="11.5" style="136" customWidth="1"/>
    <col min="3844" max="3844" width="2.33203125" style="136" customWidth="1"/>
    <col min="3845" max="3845" width="29.6640625" style="136" customWidth="1"/>
    <col min="3846" max="3846" width="10.1640625" style="136" customWidth="1"/>
    <col min="3847" max="3847" width="8" style="136" customWidth="1"/>
    <col min="3848" max="3848" width="8.6640625" style="136" customWidth="1"/>
    <col min="3849" max="3849" width="8.33203125" style="136" customWidth="1"/>
    <col min="3850" max="3850" width="8" style="136" customWidth="1"/>
    <col min="3851" max="3851" width="9.33203125" style="136" customWidth="1"/>
    <col min="3852" max="3852" width="9.1640625" style="136" customWidth="1"/>
    <col min="3853" max="3853" width="10.5" style="136" customWidth="1"/>
    <col min="3854" max="3854" width="22.1640625" style="136" customWidth="1"/>
    <col min="3855" max="4095" width="9.1640625" style="136" customWidth="1"/>
    <col min="4096" max="4096" width="6.33203125" style="136" customWidth="1"/>
    <col min="4097" max="4098" width="5.5" style="136" customWidth="1"/>
    <col min="4099" max="4099" width="11.5" style="136" customWidth="1"/>
    <col min="4100" max="4100" width="2.33203125" style="136" customWidth="1"/>
    <col min="4101" max="4101" width="29.6640625" style="136" customWidth="1"/>
    <col min="4102" max="4102" width="10.1640625" style="136" customWidth="1"/>
    <col min="4103" max="4103" width="8" style="136" customWidth="1"/>
    <col min="4104" max="4104" width="8.6640625" style="136" customWidth="1"/>
    <col min="4105" max="4105" width="8.33203125" style="136" customWidth="1"/>
    <col min="4106" max="4106" width="8" style="136" customWidth="1"/>
    <col min="4107" max="4107" width="9.33203125" style="136" customWidth="1"/>
    <col min="4108" max="4108" width="9.1640625" style="136" customWidth="1"/>
    <col min="4109" max="4109" width="10.5" style="136" customWidth="1"/>
    <col min="4110" max="4110" width="22.1640625" style="136" customWidth="1"/>
    <col min="4111" max="4351" width="9.1640625" style="136" customWidth="1"/>
    <col min="4352" max="4352" width="6.33203125" style="136" customWidth="1"/>
    <col min="4353" max="4354" width="5.5" style="136" customWidth="1"/>
    <col min="4355" max="4355" width="11.5" style="136" customWidth="1"/>
    <col min="4356" max="4356" width="2.33203125" style="136" customWidth="1"/>
    <col min="4357" max="4357" width="29.6640625" style="136" customWidth="1"/>
    <col min="4358" max="4358" width="10.1640625" style="136" customWidth="1"/>
    <col min="4359" max="4359" width="8" style="136" customWidth="1"/>
    <col min="4360" max="4360" width="8.6640625" style="136" customWidth="1"/>
    <col min="4361" max="4361" width="8.33203125" style="136" customWidth="1"/>
    <col min="4362" max="4362" width="8" style="136" customWidth="1"/>
    <col min="4363" max="4363" width="9.33203125" style="136" customWidth="1"/>
    <col min="4364" max="4364" width="9.1640625" style="136" customWidth="1"/>
    <col min="4365" max="4365" width="10.5" style="136" customWidth="1"/>
    <col min="4366" max="4366" width="22.1640625" style="136" customWidth="1"/>
    <col min="4367" max="4607" width="9.1640625" style="136" customWidth="1"/>
    <col min="4608" max="4608" width="6.33203125" style="136" customWidth="1"/>
    <col min="4609" max="4610" width="5.5" style="136" customWidth="1"/>
    <col min="4611" max="4611" width="11.5" style="136" customWidth="1"/>
    <col min="4612" max="4612" width="2.33203125" style="136" customWidth="1"/>
    <col min="4613" max="4613" width="29.6640625" style="136" customWidth="1"/>
    <col min="4614" max="4614" width="10.1640625" style="136" customWidth="1"/>
    <col min="4615" max="4615" width="8" style="136" customWidth="1"/>
    <col min="4616" max="4616" width="8.6640625" style="136" customWidth="1"/>
    <col min="4617" max="4617" width="8.33203125" style="136" customWidth="1"/>
    <col min="4618" max="4618" width="8" style="136" customWidth="1"/>
    <col min="4619" max="4619" width="9.33203125" style="136" customWidth="1"/>
    <col min="4620" max="4620" width="9.1640625" style="136" customWidth="1"/>
    <col min="4621" max="4621" width="10.5" style="136" customWidth="1"/>
    <col min="4622" max="4622" width="22.1640625" style="136" customWidth="1"/>
    <col min="4623" max="4863" width="9.1640625" style="136" customWidth="1"/>
    <col min="4864" max="4864" width="6.33203125" style="136" customWidth="1"/>
    <col min="4865" max="4866" width="5.5" style="136" customWidth="1"/>
    <col min="4867" max="4867" width="11.5" style="136" customWidth="1"/>
    <col min="4868" max="4868" width="2.33203125" style="136" customWidth="1"/>
    <col min="4869" max="4869" width="29.6640625" style="136" customWidth="1"/>
    <col min="4870" max="4870" width="10.1640625" style="136" customWidth="1"/>
    <col min="4871" max="4871" width="8" style="136" customWidth="1"/>
    <col min="4872" max="4872" width="8.6640625" style="136" customWidth="1"/>
    <col min="4873" max="4873" width="8.33203125" style="136" customWidth="1"/>
    <col min="4874" max="4874" width="8" style="136" customWidth="1"/>
    <col min="4875" max="4875" width="9.33203125" style="136" customWidth="1"/>
    <col min="4876" max="4876" width="9.1640625" style="136" customWidth="1"/>
    <col min="4877" max="4877" width="10.5" style="136" customWidth="1"/>
    <col min="4878" max="4878" width="22.1640625" style="136" customWidth="1"/>
    <col min="4879" max="5119" width="9.1640625" style="136" customWidth="1"/>
    <col min="5120" max="5120" width="6.33203125" style="136" customWidth="1"/>
    <col min="5121" max="5122" width="5.5" style="136" customWidth="1"/>
    <col min="5123" max="5123" width="11.5" style="136" customWidth="1"/>
    <col min="5124" max="5124" width="2.33203125" style="136" customWidth="1"/>
    <col min="5125" max="5125" width="29.6640625" style="136" customWidth="1"/>
    <col min="5126" max="5126" width="10.1640625" style="136" customWidth="1"/>
    <col min="5127" max="5127" width="8" style="136" customWidth="1"/>
    <col min="5128" max="5128" width="8.6640625" style="136" customWidth="1"/>
    <col min="5129" max="5129" width="8.33203125" style="136" customWidth="1"/>
    <col min="5130" max="5130" width="8" style="136" customWidth="1"/>
    <col min="5131" max="5131" width="9.33203125" style="136" customWidth="1"/>
    <col min="5132" max="5132" width="9.1640625" style="136" customWidth="1"/>
    <col min="5133" max="5133" width="10.5" style="136" customWidth="1"/>
    <col min="5134" max="5134" width="22.1640625" style="136" customWidth="1"/>
    <col min="5135" max="5375" width="9.1640625" style="136" customWidth="1"/>
    <col min="5376" max="5376" width="6.33203125" style="136" customWidth="1"/>
    <col min="5377" max="5378" width="5.5" style="136" customWidth="1"/>
    <col min="5379" max="5379" width="11.5" style="136" customWidth="1"/>
    <col min="5380" max="5380" width="2.33203125" style="136" customWidth="1"/>
    <col min="5381" max="5381" width="29.6640625" style="136" customWidth="1"/>
    <col min="5382" max="5382" width="10.1640625" style="136" customWidth="1"/>
    <col min="5383" max="5383" width="8" style="136" customWidth="1"/>
    <col min="5384" max="5384" width="8.6640625" style="136" customWidth="1"/>
    <col min="5385" max="5385" width="8.33203125" style="136" customWidth="1"/>
    <col min="5386" max="5386" width="8" style="136" customWidth="1"/>
    <col min="5387" max="5387" width="9.33203125" style="136" customWidth="1"/>
    <col min="5388" max="5388" width="9.1640625" style="136" customWidth="1"/>
    <col min="5389" max="5389" width="10.5" style="136" customWidth="1"/>
    <col min="5390" max="5390" width="22.1640625" style="136" customWidth="1"/>
    <col min="5391" max="5631" width="9.1640625" style="136" customWidth="1"/>
    <col min="5632" max="5632" width="6.33203125" style="136" customWidth="1"/>
    <col min="5633" max="5634" width="5.5" style="136" customWidth="1"/>
    <col min="5635" max="5635" width="11.5" style="136" customWidth="1"/>
    <col min="5636" max="5636" width="2.33203125" style="136" customWidth="1"/>
    <col min="5637" max="5637" width="29.6640625" style="136" customWidth="1"/>
    <col min="5638" max="5638" width="10.1640625" style="136" customWidth="1"/>
    <col min="5639" max="5639" width="8" style="136" customWidth="1"/>
    <col min="5640" max="5640" width="8.6640625" style="136" customWidth="1"/>
    <col min="5641" max="5641" width="8.33203125" style="136" customWidth="1"/>
    <col min="5642" max="5642" width="8" style="136" customWidth="1"/>
    <col min="5643" max="5643" width="9.33203125" style="136" customWidth="1"/>
    <col min="5644" max="5644" width="9.1640625" style="136" customWidth="1"/>
    <col min="5645" max="5645" width="10.5" style="136" customWidth="1"/>
    <col min="5646" max="5646" width="22.1640625" style="136" customWidth="1"/>
    <col min="5647" max="5887" width="9.1640625" style="136" customWidth="1"/>
    <col min="5888" max="5888" width="6.33203125" style="136" customWidth="1"/>
    <col min="5889" max="5890" width="5.5" style="136" customWidth="1"/>
    <col min="5891" max="5891" width="11.5" style="136" customWidth="1"/>
    <col min="5892" max="5892" width="2.33203125" style="136" customWidth="1"/>
    <col min="5893" max="5893" width="29.6640625" style="136" customWidth="1"/>
    <col min="5894" max="5894" width="10.1640625" style="136" customWidth="1"/>
    <col min="5895" max="5895" width="8" style="136" customWidth="1"/>
    <col min="5896" max="5896" width="8.6640625" style="136" customWidth="1"/>
    <col min="5897" max="5897" width="8.33203125" style="136" customWidth="1"/>
    <col min="5898" max="5898" width="8" style="136" customWidth="1"/>
    <col min="5899" max="5899" width="9.33203125" style="136" customWidth="1"/>
    <col min="5900" max="5900" width="9.1640625" style="136" customWidth="1"/>
    <col min="5901" max="5901" width="10.5" style="136" customWidth="1"/>
    <col min="5902" max="5902" width="22.1640625" style="136" customWidth="1"/>
    <col min="5903" max="6143" width="9.1640625" style="136" customWidth="1"/>
    <col min="6144" max="6144" width="6.33203125" style="136" customWidth="1"/>
    <col min="6145" max="6146" width="5.5" style="136" customWidth="1"/>
    <col min="6147" max="6147" width="11.5" style="136" customWidth="1"/>
    <col min="6148" max="6148" width="2.33203125" style="136" customWidth="1"/>
    <col min="6149" max="6149" width="29.6640625" style="136" customWidth="1"/>
    <col min="6150" max="6150" width="10.1640625" style="136" customWidth="1"/>
    <col min="6151" max="6151" width="8" style="136" customWidth="1"/>
    <col min="6152" max="6152" width="8.6640625" style="136" customWidth="1"/>
    <col min="6153" max="6153" width="8.33203125" style="136" customWidth="1"/>
    <col min="6154" max="6154" width="8" style="136" customWidth="1"/>
    <col min="6155" max="6155" width="9.33203125" style="136" customWidth="1"/>
    <col min="6156" max="6156" width="9.1640625" style="136" customWidth="1"/>
    <col min="6157" max="6157" width="10.5" style="136" customWidth="1"/>
    <col min="6158" max="6158" width="22.1640625" style="136" customWidth="1"/>
    <col min="6159" max="6399" width="9.1640625" style="136" customWidth="1"/>
    <col min="6400" max="6400" width="6.33203125" style="136" customWidth="1"/>
    <col min="6401" max="6402" width="5.5" style="136" customWidth="1"/>
    <col min="6403" max="6403" width="11.5" style="136" customWidth="1"/>
    <col min="6404" max="6404" width="2.33203125" style="136" customWidth="1"/>
    <col min="6405" max="6405" width="29.6640625" style="136" customWidth="1"/>
    <col min="6406" max="6406" width="10.1640625" style="136" customWidth="1"/>
    <col min="6407" max="6407" width="8" style="136" customWidth="1"/>
    <col min="6408" max="6408" width="8.6640625" style="136" customWidth="1"/>
    <col min="6409" max="6409" width="8.33203125" style="136" customWidth="1"/>
    <col min="6410" max="6410" width="8" style="136" customWidth="1"/>
    <col min="6411" max="6411" width="9.33203125" style="136" customWidth="1"/>
    <col min="6412" max="6412" width="9.1640625" style="136" customWidth="1"/>
    <col min="6413" max="6413" width="10.5" style="136" customWidth="1"/>
    <col min="6414" max="6414" width="22.1640625" style="136" customWidth="1"/>
    <col min="6415" max="6655" width="9.1640625" style="136" customWidth="1"/>
    <col min="6656" max="6656" width="6.33203125" style="136" customWidth="1"/>
    <col min="6657" max="6658" width="5.5" style="136" customWidth="1"/>
    <col min="6659" max="6659" width="11.5" style="136" customWidth="1"/>
    <col min="6660" max="6660" width="2.33203125" style="136" customWidth="1"/>
    <col min="6661" max="6661" width="29.6640625" style="136" customWidth="1"/>
    <col min="6662" max="6662" width="10.1640625" style="136" customWidth="1"/>
    <col min="6663" max="6663" width="8" style="136" customWidth="1"/>
    <col min="6664" max="6664" width="8.6640625" style="136" customWidth="1"/>
    <col min="6665" max="6665" width="8.33203125" style="136" customWidth="1"/>
    <col min="6666" max="6666" width="8" style="136" customWidth="1"/>
    <col min="6667" max="6667" width="9.33203125" style="136" customWidth="1"/>
    <col min="6668" max="6668" width="9.1640625" style="136" customWidth="1"/>
    <col min="6669" max="6669" width="10.5" style="136" customWidth="1"/>
    <col min="6670" max="6670" width="22.1640625" style="136" customWidth="1"/>
    <col min="6671" max="6911" width="9.1640625" style="136" customWidth="1"/>
    <col min="6912" max="6912" width="6.33203125" style="136" customWidth="1"/>
    <col min="6913" max="6914" width="5.5" style="136" customWidth="1"/>
    <col min="6915" max="6915" width="11.5" style="136" customWidth="1"/>
    <col min="6916" max="6916" width="2.33203125" style="136" customWidth="1"/>
    <col min="6917" max="6917" width="29.6640625" style="136" customWidth="1"/>
    <col min="6918" max="6918" width="10.1640625" style="136" customWidth="1"/>
    <col min="6919" max="6919" width="8" style="136" customWidth="1"/>
    <col min="6920" max="6920" width="8.6640625" style="136" customWidth="1"/>
    <col min="6921" max="6921" width="8.33203125" style="136" customWidth="1"/>
    <col min="6922" max="6922" width="8" style="136" customWidth="1"/>
    <col min="6923" max="6923" width="9.33203125" style="136" customWidth="1"/>
    <col min="6924" max="6924" width="9.1640625" style="136" customWidth="1"/>
    <col min="6925" max="6925" width="10.5" style="136" customWidth="1"/>
    <col min="6926" max="6926" width="22.1640625" style="136" customWidth="1"/>
    <col min="6927" max="7167" width="9.1640625" style="136" customWidth="1"/>
    <col min="7168" max="7168" width="6.33203125" style="136" customWidth="1"/>
    <col min="7169" max="7170" width="5.5" style="136" customWidth="1"/>
    <col min="7171" max="7171" width="11.5" style="136" customWidth="1"/>
    <col min="7172" max="7172" width="2.33203125" style="136" customWidth="1"/>
    <col min="7173" max="7173" width="29.6640625" style="136" customWidth="1"/>
    <col min="7174" max="7174" width="10.1640625" style="136" customWidth="1"/>
    <col min="7175" max="7175" width="8" style="136" customWidth="1"/>
    <col min="7176" max="7176" width="8.6640625" style="136" customWidth="1"/>
    <col min="7177" max="7177" width="8.33203125" style="136" customWidth="1"/>
    <col min="7178" max="7178" width="8" style="136" customWidth="1"/>
    <col min="7179" max="7179" width="9.33203125" style="136" customWidth="1"/>
    <col min="7180" max="7180" width="9.1640625" style="136" customWidth="1"/>
    <col min="7181" max="7181" width="10.5" style="136" customWidth="1"/>
    <col min="7182" max="7182" width="22.1640625" style="136" customWidth="1"/>
    <col min="7183" max="7423" width="9.1640625" style="136" customWidth="1"/>
    <col min="7424" max="7424" width="6.33203125" style="136" customWidth="1"/>
    <col min="7425" max="7426" width="5.5" style="136" customWidth="1"/>
    <col min="7427" max="7427" width="11.5" style="136" customWidth="1"/>
    <col min="7428" max="7428" width="2.33203125" style="136" customWidth="1"/>
    <col min="7429" max="7429" width="29.6640625" style="136" customWidth="1"/>
    <col min="7430" max="7430" width="10.1640625" style="136" customWidth="1"/>
    <col min="7431" max="7431" width="8" style="136" customWidth="1"/>
    <col min="7432" max="7432" width="8.6640625" style="136" customWidth="1"/>
    <col min="7433" max="7433" width="8.33203125" style="136" customWidth="1"/>
    <col min="7434" max="7434" width="8" style="136" customWidth="1"/>
    <col min="7435" max="7435" width="9.33203125" style="136" customWidth="1"/>
    <col min="7436" max="7436" width="9.1640625" style="136" customWidth="1"/>
    <col min="7437" max="7437" width="10.5" style="136" customWidth="1"/>
    <col min="7438" max="7438" width="22.1640625" style="136" customWidth="1"/>
    <col min="7439" max="7679" width="9.1640625" style="136" customWidth="1"/>
    <col min="7680" max="7680" width="6.33203125" style="136" customWidth="1"/>
    <col min="7681" max="7682" width="5.5" style="136" customWidth="1"/>
    <col min="7683" max="7683" width="11.5" style="136" customWidth="1"/>
    <col min="7684" max="7684" width="2.33203125" style="136" customWidth="1"/>
    <col min="7685" max="7685" width="29.6640625" style="136" customWidth="1"/>
    <col min="7686" max="7686" width="10.1640625" style="136" customWidth="1"/>
    <col min="7687" max="7687" width="8" style="136" customWidth="1"/>
    <col min="7688" max="7688" width="8.6640625" style="136" customWidth="1"/>
    <col min="7689" max="7689" width="8.33203125" style="136" customWidth="1"/>
    <col min="7690" max="7690" width="8" style="136" customWidth="1"/>
    <col min="7691" max="7691" width="9.33203125" style="136" customWidth="1"/>
    <col min="7692" max="7692" width="9.1640625" style="136" customWidth="1"/>
    <col min="7693" max="7693" width="10.5" style="136" customWidth="1"/>
    <col min="7694" max="7694" width="22.1640625" style="136" customWidth="1"/>
    <col min="7695" max="7935" width="9.1640625" style="136" customWidth="1"/>
    <col min="7936" max="7936" width="6.33203125" style="136" customWidth="1"/>
    <col min="7937" max="7938" width="5.5" style="136" customWidth="1"/>
    <col min="7939" max="7939" width="11.5" style="136" customWidth="1"/>
    <col min="7940" max="7940" width="2.33203125" style="136" customWidth="1"/>
    <col min="7941" max="7941" width="29.6640625" style="136" customWidth="1"/>
    <col min="7942" max="7942" width="10.1640625" style="136" customWidth="1"/>
    <col min="7943" max="7943" width="8" style="136" customWidth="1"/>
    <col min="7944" max="7944" width="8.6640625" style="136" customWidth="1"/>
    <col min="7945" max="7945" width="8.33203125" style="136" customWidth="1"/>
    <col min="7946" max="7946" width="8" style="136" customWidth="1"/>
    <col min="7947" max="7947" width="9.33203125" style="136" customWidth="1"/>
    <col min="7948" max="7948" width="9.1640625" style="136" customWidth="1"/>
    <col min="7949" max="7949" width="10.5" style="136" customWidth="1"/>
    <col min="7950" max="7950" width="22.1640625" style="136" customWidth="1"/>
    <col min="7951" max="8191" width="9.1640625" style="136" customWidth="1"/>
    <col min="8192" max="8192" width="6.33203125" style="136" customWidth="1"/>
    <col min="8193" max="8194" width="5.5" style="136" customWidth="1"/>
    <col min="8195" max="8195" width="11.5" style="136" customWidth="1"/>
    <col min="8196" max="8196" width="2.33203125" style="136" customWidth="1"/>
    <col min="8197" max="8197" width="29.6640625" style="136" customWidth="1"/>
    <col min="8198" max="8198" width="10.1640625" style="136" customWidth="1"/>
    <col min="8199" max="8199" width="8" style="136" customWidth="1"/>
    <col min="8200" max="8200" width="8.6640625" style="136" customWidth="1"/>
    <col min="8201" max="8201" width="8.33203125" style="136" customWidth="1"/>
    <col min="8202" max="8202" width="8" style="136" customWidth="1"/>
    <col min="8203" max="8203" width="9.33203125" style="136" customWidth="1"/>
    <col min="8204" max="8204" width="9.1640625" style="136" customWidth="1"/>
    <col min="8205" max="8205" width="10.5" style="136" customWidth="1"/>
    <col min="8206" max="8206" width="22.1640625" style="136" customWidth="1"/>
    <col min="8207" max="8447" width="9.1640625" style="136" customWidth="1"/>
    <col min="8448" max="8448" width="6.33203125" style="136" customWidth="1"/>
    <col min="8449" max="8450" width="5.5" style="136" customWidth="1"/>
    <col min="8451" max="8451" width="11.5" style="136" customWidth="1"/>
    <col min="8452" max="8452" width="2.33203125" style="136" customWidth="1"/>
    <col min="8453" max="8453" width="29.6640625" style="136" customWidth="1"/>
    <col min="8454" max="8454" width="10.1640625" style="136" customWidth="1"/>
    <col min="8455" max="8455" width="8" style="136" customWidth="1"/>
    <col min="8456" max="8456" width="8.6640625" style="136" customWidth="1"/>
    <col min="8457" max="8457" width="8.33203125" style="136" customWidth="1"/>
    <col min="8458" max="8458" width="8" style="136" customWidth="1"/>
    <col min="8459" max="8459" width="9.33203125" style="136" customWidth="1"/>
    <col min="8460" max="8460" width="9.1640625" style="136" customWidth="1"/>
    <col min="8461" max="8461" width="10.5" style="136" customWidth="1"/>
    <col min="8462" max="8462" width="22.1640625" style="136" customWidth="1"/>
    <col min="8463" max="8703" width="9.1640625" style="136" customWidth="1"/>
    <col min="8704" max="8704" width="6.33203125" style="136" customWidth="1"/>
    <col min="8705" max="8706" width="5.5" style="136" customWidth="1"/>
    <col min="8707" max="8707" width="11.5" style="136" customWidth="1"/>
    <col min="8708" max="8708" width="2.33203125" style="136" customWidth="1"/>
    <col min="8709" max="8709" width="29.6640625" style="136" customWidth="1"/>
    <col min="8710" max="8710" width="10.1640625" style="136" customWidth="1"/>
    <col min="8711" max="8711" width="8" style="136" customWidth="1"/>
    <col min="8712" max="8712" width="8.6640625" style="136" customWidth="1"/>
    <col min="8713" max="8713" width="8.33203125" style="136" customWidth="1"/>
    <col min="8714" max="8714" width="8" style="136" customWidth="1"/>
    <col min="8715" max="8715" width="9.33203125" style="136" customWidth="1"/>
    <col min="8716" max="8716" width="9.1640625" style="136" customWidth="1"/>
    <col min="8717" max="8717" width="10.5" style="136" customWidth="1"/>
    <col min="8718" max="8718" width="22.1640625" style="136" customWidth="1"/>
    <col min="8719" max="8959" width="9.1640625" style="136" customWidth="1"/>
    <col min="8960" max="8960" width="6.33203125" style="136" customWidth="1"/>
    <col min="8961" max="8962" width="5.5" style="136" customWidth="1"/>
    <col min="8963" max="8963" width="11.5" style="136" customWidth="1"/>
    <col min="8964" max="8964" width="2.33203125" style="136" customWidth="1"/>
    <col min="8965" max="8965" width="29.6640625" style="136" customWidth="1"/>
    <col min="8966" max="8966" width="10.1640625" style="136" customWidth="1"/>
    <col min="8967" max="8967" width="8" style="136" customWidth="1"/>
    <col min="8968" max="8968" width="8.6640625" style="136" customWidth="1"/>
    <col min="8969" max="8969" width="8.33203125" style="136" customWidth="1"/>
    <col min="8970" max="8970" width="8" style="136" customWidth="1"/>
    <col min="8971" max="8971" width="9.33203125" style="136" customWidth="1"/>
    <col min="8972" max="8972" width="9.1640625" style="136" customWidth="1"/>
    <col min="8973" max="8973" width="10.5" style="136" customWidth="1"/>
    <col min="8974" max="8974" width="22.1640625" style="136" customWidth="1"/>
    <col min="8975" max="9215" width="9.1640625" style="136" customWidth="1"/>
    <col min="9216" max="9216" width="6.33203125" style="136" customWidth="1"/>
    <col min="9217" max="9218" width="5.5" style="136" customWidth="1"/>
    <col min="9219" max="9219" width="11.5" style="136" customWidth="1"/>
    <col min="9220" max="9220" width="2.33203125" style="136" customWidth="1"/>
    <col min="9221" max="9221" width="29.6640625" style="136" customWidth="1"/>
    <col min="9222" max="9222" width="10.1640625" style="136" customWidth="1"/>
    <col min="9223" max="9223" width="8" style="136" customWidth="1"/>
    <col min="9224" max="9224" width="8.6640625" style="136" customWidth="1"/>
    <col min="9225" max="9225" width="8.33203125" style="136" customWidth="1"/>
    <col min="9226" max="9226" width="8" style="136" customWidth="1"/>
    <col min="9227" max="9227" width="9.33203125" style="136" customWidth="1"/>
    <col min="9228" max="9228" width="9.1640625" style="136" customWidth="1"/>
    <col min="9229" max="9229" width="10.5" style="136" customWidth="1"/>
    <col min="9230" max="9230" width="22.1640625" style="136" customWidth="1"/>
    <col min="9231" max="9471" width="9.1640625" style="136" customWidth="1"/>
    <col min="9472" max="9472" width="6.33203125" style="136" customWidth="1"/>
    <col min="9473" max="9474" width="5.5" style="136" customWidth="1"/>
    <col min="9475" max="9475" width="11.5" style="136" customWidth="1"/>
    <col min="9476" max="9476" width="2.33203125" style="136" customWidth="1"/>
    <col min="9477" max="9477" width="29.6640625" style="136" customWidth="1"/>
    <col min="9478" max="9478" width="10.1640625" style="136" customWidth="1"/>
    <col min="9479" max="9479" width="8" style="136" customWidth="1"/>
    <col min="9480" max="9480" width="8.6640625" style="136" customWidth="1"/>
    <col min="9481" max="9481" width="8.33203125" style="136" customWidth="1"/>
    <col min="9482" max="9482" width="8" style="136" customWidth="1"/>
    <col min="9483" max="9483" width="9.33203125" style="136" customWidth="1"/>
    <col min="9484" max="9484" width="9.1640625" style="136" customWidth="1"/>
    <col min="9485" max="9485" width="10.5" style="136" customWidth="1"/>
    <col min="9486" max="9486" width="22.1640625" style="136" customWidth="1"/>
    <col min="9487" max="9727" width="9.1640625" style="136" customWidth="1"/>
    <col min="9728" max="9728" width="6.33203125" style="136" customWidth="1"/>
    <col min="9729" max="9730" width="5.5" style="136" customWidth="1"/>
    <col min="9731" max="9731" width="11.5" style="136" customWidth="1"/>
    <col min="9732" max="9732" width="2.33203125" style="136" customWidth="1"/>
    <col min="9733" max="9733" width="29.6640625" style="136" customWidth="1"/>
    <col min="9734" max="9734" width="10.1640625" style="136" customWidth="1"/>
    <col min="9735" max="9735" width="8" style="136" customWidth="1"/>
    <col min="9736" max="9736" width="8.6640625" style="136" customWidth="1"/>
    <col min="9737" max="9737" width="8.33203125" style="136" customWidth="1"/>
    <col min="9738" max="9738" width="8" style="136" customWidth="1"/>
    <col min="9739" max="9739" width="9.33203125" style="136" customWidth="1"/>
    <col min="9740" max="9740" width="9.1640625" style="136" customWidth="1"/>
    <col min="9741" max="9741" width="10.5" style="136" customWidth="1"/>
    <col min="9742" max="9742" width="22.1640625" style="136" customWidth="1"/>
    <col min="9743" max="9983" width="9.1640625" style="136" customWidth="1"/>
    <col min="9984" max="9984" width="6.33203125" style="136" customWidth="1"/>
    <col min="9985" max="9986" width="5.5" style="136" customWidth="1"/>
    <col min="9987" max="9987" width="11.5" style="136" customWidth="1"/>
    <col min="9988" max="9988" width="2.33203125" style="136" customWidth="1"/>
    <col min="9989" max="9989" width="29.6640625" style="136" customWidth="1"/>
    <col min="9990" max="9990" width="10.1640625" style="136" customWidth="1"/>
    <col min="9991" max="9991" width="8" style="136" customWidth="1"/>
    <col min="9992" max="9992" width="8.6640625" style="136" customWidth="1"/>
    <col min="9993" max="9993" width="8.33203125" style="136" customWidth="1"/>
    <col min="9994" max="9994" width="8" style="136" customWidth="1"/>
    <col min="9995" max="9995" width="9.33203125" style="136" customWidth="1"/>
    <col min="9996" max="9996" width="9.1640625" style="136" customWidth="1"/>
    <col min="9997" max="9997" width="10.5" style="136" customWidth="1"/>
    <col min="9998" max="9998" width="22.1640625" style="136" customWidth="1"/>
    <col min="9999" max="10239" width="9.1640625" style="136" customWidth="1"/>
    <col min="10240" max="10240" width="6.33203125" style="136" customWidth="1"/>
    <col min="10241" max="10242" width="5.5" style="136" customWidth="1"/>
    <col min="10243" max="10243" width="11.5" style="136" customWidth="1"/>
    <col min="10244" max="10244" width="2.33203125" style="136" customWidth="1"/>
    <col min="10245" max="10245" width="29.6640625" style="136" customWidth="1"/>
    <col min="10246" max="10246" width="10.1640625" style="136" customWidth="1"/>
    <col min="10247" max="10247" width="8" style="136" customWidth="1"/>
    <col min="10248" max="10248" width="8.6640625" style="136" customWidth="1"/>
    <col min="10249" max="10249" width="8.33203125" style="136" customWidth="1"/>
    <col min="10250" max="10250" width="8" style="136" customWidth="1"/>
    <col min="10251" max="10251" width="9.33203125" style="136" customWidth="1"/>
    <col min="10252" max="10252" width="9.1640625" style="136" customWidth="1"/>
    <col min="10253" max="10253" width="10.5" style="136" customWidth="1"/>
    <col min="10254" max="10254" width="22.1640625" style="136" customWidth="1"/>
    <col min="10255" max="10495" width="9.1640625" style="136" customWidth="1"/>
    <col min="10496" max="10496" width="6.33203125" style="136" customWidth="1"/>
    <col min="10497" max="10498" width="5.5" style="136" customWidth="1"/>
    <col min="10499" max="10499" width="11.5" style="136" customWidth="1"/>
    <col min="10500" max="10500" width="2.33203125" style="136" customWidth="1"/>
    <col min="10501" max="10501" width="29.6640625" style="136" customWidth="1"/>
    <col min="10502" max="10502" width="10.1640625" style="136" customWidth="1"/>
    <col min="10503" max="10503" width="8" style="136" customWidth="1"/>
    <col min="10504" max="10504" width="8.6640625" style="136" customWidth="1"/>
    <col min="10505" max="10505" width="8.33203125" style="136" customWidth="1"/>
    <col min="10506" max="10506" width="8" style="136" customWidth="1"/>
    <col min="10507" max="10507" width="9.33203125" style="136" customWidth="1"/>
    <col min="10508" max="10508" width="9.1640625" style="136" customWidth="1"/>
    <col min="10509" max="10509" width="10.5" style="136" customWidth="1"/>
    <col min="10510" max="10510" width="22.1640625" style="136" customWidth="1"/>
    <col min="10511" max="10751" width="9.1640625" style="136" customWidth="1"/>
    <col min="10752" max="10752" width="6.33203125" style="136" customWidth="1"/>
    <col min="10753" max="10754" width="5.5" style="136" customWidth="1"/>
    <col min="10755" max="10755" width="11.5" style="136" customWidth="1"/>
    <col min="10756" max="10756" width="2.33203125" style="136" customWidth="1"/>
    <col min="10757" max="10757" width="29.6640625" style="136" customWidth="1"/>
    <col min="10758" max="10758" width="10.1640625" style="136" customWidth="1"/>
    <col min="10759" max="10759" width="8" style="136" customWidth="1"/>
    <col min="10760" max="10760" width="8.6640625" style="136" customWidth="1"/>
    <col min="10761" max="10761" width="8.33203125" style="136" customWidth="1"/>
    <col min="10762" max="10762" width="8" style="136" customWidth="1"/>
    <col min="10763" max="10763" width="9.33203125" style="136" customWidth="1"/>
    <col min="10764" max="10764" width="9.1640625" style="136" customWidth="1"/>
    <col min="10765" max="10765" width="10.5" style="136" customWidth="1"/>
    <col min="10766" max="10766" width="22.1640625" style="136" customWidth="1"/>
    <col min="10767" max="11007" width="9.1640625" style="136" customWidth="1"/>
    <col min="11008" max="11008" width="6.33203125" style="136" customWidth="1"/>
    <col min="11009" max="11010" width="5.5" style="136" customWidth="1"/>
    <col min="11011" max="11011" width="11.5" style="136" customWidth="1"/>
    <col min="11012" max="11012" width="2.33203125" style="136" customWidth="1"/>
    <col min="11013" max="11013" width="29.6640625" style="136" customWidth="1"/>
    <col min="11014" max="11014" width="10.1640625" style="136" customWidth="1"/>
    <col min="11015" max="11015" width="8" style="136" customWidth="1"/>
    <col min="11016" max="11016" width="8.6640625" style="136" customWidth="1"/>
    <col min="11017" max="11017" width="8.33203125" style="136" customWidth="1"/>
    <col min="11018" max="11018" width="8" style="136" customWidth="1"/>
    <col min="11019" max="11019" width="9.33203125" style="136" customWidth="1"/>
    <col min="11020" max="11020" width="9.1640625" style="136" customWidth="1"/>
    <col min="11021" max="11021" width="10.5" style="136" customWidth="1"/>
    <col min="11022" max="11022" width="22.1640625" style="136" customWidth="1"/>
    <col min="11023" max="11263" width="9.1640625" style="136" customWidth="1"/>
    <col min="11264" max="11264" width="6.33203125" style="136" customWidth="1"/>
    <col min="11265" max="11266" width="5.5" style="136" customWidth="1"/>
    <col min="11267" max="11267" width="11.5" style="136" customWidth="1"/>
    <col min="11268" max="11268" width="2.33203125" style="136" customWidth="1"/>
    <col min="11269" max="11269" width="29.6640625" style="136" customWidth="1"/>
    <col min="11270" max="11270" width="10.1640625" style="136" customWidth="1"/>
    <col min="11271" max="11271" width="8" style="136" customWidth="1"/>
    <col min="11272" max="11272" width="8.6640625" style="136" customWidth="1"/>
    <col min="11273" max="11273" width="8.33203125" style="136" customWidth="1"/>
    <col min="11274" max="11274" width="8" style="136" customWidth="1"/>
    <col min="11275" max="11275" width="9.33203125" style="136" customWidth="1"/>
    <col min="11276" max="11276" width="9.1640625" style="136" customWidth="1"/>
    <col min="11277" max="11277" width="10.5" style="136" customWidth="1"/>
    <col min="11278" max="11278" width="22.1640625" style="136" customWidth="1"/>
    <col min="11279" max="11519" width="9.1640625" style="136" customWidth="1"/>
    <col min="11520" max="11520" width="6.33203125" style="136" customWidth="1"/>
    <col min="11521" max="11522" width="5.5" style="136" customWidth="1"/>
    <col min="11523" max="11523" width="11.5" style="136" customWidth="1"/>
    <col min="11524" max="11524" width="2.33203125" style="136" customWidth="1"/>
    <col min="11525" max="11525" width="29.6640625" style="136" customWidth="1"/>
    <col min="11526" max="11526" width="10.1640625" style="136" customWidth="1"/>
    <col min="11527" max="11527" width="8" style="136" customWidth="1"/>
    <col min="11528" max="11528" width="8.6640625" style="136" customWidth="1"/>
    <col min="11529" max="11529" width="8.33203125" style="136" customWidth="1"/>
    <col min="11530" max="11530" width="8" style="136" customWidth="1"/>
    <col min="11531" max="11531" width="9.33203125" style="136" customWidth="1"/>
    <col min="11532" max="11532" width="9.1640625" style="136" customWidth="1"/>
    <col min="11533" max="11533" width="10.5" style="136" customWidth="1"/>
    <col min="11534" max="11534" width="22.1640625" style="136" customWidth="1"/>
    <col min="11535" max="11775" width="9.1640625" style="136" customWidth="1"/>
    <col min="11776" max="11776" width="6.33203125" style="136" customWidth="1"/>
    <col min="11777" max="11778" width="5.5" style="136" customWidth="1"/>
    <col min="11779" max="11779" width="11.5" style="136" customWidth="1"/>
    <col min="11780" max="11780" width="2.33203125" style="136" customWidth="1"/>
    <col min="11781" max="11781" width="29.6640625" style="136" customWidth="1"/>
    <col min="11782" max="11782" width="10.1640625" style="136" customWidth="1"/>
    <col min="11783" max="11783" width="8" style="136" customWidth="1"/>
    <col min="11784" max="11784" width="8.6640625" style="136" customWidth="1"/>
    <col min="11785" max="11785" width="8.33203125" style="136" customWidth="1"/>
    <col min="11786" max="11786" width="8" style="136" customWidth="1"/>
    <col min="11787" max="11787" width="9.33203125" style="136" customWidth="1"/>
    <col min="11788" max="11788" width="9.1640625" style="136" customWidth="1"/>
    <col min="11789" max="11789" width="10.5" style="136" customWidth="1"/>
    <col min="11790" max="11790" width="22.1640625" style="136" customWidth="1"/>
    <col min="11791" max="12031" width="9.1640625" style="136" customWidth="1"/>
    <col min="12032" max="12032" width="6.33203125" style="136" customWidth="1"/>
    <col min="12033" max="12034" width="5.5" style="136" customWidth="1"/>
    <col min="12035" max="12035" width="11.5" style="136" customWidth="1"/>
    <col min="12036" max="12036" width="2.33203125" style="136" customWidth="1"/>
    <col min="12037" max="12037" width="29.6640625" style="136" customWidth="1"/>
    <col min="12038" max="12038" width="10.1640625" style="136" customWidth="1"/>
    <col min="12039" max="12039" width="8" style="136" customWidth="1"/>
    <col min="12040" max="12040" width="8.6640625" style="136" customWidth="1"/>
    <col min="12041" max="12041" width="8.33203125" style="136" customWidth="1"/>
    <col min="12042" max="12042" width="8" style="136" customWidth="1"/>
    <col min="12043" max="12043" width="9.33203125" style="136" customWidth="1"/>
    <col min="12044" max="12044" width="9.1640625" style="136" customWidth="1"/>
    <col min="12045" max="12045" width="10.5" style="136" customWidth="1"/>
    <col min="12046" max="12046" width="22.1640625" style="136" customWidth="1"/>
    <col min="12047" max="12287" width="9.1640625" style="136" customWidth="1"/>
    <col min="12288" max="12288" width="6.33203125" style="136" customWidth="1"/>
    <col min="12289" max="12290" width="5.5" style="136" customWidth="1"/>
    <col min="12291" max="12291" width="11.5" style="136" customWidth="1"/>
    <col min="12292" max="12292" width="2.33203125" style="136" customWidth="1"/>
    <col min="12293" max="12293" width="29.6640625" style="136" customWidth="1"/>
    <col min="12294" max="12294" width="10.1640625" style="136" customWidth="1"/>
    <col min="12295" max="12295" width="8" style="136" customWidth="1"/>
    <col min="12296" max="12296" width="8.6640625" style="136" customWidth="1"/>
    <col min="12297" max="12297" width="8.33203125" style="136" customWidth="1"/>
    <col min="12298" max="12298" width="8" style="136" customWidth="1"/>
    <col min="12299" max="12299" width="9.33203125" style="136" customWidth="1"/>
    <col min="12300" max="12300" width="9.1640625" style="136" customWidth="1"/>
    <col min="12301" max="12301" width="10.5" style="136" customWidth="1"/>
    <col min="12302" max="12302" width="22.1640625" style="136" customWidth="1"/>
    <col min="12303" max="12543" width="9.1640625" style="136" customWidth="1"/>
    <col min="12544" max="12544" width="6.33203125" style="136" customWidth="1"/>
    <col min="12545" max="12546" width="5.5" style="136" customWidth="1"/>
    <col min="12547" max="12547" width="11.5" style="136" customWidth="1"/>
    <col min="12548" max="12548" width="2.33203125" style="136" customWidth="1"/>
    <col min="12549" max="12549" width="29.6640625" style="136" customWidth="1"/>
    <col min="12550" max="12550" width="10.1640625" style="136" customWidth="1"/>
    <col min="12551" max="12551" width="8" style="136" customWidth="1"/>
    <col min="12552" max="12552" width="8.6640625" style="136" customWidth="1"/>
    <col min="12553" max="12553" width="8.33203125" style="136" customWidth="1"/>
    <col min="12554" max="12554" width="8" style="136" customWidth="1"/>
    <col min="12555" max="12555" width="9.33203125" style="136" customWidth="1"/>
    <col min="12556" max="12556" width="9.1640625" style="136" customWidth="1"/>
    <col min="12557" max="12557" width="10.5" style="136" customWidth="1"/>
    <col min="12558" max="12558" width="22.1640625" style="136" customWidth="1"/>
    <col min="12559" max="12799" width="9.1640625" style="136" customWidth="1"/>
    <col min="12800" max="12800" width="6.33203125" style="136" customWidth="1"/>
    <col min="12801" max="12802" width="5.5" style="136" customWidth="1"/>
    <col min="12803" max="12803" width="11.5" style="136" customWidth="1"/>
    <col min="12804" max="12804" width="2.33203125" style="136" customWidth="1"/>
    <col min="12805" max="12805" width="29.6640625" style="136" customWidth="1"/>
    <col min="12806" max="12806" width="10.1640625" style="136" customWidth="1"/>
    <col min="12807" max="12807" width="8" style="136" customWidth="1"/>
    <col min="12808" max="12808" width="8.6640625" style="136" customWidth="1"/>
    <col min="12809" max="12809" width="8.33203125" style="136" customWidth="1"/>
    <col min="12810" max="12810" width="8" style="136" customWidth="1"/>
    <col min="12811" max="12811" width="9.33203125" style="136" customWidth="1"/>
    <col min="12812" max="12812" width="9.1640625" style="136" customWidth="1"/>
    <col min="12813" max="12813" width="10.5" style="136" customWidth="1"/>
    <col min="12814" max="12814" width="22.1640625" style="136" customWidth="1"/>
    <col min="12815" max="13055" width="9.1640625" style="136" customWidth="1"/>
    <col min="13056" max="13056" width="6.33203125" style="136" customWidth="1"/>
    <col min="13057" max="13058" width="5.5" style="136" customWidth="1"/>
    <col min="13059" max="13059" width="11.5" style="136" customWidth="1"/>
    <col min="13060" max="13060" width="2.33203125" style="136" customWidth="1"/>
    <col min="13061" max="13061" width="29.6640625" style="136" customWidth="1"/>
    <col min="13062" max="13062" width="10.1640625" style="136" customWidth="1"/>
    <col min="13063" max="13063" width="8" style="136" customWidth="1"/>
    <col min="13064" max="13064" width="8.6640625" style="136" customWidth="1"/>
    <col min="13065" max="13065" width="8.33203125" style="136" customWidth="1"/>
    <col min="13066" max="13066" width="8" style="136" customWidth="1"/>
    <col min="13067" max="13067" width="9.33203125" style="136" customWidth="1"/>
    <col min="13068" max="13068" width="9.1640625" style="136" customWidth="1"/>
    <col min="13069" max="13069" width="10.5" style="136" customWidth="1"/>
    <col min="13070" max="13070" width="22.1640625" style="136" customWidth="1"/>
    <col min="13071" max="13311" width="9.1640625" style="136" customWidth="1"/>
    <col min="13312" max="13312" width="6.33203125" style="136" customWidth="1"/>
    <col min="13313" max="13314" width="5.5" style="136" customWidth="1"/>
    <col min="13315" max="13315" width="11.5" style="136" customWidth="1"/>
    <col min="13316" max="13316" width="2.33203125" style="136" customWidth="1"/>
    <col min="13317" max="13317" width="29.6640625" style="136" customWidth="1"/>
    <col min="13318" max="13318" width="10.1640625" style="136" customWidth="1"/>
    <col min="13319" max="13319" width="8" style="136" customWidth="1"/>
    <col min="13320" max="13320" width="8.6640625" style="136" customWidth="1"/>
    <col min="13321" max="13321" width="8.33203125" style="136" customWidth="1"/>
    <col min="13322" max="13322" width="8" style="136" customWidth="1"/>
    <col min="13323" max="13323" width="9.33203125" style="136" customWidth="1"/>
    <col min="13324" max="13324" width="9.1640625" style="136" customWidth="1"/>
    <col min="13325" max="13325" width="10.5" style="136" customWidth="1"/>
    <col min="13326" max="13326" width="22.1640625" style="136" customWidth="1"/>
    <col min="13327" max="13567" width="9.1640625" style="136" customWidth="1"/>
    <col min="13568" max="13568" width="6.33203125" style="136" customWidth="1"/>
    <col min="13569" max="13570" width="5.5" style="136" customWidth="1"/>
    <col min="13571" max="13571" width="11.5" style="136" customWidth="1"/>
    <col min="13572" max="13572" width="2.33203125" style="136" customWidth="1"/>
    <col min="13573" max="13573" width="29.6640625" style="136" customWidth="1"/>
    <col min="13574" max="13574" width="10.1640625" style="136" customWidth="1"/>
    <col min="13575" max="13575" width="8" style="136" customWidth="1"/>
    <col min="13576" max="13576" width="8.6640625" style="136" customWidth="1"/>
    <col min="13577" max="13577" width="8.33203125" style="136" customWidth="1"/>
    <col min="13578" max="13578" width="8" style="136" customWidth="1"/>
    <col min="13579" max="13579" width="9.33203125" style="136" customWidth="1"/>
    <col min="13580" max="13580" width="9.1640625" style="136" customWidth="1"/>
    <col min="13581" max="13581" width="10.5" style="136" customWidth="1"/>
    <col min="13582" max="13582" width="22.1640625" style="136" customWidth="1"/>
    <col min="13583" max="13823" width="9.1640625" style="136" customWidth="1"/>
    <col min="13824" max="13824" width="6.33203125" style="136" customWidth="1"/>
    <col min="13825" max="13826" width="5.5" style="136" customWidth="1"/>
    <col min="13827" max="13827" width="11.5" style="136" customWidth="1"/>
    <col min="13828" max="13828" width="2.33203125" style="136" customWidth="1"/>
    <col min="13829" max="13829" width="29.6640625" style="136" customWidth="1"/>
    <col min="13830" max="13830" width="10.1640625" style="136" customWidth="1"/>
    <col min="13831" max="13831" width="8" style="136" customWidth="1"/>
    <col min="13832" max="13832" width="8.6640625" style="136" customWidth="1"/>
    <col min="13833" max="13833" width="8.33203125" style="136" customWidth="1"/>
    <col min="13834" max="13834" width="8" style="136" customWidth="1"/>
    <col min="13835" max="13835" width="9.33203125" style="136" customWidth="1"/>
    <col min="13836" max="13836" width="9.1640625" style="136" customWidth="1"/>
    <col min="13837" max="13837" width="10.5" style="136" customWidth="1"/>
    <col min="13838" max="13838" width="22.1640625" style="136" customWidth="1"/>
    <col min="13839" max="14079" width="9.1640625" style="136" customWidth="1"/>
    <col min="14080" max="14080" width="6.33203125" style="136" customWidth="1"/>
    <col min="14081" max="14082" width="5.5" style="136" customWidth="1"/>
    <col min="14083" max="14083" width="11.5" style="136" customWidth="1"/>
    <col min="14084" max="14084" width="2.33203125" style="136" customWidth="1"/>
    <col min="14085" max="14085" width="29.6640625" style="136" customWidth="1"/>
    <col min="14086" max="14086" width="10.1640625" style="136" customWidth="1"/>
    <col min="14087" max="14087" width="8" style="136" customWidth="1"/>
    <col min="14088" max="14088" width="8.6640625" style="136" customWidth="1"/>
    <col min="14089" max="14089" width="8.33203125" style="136" customWidth="1"/>
    <col min="14090" max="14090" width="8" style="136" customWidth="1"/>
    <col min="14091" max="14091" width="9.33203125" style="136" customWidth="1"/>
    <col min="14092" max="14092" width="9.1640625" style="136" customWidth="1"/>
    <col min="14093" max="14093" width="10.5" style="136" customWidth="1"/>
    <col min="14094" max="14094" width="22.1640625" style="136" customWidth="1"/>
    <col min="14095" max="14335" width="9.1640625" style="136" customWidth="1"/>
    <col min="14336" max="14336" width="6.33203125" style="136" customWidth="1"/>
    <col min="14337" max="14338" width="5.5" style="136" customWidth="1"/>
    <col min="14339" max="14339" width="11.5" style="136" customWidth="1"/>
    <col min="14340" max="14340" width="2.33203125" style="136" customWidth="1"/>
    <col min="14341" max="14341" width="29.6640625" style="136" customWidth="1"/>
    <col min="14342" max="14342" width="10.1640625" style="136" customWidth="1"/>
    <col min="14343" max="14343" width="8" style="136" customWidth="1"/>
    <col min="14344" max="14344" width="8.6640625" style="136" customWidth="1"/>
    <col min="14345" max="14345" width="8.33203125" style="136" customWidth="1"/>
    <col min="14346" max="14346" width="8" style="136" customWidth="1"/>
    <col min="14347" max="14347" width="9.33203125" style="136" customWidth="1"/>
    <col min="14348" max="14348" width="9.1640625" style="136" customWidth="1"/>
    <col min="14349" max="14349" width="10.5" style="136" customWidth="1"/>
    <col min="14350" max="14350" width="22.1640625" style="136" customWidth="1"/>
    <col min="14351" max="14591" width="9.1640625" style="136" customWidth="1"/>
    <col min="14592" max="14592" width="6.33203125" style="136" customWidth="1"/>
    <col min="14593" max="14594" width="5.5" style="136" customWidth="1"/>
    <col min="14595" max="14595" width="11.5" style="136" customWidth="1"/>
    <col min="14596" max="14596" width="2.33203125" style="136" customWidth="1"/>
    <col min="14597" max="14597" width="29.6640625" style="136" customWidth="1"/>
    <col min="14598" max="14598" width="10.1640625" style="136" customWidth="1"/>
    <col min="14599" max="14599" width="8" style="136" customWidth="1"/>
    <col min="14600" max="14600" width="8.6640625" style="136" customWidth="1"/>
    <col min="14601" max="14601" width="8.33203125" style="136" customWidth="1"/>
    <col min="14602" max="14602" width="8" style="136" customWidth="1"/>
    <col min="14603" max="14603" width="9.33203125" style="136" customWidth="1"/>
    <col min="14604" max="14604" width="9.1640625" style="136" customWidth="1"/>
    <col min="14605" max="14605" width="10.5" style="136" customWidth="1"/>
    <col min="14606" max="14606" width="22.1640625" style="136" customWidth="1"/>
    <col min="14607" max="14847" width="9.1640625" style="136" customWidth="1"/>
    <col min="14848" max="14848" width="6.33203125" style="136" customWidth="1"/>
    <col min="14849" max="14850" width="5.5" style="136" customWidth="1"/>
    <col min="14851" max="14851" width="11.5" style="136" customWidth="1"/>
    <col min="14852" max="14852" width="2.33203125" style="136" customWidth="1"/>
    <col min="14853" max="14853" width="29.6640625" style="136" customWidth="1"/>
    <col min="14854" max="14854" width="10.1640625" style="136" customWidth="1"/>
    <col min="14855" max="14855" width="8" style="136" customWidth="1"/>
    <col min="14856" max="14856" width="8.6640625" style="136" customWidth="1"/>
    <col min="14857" max="14857" width="8.33203125" style="136" customWidth="1"/>
    <col min="14858" max="14858" width="8" style="136" customWidth="1"/>
    <col min="14859" max="14859" width="9.33203125" style="136" customWidth="1"/>
    <col min="14860" max="14860" width="9.1640625" style="136" customWidth="1"/>
    <col min="14861" max="14861" width="10.5" style="136" customWidth="1"/>
    <col min="14862" max="14862" width="22.1640625" style="136" customWidth="1"/>
    <col min="14863" max="15103" width="9.1640625" style="136" customWidth="1"/>
    <col min="15104" max="15104" width="6.33203125" style="136" customWidth="1"/>
    <col min="15105" max="15106" width="5.5" style="136" customWidth="1"/>
    <col min="15107" max="15107" width="11.5" style="136" customWidth="1"/>
    <col min="15108" max="15108" width="2.33203125" style="136" customWidth="1"/>
    <col min="15109" max="15109" width="29.6640625" style="136" customWidth="1"/>
    <col min="15110" max="15110" width="10.1640625" style="136" customWidth="1"/>
    <col min="15111" max="15111" width="8" style="136" customWidth="1"/>
    <col min="15112" max="15112" width="8.6640625" style="136" customWidth="1"/>
    <col min="15113" max="15113" width="8.33203125" style="136" customWidth="1"/>
    <col min="15114" max="15114" width="8" style="136" customWidth="1"/>
    <col min="15115" max="15115" width="9.33203125" style="136" customWidth="1"/>
    <col min="15116" max="15116" width="9.1640625" style="136" customWidth="1"/>
    <col min="15117" max="15117" width="10.5" style="136" customWidth="1"/>
    <col min="15118" max="15118" width="22.1640625" style="136" customWidth="1"/>
    <col min="15119" max="15359" width="9.1640625" style="136" customWidth="1"/>
    <col min="15360" max="15360" width="6.33203125" style="136" customWidth="1"/>
    <col min="15361" max="15362" width="5.5" style="136" customWidth="1"/>
    <col min="15363" max="15363" width="11.5" style="136" customWidth="1"/>
    <col min="15364" max="15364" width="2.33203125" style="136" customWidth="1"/>
    <col min="15365" max="15365" width="29.6640625" style="136" customWidth="1"/>
    <col min="15366" max="15366" width="10.1640625" style="136" customWidth="1"/>
    <col min="15367" max="15367" width="8" style="136" customWidth="1"/>
    <col min="15368" max="15368" width="8.6640625" style="136" customWidth="1"/>
    <col min="15369" max="15369" width="8.33203125" style="136" customWidth="1"/>
    <col min="15370" max="15370" width="8" style="136" customWidth="1"/>
    <col min="15371" max="15371" width="9.33203125" style="136" customWidth="1"/>
    <col min="15372" max="15372" width="9.1640625" style="136" customWidth="1"/>
    <col min="15373" max="15373" width="10.5" style="136" customWidth="1"/>
    <col min="15374" max="15374" width="22.1640625" style="136" customWidth="1"/>
    <col min="15375" max="15615" width="9.1640625" style="136" customWidth="1"/>
    <col min="15616" max="15616" width="6.33203125" style="136" customWidth="1"/>
    <col min="15617" max="15618" width="5.5" style="136" customWidth="1"/>
    <col min="15619" max="15619" width="11.5" style="136" customWidth="1"/>
    <col min="15620" max="15620" width="2.33203125" style="136" customWidth="1"/>
    <col min="15621" max="15621" width="29.6640625" style="136" customWidth="1"/>
    <col min="15622" max="15622" width="10.1640625" style="136" customWidth="1"/>
    <col min="15623" max="15623" width="8" style="136" customWidth="1"/>
    <col min="15624" max="15624" width="8.6640625" style="136" customWidth="1"/>
    <col min="15625" max="15625" width="8.33203125" style="136" customWidth="1"/>
    <col min="15626" max="15626" width="8" style="136" customWidth="1"/>
    <col min="15627" max="15627" width="9.33203125" style="136" customWidth="1"/>
    <col min="15628" max="15628" width="9.1640625" style="136" customWidth="1"/>
    <col min="15629" max="15629" width="10.5" style="136" customWidth="1"/>
    <col min="15630" max="15630" width="22.1640625" style="136" customWidth="1"/>
    <col min="15631" max="15871" width="9.1640625" style="136" customWidth="1"/>
    <col min="15872" max="15872" width="6.33203125" style="136" customWidth="1"/>
    <col min="15873" max="15874" width="5.5" style="136" customWidth="1"/>
    <col min="15875" max="15875" width="11.5" style="136" customWidth="1"/>
    <col min="15876" max="15876" width="2.33203125" style="136" customWidth="1"/>
    <col min="15877" max="15877" width="29.6640625" style="136" customWidth="1"/>
    <col min="15878" max="15878" width="10.1640625" style="136" customWidth="1"/>
    <col min="15879" max="15879" width="8" style="136" customWidth="1"/>
    <col min="15880" max="15880" width="8.6640625" style="136" customWidth="1"/>
    <col min="15881" max="15881" width="8.33203125" style="136" customWidth="1"/>
    <col min="15882" max="15882" width="8" style="136" customWidth="1"/>
    <col min="15883" max="15883" width="9.33203125" style="136" customWidth="1"/>
    <col min="15884" max="15884" width="9.1640625" style="136" customWidth="1"/>
    <col min="15885" max="15885" width="10.5" style="136" customWidth="1"/>
    <col min="15886" max="15886" width="22.1640625" style="136" customWidth="1"/>
    <col min="15887" max="16127" width="9.1640625" style="136" customWidth="1"/>
    <col min="16128" max="16128" width="6.33203125" style="136" customWidth="1"/>
    <col min="16129" max="16130" width="5.5" style="136" customWidth="1"/>
    <col min="16131" max="16131" width="11.5" style="136" customWidth="1"/>
    <col min="16132" max="16132" width="2.33203125" style="136" customWidth="1"/>
    <col min="16133" max="16133" width="29.6640625" style="136" customWidth="1"/>
    <col min="16134" max="16134" width="10.1640625" style="136" customWidth="1"/>
    <col min="16135" max="16135" width="8" style="136" customWidth="1"/>
    <col min="16136" max="16136" width="8.6640625" style="136" customWidth="1"/>
    <col min="16137" max="16137" width="8.33203125" style="136" customWidth="1"/>
    <col min="16138" max="16138" width="8" style="136" customWidth="1"/>
    <col min="16139" max="16139" width="9.33203125" style="136" customWidth="1"/>
    <col min="16140" max="16140" width="9.1640625" style="136" customWidth="1"/>
    <col min="16141" max="16141" width="10.5" style="136" customWidth="1"/>
    <col min="16142" max="16142" width="22.1640625" style="136" customWidth="1"/>
    <col min="16143" max="16384" width="9.1640625" style="136" customWidth="1"/>
  </cols>
  <sheetData>
    <row r="1" spans="1:11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ht="13.5" customHeight="1" spans="1:11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ht="9" customHeight="1" spans="1:11" x14ac:dyDescent="0.2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ht="15.75" customHeight="1" spans="1:15" s="139" customFormat="1" x14ac:dyDescent="0.25">
      <c r="A5" s="141" t="s">
        <v>445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39"/>
      <c r="M5" s="139"/>
      <c r="N5" s="139"/>
      <c r="O5" s="142"/>
    </row>
    <row r="6" ht="24" customHeight="1" spans="1:20" s="139" customFormat="1" x14ac:dyDescent="0.25">
      <c r="A6" s="141" t="s">
        <v>446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39"/>
      <c r="M6" s="139"/>
      <c r="N6" s="139"/>
      <c r="O6" s="142"/>
      <c r="P6" s="139"/>
      <c r="Q6" s="139"/>
      <c r="R6" s="143"/>
      <c r="S6" s="143"/>
      <c r="T6" s="143"/>
    </row>
    <row r="7" ht="17.25" customHeight="1" spans="1:20" s="139" customFormat="1" x14ac:dyDescent="0.25">
      <c r="A7" s="139"/>
      <c r="B7" s="139" t="s">
        <v>447</v>
      </c>
      <c r="C7" s="139"/>
      <c r="D7" s="139"/>
      <c r="E7" s="139"/>
      <c r="F7" s="239"/>
      <c r="G7" s="239"/>
      <c r="H7" s="239"/>
      <c r="I7" s="239"/>
      <c r="J7" s="139"/>
      <c r="K7" s="139"/>
      <c r="L7" s="139"/>
      <c r="M7" s="139"/>
      <c r="N7" s="139"/>
      <c r="O7" s="142"/>
      <c r="P7" s="139"/>
      <c r="Q7" s="139"/>
      <c r="R7" s="143"/>
      <c r="S7" s="143"/>
      <c r="T7" s="143"/>
    </row>
    <row r="8" ht="17.25" customHeight="1" spans="1:20" s="139" customFormat="1" x14ac:dyDescent="0.25">
      <c r="A8" s="139"/>
      <c r="B8" s="139" t="s">
        <v>448</v>
      </c>
      <c r="C8" s="139"/>
      <c r="D8" s="139"/>
      <c r="E8" s="139"/>
      <c r="F8" s="139" t="s">
        <v>378</v>
      </c>
      <c r="G8" s="139"/>
      <c r="H8" s="139"/>
      <c r="I8" s="152" t="s">
        <v>449</v>
      </c>
      <c r="J8" s="152"/>
      <c r="K8" s="152"/>
      <c r="L8" s="139"/>
      <c r="M8" s="139"/>
      <c r="N8" s="139"/>
      <c r="O8" s="142"/>
      <c r="P8" s="139"/>
      <c r="Q8" s="139"/>
      <c r="R8" s="143"/>
      <c r="S8" s="143"/>
      <c r="T8" s="143"/>
    </row>
    <row r="9" ht="27.75" customHeight="1" spans="1:20" s="147" customFormat="1" x14ac:dyDescent="0.25">
      <c r="A9" s="148" t="s">
        <v>450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7"/>
      <c r="M9" s="147"/>
      <c r="N9" s="149"/>
      <c r="O9" s="150"/>
      <c r="P9" s="147"/>
      <c r="Q9" s="147"/>
      <c r="R9" s="143"/>
      <c r="S9" s="143"/>
      <c r="T9" s="143"/>
    </row>
    <row r="10" ht="27.75" customHeight="1" spans="1:20" x14ac:dyDescent="0.25">
      <c r="A10" s="230" t="s">
        <v>451</v>
      </c>
      <c r="B10" s="230"/>
      <c r="C10" s="230"/>
      <c r="D10" s="158" t="s">
        <v>382</v>
      </c>
      <c r="E10" s="163" t="str">
        <f>VLOOKUP($E$12,'Sem1-2'!$B$7:$BX$37,5,FALSE)&amp;" "&amp;VLOOKUP($E$12,'Sem1-2'!$B$7:$BX$37,6,FALSE)</f>
        <v>Ms.Vilatda PHIAKHAM</v>
      </c>
      <c r="F10" s="163">
        <f>VLOOKUP($F$12,'Sem1-2'!$B$7:$ZZ$37,5,FALSE)&amp;" "&amp;VLOOKUP($F$12,'Sem1-2'!$B$7:$ZZ$37,6,FALSE)</f>
      </c>
      <c r="G10" s="163"/>
      <c r="H10" s="163" t="s">
        <v>452</v>
      </c>
      <c r="I10" s="163" t="s">
        <v>453</v>
      </c>
      <c r="J10" s="136"/>
      <c r="K10" s="163"/>
      <c r="L10" s="136"/>
      <c r="M10" s="136"/>
      <c r="N10" s="180"/>
      <c r="O10" s="137"/>
      <c r="P10" s="136"/>
      <c r="Q10" s="136"/>
      <c r="R10" s="181"/>
      <c r="S10" s="181"/>
      <c r="T10" s="181"/>
    </row>
    <row r="11" ht="24.75" customHeight="1" spans="1:20" x14ac:dyDescent="0.25">
      <c r="A11" s="230" t="s">
        <v>454</v>
      </c>
      <c r="B11" s="230"/>
      <c r="C11" s="230"/>
      <c r="D11" s="158" t="s">
        <v>382</v>
      </c>
      <c r="E11" s="159">
        <f>VLOOKUP($E$12,'Sem1-2'!$B$7:$BX$37,7,FALSE)</f>
        <v>NaN</v>
      </c>
      <c r="F11" s="159"/>
      <c r="G11" s="159"/>
      <c r="H11" s="163" t="s">
        <v>455</v>
      </c>
      <c r="I11" s="163" t="s">
        <v>456</v>
      </c>
      <c r="J11" s="136"/>
      <c r="K11" s="163"/>
      <c r="L11" s="136"/>
      <c r="M11" s="136"/>
      <c r="N11" s="180"/>
      <c r="O11" s="137"/>
      <c r="P11" s="136"/>
      <c r="Q11" s="136"/>
      <c r="R11" s="181"/>
      <c r="S11" s="181"/>
      <c r="T11" s="181"/>
    </row>
    <row r="12" ht="32.25" customHeight="1" spans="1:20" s="161" customFormat="1" x14ac:dyDescent="0.25">
      <c r="A12" s="158" t="s">
        <v>457</v>
      </c>
      <c r="B12" s="158"/>
      <c r="C12" s="158"/>
      <c r="D12" s="158" t="s">
        <v>382</v>
      </c>
      <c r="E12" s="163" t="s">
        <v>79</v>
      </c>
      <c r="F12" s="163" t="s">
        <v>349</v>
      </c>
      <c r="G12" s="163"/>
      <c r="H12" s="240" t="s">
        <v>458</v>
      </c>
      <c r="I12" s="163">
        <f>F52</f>
        <v>66</v>
      </c>
      <c r="J12" s="161"/>
      <c r="K12" s="163"/>
      <c r="L12" s="161"/>
      <c r="M12" s="161"/>
      <c r="N12" s="163"/>
      <c r="O12" s="201"/>
      <c r="P12" s="161"/>
      <c r="Q12" s="161"/>
      <c r="R12" s="181"/>
      <c r="S12" s="181"/>
      <c r="T12" s="181"/>
    </row>
    <row r="13" ht="32.25" customHeight="1" spans="1:20" s="161" customFormat="1" x14ac:dyDescent="0.25">
      <c r="A13" s="241" t="s">
        <v>459</v>
      </c>
      <c r="B13" s="242"/>
      <c r="C13" s="242"/>
      <c r="D13" s="241" t="s">
        <v>382</v>
      </c>
      <c r="E13" s="169" t="s">
        <v>460</v>
      </c>
      <c r="F13" s="169"/>
      <c r="G13" s="169"/>
      <c r="H13" s="243" t="s">
        <v>461</v>
      </c>
      <c r="I13" s="244" t="s">
        <v>563</v>
      </c>
      <c r="J13" s="161"/>
      <c r="K13" s="244"/>
      <c r="L13" s="161"/>
      <c r="M13" s="161"/>
      <c r="N13" s="163"/>
      <c r="O13" s="201"/>
      <c r="P13" s="161"/>
      <c r="Q13" s="161"/>
      <c r="R13" s="181"/>
      <c r="S13" s="181"/>
      <c r="T13" s="181"/>
    </row>
    <row r="14" ht="30" customHeight="1" spans="1:20" s="161" customFormat="1" x14ac:dyDescent="0.25">
      <c r="A14" s="308" t="s">
        <v>462</v>
      </c>
      <c r="B14" s="309"/>
      <c r="C14" s="310">
        <v>1</v>
      </c>
      <c r="D14" s="310" t="s">
        <v>564</v>
      </c>
      <c r="E14" s="311"/>
      <c r="F14" s="312" t="s">
        <v>565</v>
      </c>
      <c r="G14" s="313">
        <v>3</v>
      </c>
      <c r="H14" s="312">
        <f>'Lao_transcript(year2) '!H15</f>
      </c>
      <c r="I14" s="314">
        <f>'Lao_transcript(year2) '!I15</f>
      </c>
      <c r="J14" s="314">
        <f>'Lao_transcript(year2) '!J15</f>
      </c>
      <c r="K14" s="314" t="s">
        <v>19</v>
      </c>
      <c r="L14" s="161"/>
      <c r="M14" s="161"/>
      <c r="N14" s="163"/>
      <c r="O14" s="201"/>
      <c r="P14" s="161"/>
      <c r="Q14" s="161"/>
      <c r="R14" s="181"/>
      <c r="S14" s="181"/>
      <c r="T14" s="181"/>
    </row>
    <row r="15" ht="19" customHeight="1" spans="1:42" s="315" customFormat="1" x14ac:dyDescent="0.25">
      <c r="A15" s="316"/>
      <c r="B15" s="317"/>
      <c r="C15" s="318"/>
      <c r="D15" s="318"/>
      <c r="E15" s="319"/>
      <c r="F15" s="320"/>
      <c r="G15" s="321"/>
      <c r="H15" s="320"/>
      <c r="I15" s="322"/>
      <c r="J15" s="323"/>
      <c r="K15" s="323"/>
      <c r="L15" s="161"/>
      <c r="M15" s="161"/>
      <c r="N15" s="163"/>
      <c r="O15" s="201"/>
      <c r="P15" s="161"/>
      <c r="Q15" s="161"/>
      <c r="R15" s="181"/>
      <c r="S15" s="181"/>
      <c r="T15" s="18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</row>
    <row r="16" ht="19" customHeight="1" spans="1:15" x14ac:dyDescent="0.25">
      <c r="A16" s="316"/>
      <c r="B16" s="317"/>
      <c r="C16" s="318">
        <v>2</v>
      </c>
      <c r="D16" s="318" t="s">
        <v>498</v>
      </c>
      <c r="E16" s="319" t="s">
        <v>566</v>
      </c>
      <c r="F16" s="324"/>
      <c r="G16" s="321">
        <v>2</v>
      </c>
      <c r="H16" s="320">
        <f>'Lao_transcript(year2) '!H16</f>
      </c>
      <c r="I16" s="322">
        <f>'Lao_transcript(year2) '!I16</f>
      </c>
      <c r="J16" s="323">
        <f>'Lao_transcript(year2) '!J16</f>
      </c>
      <c r="K16" s="325"/>
      <c r="L16" s="161"/>
      <c r="M16" s="161"/>
      <c r="N16" s="163"/>
      <c r="O16" s="201"/>
    </row>
    <row r="17" ht="19" customHeight="1" spans="1:15" x14ac:dyDescent="0.25">
      <c r="A17" s="316"/>
      <c r="B17" s="317"/>
      <c r="C17" s="318">
        <v>3</v>
      </c>
      <c r="D17" s="318" t="s">
        <v>500</v>
      </c>
      <c r="E17" s="319" t="s">
        <v>567</v>
      </c>
      <c r="F17" s="324"/>
      <c r="G17" s="321">
        <v>1</v>
      </c>
      <c r="H17" s="320">
        <f>'Lao_transcript(year2) '!H17</f>
      </c>
      <c r="I17" s="322">
        <f>'Lao_transcript(year2) '!I17</f>
      </c>
      <c r="J17" s="323">
        <f>'Lao_transcript(year2) '!J17</f>
      </c>
      <c r="K17" s="325"/>
      <c r="L17" s="161"/>
      <c r="M17" s="161"/>
      <c r="N17" s="163"/>
      <c r="O17" s="201"/>
    </row>
    <row r="18" ht="19" customHeight="1" spans="1:15" x14ac:dyDescent="0.25">
      <c r="A18" s="316"/>
      <c r="B18" s="317"/>
      <c r="C18" s="318">
        <v>4</v>
      </c>
      <c r="D18" s="318" t="s">
        <v>502</v>
      </c>
      <c r="E18" s="319" t="s">
        <v>568</v>
      </c>
      <c r="F18" s="324"/>
      <c r="G18" s="321">
        <v>1</v>
      </c>
      <c r="H18" s="320">
        <f>'Lao_transcript(year2) '!H18</f>
      </c>
      <c r="I18" s="322">
        <f>'Lao_transcript(year2) '!I18</f>
      </c>
      <c r="J18" s="323">
        <f>'Lao_transcript(year2) '!J18</f>
      </c>
      <c r="K18" s="325"/>
      <c r="L18" s="161"/>
      <c r="M18" s="161"/>
      <c r="N18" s="163"/>
      <c r="O18" s="201"/>
    </row>
    <row r="19" ht="19" customHeight="1" spans="1:15" x14ac:dyDescent="0.25">
      <c r="A19" s="316"/>
      <c r="B19" s="317"/>
      <c r="C19" s="318">
        <v>5</v>
      </c>
      <c r="D19" s="318" t="s">
        <v>504</v>
      </c>
      <c r="E19" s="319" t="s">
        <v>569</v>
      </c>
      <c r="F19" s="324"/>
      <c r="G19" s="321">
        <v>1</v>
      </c>
      <c r="H19" s="320">
        <f>'Lao_transcript(year2) '!H19</f>
      </c>
      <c r="I19" s="322">
        <f>'Lao_transcript(year2) '!I19</f>
      </c>
      <c r="J19" s="323">
        <f>'Lao_transcript(year2) '!J19</f>
      </c>
      <c r="K19" s="325"/>
      <c r="L19" s="161"/>
      <c r="M19" s="161"/>
      <c r="N19" s="163"/>
      <c r="O19" s="201"/>
    </row>
    <row r="20" ht="19" customHeight="1" spans="1:15" x14ac:dyDescent="0.25">
      <c r="A20" s="316"/>
      <c r="B20" s="317"/>
      <c r="C20" s="318">
        <v>6</v>
      </c>
      <c r="D20" s="318" t="s">
        <v>506</v>
      </c>
      <c r="E20" s="319" t="s">
        <v>570</v>
      </c>
      <c r="F20" s="324"/>
      <c r="G20" s="321">
        <v>2</v>
      </c>
      <c r="H20" s="320">
        <f>'Lao_transcript(year2) '!H20</f>
      </c>
      <c r="I20" s="322">
        <f>'Lao_transcript(year2) '!I20</f>
      </c>
      <c r="J20" s="323">
        <f>'Lao_transcript(year2) '!J20</f>
      </c>
      <c r="K20" s="325"/>
      <c r="L20" s="161"/>
      <c r="M20" s="161"/>
      <c r="N20" s="163"/>
      <c r="O20" s="201"/>
    </row>
    <row r="21" ht="19" customHeight="1" spans="1:15" x14ac:dyDescent="0.25">
      <c r="A21" s="316"/>
      <c r="B21" s="317"/>
      <c r="C21" s="318">
        <v>7</v>
      </c>
      <c r="D21" s="318" t="s">
        <v>508</v>
      </c>
      <c r="E21" s="319" t="s">
        <v>571</v>
      </c>
      <c r="F21" s="324"/>
      <c r="G21" s="321">
        <v>2</v>
      </c>
      <c r="H21" s="320">
        <f>'Lao_transcript(year2) '!H21</f>
      </c>
      <c r="I21" s="322">
        <f>'Lao_transcript(year2) '!I21</f>
      </c>
      <c r="J21" s="323">
        <f>'Lao_transcript(year2) '!J21</f>
      </c>
      <c r="K21" s="325"/>
      <c r="L21" s="161"/>
      <c r="M21" s="161"/>
      <c r="N21" s="163"/>
      <c r="O21" s="201"/>
    </row>
    <row r="22" ht="19" customHeight="1" spans="1:15" x14ac:dyDescent="0.25">
      <c r="A22" s="316"/>
      <c r="B22" s="317"/>
      <c r="C22" s="318">
        <v>8</v>
      </c>
      <c r="D22" s="318" t="s">
        <v>510</v>
      </c>
      <c r="E22" s="319" t="s">
        <v>572</v>
      </c>
      <c r="F22" s="324"/>
      <c r="G22" s="321">
        <v>1</v>
      </c>
      <c r="H22" s="320">
        <f>'Lao_transcript(year2) '!H22</f>
      </c>
      <c r="I22" s="322">
        <f>'Lao_transcript(year2) '!I22</f>
      </c>
      <c r="J22" s="323">
        <f>'Lao_transcript(year2) '!J22</f>
      </c>
      <c r="K22" s="325"/>
      <c r="L22" s="161"/>
      <c r="M22" s="161"/>
      <c r="N22" s="163"/>
      <c r="O22" s="201"/>
    </row>
    <row r="23" ht="19" customHeight="1" spans="1:15" x14ac:dyDescent="0.25">
      <c r="A23" s="316"/>
      <c r="B23" s="317"/>
      <c r="C23" s="318">
        <v>9</v>
      </c>
      <c r="D23" s="318" t="s">
        <v>512</v>
      </c>
      <c r="E23" s="319" t="s">
        <v>573</v>
      </c>
      <c r="F23" s="324"/>
      <c r="G23" s="321">
        <v>2</v>
      </c>
      <c r="H23" s="320">
        <f>'Lao_transcript(year2) '!H23</f>
      </c>
      <c r="I23" s="322">
        <f>'Lao_transcript(year2) '!I23</f>
      </c>
      <c r="J23" s="323">
        <f>'Lao_transcript(year2) '!J23</f>
      </c>
      <c r="K23" s="325"/>
      <c r="L23" s="161"/>
      <c r="M23" s="161"/>
      <c r="N23" s="163"/>
      <c r="O23" s="201"/>
    </row>
    <row r="24" ht="19" customHeight="1" spans="1:42" s="192" customFormat="1" x14ac:dyDescent="0.25">
      <c r="A24" s="261" t="s">
        <v>574</v>
      </c>
      <c r="B24" s="326" t="s">
        <v>473</v>
      </c>
      <c r="C24" s="194">
        <v>1</v>
      </c>
      <c r="D24" s="327" t="s">
        <v>515</v>
      </c>
      <c r="E24" s="328" t="s">
        <v>575</v>
      </c>
      <c r="F24" s="194">
        <v>3</v>
      </c>
      <c r="G24" s="287">
        <f>'Lao_transcript(year2) '!G24</f>
      </c>
      <c r="H24" s="194">
        <f>'Lao_transcript(year2) '!H24</f>
      </c>
      <c r="I24" s="194">
        <f>'Lao_transcript(year2) '!I24</f>
      </c>
      <c r="J24" s="329">
        <f>'Lao_transcript(year2) '!J24</f>
      </c>
      <c r="K24" s="264" t="e">
        <f>(J16+J23)/2</f>
        <v>#REF!</v>
      </c>
      <c r="L24" s="181"/>
      <c r="M24" s="161"/>
      <c r="N24" s="163"/>
      <c r="O24" s="20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1"/>
      <c r="AA24" s="161"/>
      <c r="AB24" s="161"/>
      <c r="AC24" s="161"/>
      <c r="AD24" s="161"/>
      <c r="AE24" s="161"/>
      <c r="AF24" s="161"/>
      <c r="AG24" s="161"/>
      <c r="AH24" s="161"/>
      <c r="AI24" s="161"/>
      <c r="AJ24" s="161"/>
      <c r="AK24" s="161"/>
      <c r="AL24" s="161"/>
      <c r="AM24" s="161"/>
      <c r="AN24" s="161"/>
      <c r="AO24" s="161"/>
      <c r="AP24" s="161"/>
    </row>
    <row r="25" ht="19" customHeight="1" spans="1:42" s="202" customFormat="1" x14ac:dyDescent="0.25">
      <c r="A25" s="265" t="s">
        <v>574</v>
      </c>
      <c r="B25" s="330" t="s">
        <v>473</v>
      </c>
      <c r="C25" s="204">
        <v>2</v>
      </c>
      <c r="D25" s="331" t="s">
        <v>517</v>
      </c>
      <c r="E25" s="332" t="s">
        <v>576</v>
      </c>
      <c r="F25" s="204">
        <v>2</v>
      </c>
      <c r="G25" s="282">
        <v>2</v>
      </c>
      <c r="H25" s="208">
        <f>'Lao_transcript(year2) '!H25</f>
      </c>
      <c r="I25" s="204">
        <f>'Lao_transcript(year2) '!I25</f>
      </c>
      <c r="J25" s="333">
        <f>'Lao_transcript(year2) '!J25</f>
      </c>
      <c r="K25" s="266" t="e">
        <f>(J16+J23)/2</f>
        <v>#REF!</v>
      </c>
      <c r="L25" s="181"/>
      <c r="M25" s="161"/>
      <c r="N25" s="163"/>
      <c r="O25" s="201"/>
      <c r="P25" s="161"/>
      <c r="Q25" s="161"/>
      <c r="R25" s="161"/>
      <c r="S25" s="161"/>
      <c r="T25" s="161"/>
      <c r="U25" s="161"/>
      <c r="V25" s="161"/>
      <c r="W25" s="161"/>
      <c r="X25" s="161"/>
      <c r="Y25" s="161"/>
      <c r="Z25" s="161"/>
      <c r="AA25" s="161"/>
      <c r="AB25" s="161"/>
      <c r="AC25" s="161"/>
      <c r="AD25" s="161"/>
      <c r="AE25" s="161"/>
      <c r="AF25" s="161"/>
      <c r="AG25" s="161"/>
      <c r="AH25" s="161"/>
      <c r="AI25" s="161"/>
      <c r="AJ25" s="161"/>
      <c r="AK25" s="161"/>
      <c r="AL25" s="161"/>
      <c r="AM25" s="161"/>
      <c r="AN25" s="161"/>
      <c r="AO25" s="161"/>
      <c r="AP25" s="161"/>
    </row>
    <row r="26" ht="19" customHeight="1" spans="1:42" s="202" customFormat="1" x14ac:dyDescent="0.25">
      <c r="A26" s="265" t="s">
        <v>574</v>
      </c>
      <c r="B26" s="330" t="s">
        <v>473</v>
      </c>
      <c r="C26" s="204">
        <v>3</v>
      </c>
      <c r="D26" s="331" t="s">
        <v>519</v>
      </c>
      <c r="E26" s="332" t="s">
        <v>577</v>
      </c>
      <c r="F26" s="204">
        <v>1</v>
      </c>
      <c r="G26" s="282">
        <v>1</v>
      </c>
      <c r="H26" s="208">
        <f>'Lao_transcript(year2) '!H26</f>
      </c>
      <c r="I26" s="204">
        <f>'Lao_transcript(year2) '!I26</f>
      </c>
      <c r="J26" s="333">
        <f>'Lao_transcript(year2) '!J26</f>
      </c>
      <c r="K26" s="266" t="e">
        <f>(J16+J23)/2</f>
        <v>#REF!</v>
      </c>
      <c r="L26" s="181"/>
      <c r="M26" s="161"/>
      <c r="N26" s="163"/>
      <c r="O26" s="20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</row>
    <row r="27" ht="19" customHeight="1" spans="1:42" s="202" customFormat="1" x14ac:dyDescent="0.25">
      <c r="A27" s="265" t="s">
        <v>574</v>
      </c>
      <c r="B27" s="330" t="s">
        <v>473</v>
      </c>
      <c r="C27" s="204">
        <v>4</v>
      </c>
      <c r="D27" s="334" t="s">
        <v>521</v>
      </c>
      <c r="E27" s="335" t="s">
        <v>578</v>
      </c>
      <c r="F27" s="204">
        <v>1</v>
      </c>
      <c r="G27" s="282">
        <v>1</v>
      </c>
      <c r="H27" s="208">
        <f>'Lao_transcript(year2) '!H27</f>
      </c>
      <c r="I27" s="204">
        <f>'Lao_transcript(year2) '!I27</f>
      </c>
      <c r="J27" s="333">
        <f>'Lao_transcript(year2) '!J27</f>
      </c>
      <c r="K27" s="266" t="e">
        <f>(J16+J23)/2</f>
        <v>#REF!</v>
      </c>
      <c r="L27" s="181"/>
      <c r="M27" s="161"/>
      <c r="N27" s="163"/>
      <c r="O27" s="20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</row>
    <row r="28" ht="19" customHeight="1" spans="1:42" s="202" customFormat="1" x14ac:dyDescent="0.25">
      <c r="A28" s="265" t="s">
        <v>574</v>
      </c>
      <c r="B28" s="330" t="s">
        <v>473</v>
      </c>
      <c r="C28" s="204">
        <v>5</v>
      </c>
      <c r="D28" s="334" t="s">
        <v>523</v>
      </c>
      <c r="E28" s="335" t="s">
        <v>579</v>
      </c>
      <c r="F28" s="204">
        <v>2</v>
      </c>
      <c r="G28" s="282">
        <v>1</v>
      </c>
      <c r="H28" s="208">
        <f>'Lao_transcript(year2) '!H28</f>
      </c>
      <c r="I28" s="204">
        <f>'Lao_transcript(year2) '!I28</f>
      </c>
      <c r="J28" s="336">
        <f>'Lao_transcript(year2) '!J28</f>
      </c>
      <c r="K28" s="266" t="e">
        <f>(J16+J23)/2</f>
        <v>#REF!</v>
      </c>
      <c r="L28" s="181"/>
      <c r="M28" s="161"/>
      <c r="N28" s="163"/>
      <c r="O28" s="20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</row>
    <row r="29" ht="19" customHeight="1" spans="1:42" s="202" customFormat="1" x14ac:dyDescent="0.25">
      <c r="A29" s="265" t="s">
        <v>574</v>
      </c>
      <c r="B29" s="330" t="s">
        <v>473</v>
      </c>
      <c r="C29" s="204">
        <v>6</v>
      </c>
      <c r="D29" s="331" t="s">
        <v>525</v>
      </c>
      <c r="E29" s="332" t="s">
        <v>580</v>
      </c>
      <c r="F29" s="204">
        <v>2</v>
      </c>
      <c r="G29" s="282">
        <v>2</v>
      </c>
      <c r="H29" s="208">
        <f>'Lao_transcript(year2) '!H29</f>
      </c>
      <c r="I29" s="204">
        <f>'Lao_transcript(year2) '!I29</f>
      </c>
      <c r="J29" s="336">
        <f>'Lao_transcript(year2) '!J29</f>
      </c>
      <c r="K29" s="266" t="e">
        <f>(J16+J23)/2</f>
        <v>#REF!</v>
      </c>
      <c r="L29" s="181"/>
      <c r="M29" s="161"/>
      <c r="N29" s="163"/>
      <c r="O29" s="20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</row>
    <row r="30" ht="19" customHeight="1" spans="1:42" s="202" customFormat="1" x14ac:dyDescent="0.25">
      <c r="A30" s="265" t="s">
        <v>574</v>
      </c>
      <c r="B30" s="330" t="s">
        <v>473</v>
      </c>
      <c r="C30" s="284">
        <v>7</v>
      </c>
      <c r="D30" s="337" t="s">
        <v>527</v>
      </c>
      <c r="E30" s="338" t="s">
        <v>581</v>
      </c>
      <c r="F30" s="284">
        <v>2</v>
      </c>
      <c r="G30" s="285">
        <v>2</v>
      </c>
      <c r="H30" s="285">
        <f>'Lao_transcript(year2) '!H30</f>
      </c>
      <c r="I30" s="284">
        <f>'Lao_transcript(year2) '!I30</f>
      </c>
      <c r="J30" s="339">
        <f>'Lao_transcript(year2) '!J30</f>
      </c>
      <c r="K30" s="266" t="e">
        <f>(J16+J23)/2</f>
        <v>#REF!</v>
      </c>
      <c r="L30" s="181"/>
      <c r="M30" s="161"/>
      <c r="N30" s="163"/>
      <c r="O30" s="20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</row>
    <row r="31" ht="19" customHeight="1" spans="1:42" s="192" customFormat="1" x14ac:dyDescent="0.25">
      <c r="A31" s="265" t="s">
        <v>574</v>
      </c>
      <c r="B31" s="326" t="s">
        <v>487</v>
      </c>
      <c r="C31" s="194">
        <v>8</v>
      </c>
      <c r="D31" s="327" t="s">
        <v>529</v>
      </c>
      <c r="E31" s="328" t="s">
        <v>582</v>
      </c>
      <c r="F31" s="299">
        <v>3</v>
      </c>
      <c r="G31" s="287">
        <v>1</v>
      </c>
      <c r="H31" s="340">
        <f>'Lao_transcript(year2) '!H31</f>
      </c>
      <c r="I31" s="194">
        <f>'Lao_transcript(year2) '!I31</f>
      </c>
      <c r="J31" s="341">
        <f>'Lao_transcript(year2) '!J31</f>
      </c>
      <c r="K31" s="266" t="e">
        <f>(J16+J23)/2</f>
        <v>#REF!</v>
      </c>
      <c r="L31" s="181"/>
      <c r="M31" s="161"/>
      <c r="N31" s="161"/>
      <c r="O31" s="20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</row>
    <row r="32" ht="19" customHeight="1" spans="1:42" s="202" customFormat="1" x14ac:dyDescent="0.25">
      <c r="A32" s="265" t="s">
        <v>574</v>
      </c>
      <c r="B32" s="330" t="s">
        <v>487</v>
      </c>
      <c r="C32" s="204">
        <v>9</v>
      </c>
      <c r="D32" s="331" t="s">
        <v>531</v>
      </c>
      <c r="E32" s="332" t="s">
        <v>583</v>
      </c>
      <c r="F32" s="205">
        <v>2</v>
      </c>
      <c r="G32" s="282">
        <v>2</v>
      </c>
      <c r="H32" s="208">
        <f>'Lao_transcript(year2) '!H32</f>
      </c>
      <c r="I32" s="204">
        <f>'Lao_transcript(year2) '!I32</f>
      </c>
      <c r="J32" s="333">
        <f>'Lao_transcript(year2) '!J32</f>
      </c>
      <c r="K32" s="266" t="e">
        <f>(J16+J23)/2</f>
        <v>#REF!</v>
      </c>
      <c r="L32" s="181"/>
      <c r="M32" s="161"/>
      <c r="N32" s="161"/>
      <c r="O32" s="20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</row>
    <row r="33" ht="15.75" customHeight="1" spans="1:15" s="161" customFormat="1" x14ac:dyDescent="0.25">
      <c r="A33" s="47"/>
      <c r="B33" s="47"/>
      <c r="C33" s="47"/>
      <c r="D33" s="47"/>
      <c r="E33" s="47"/>
      <c r="F33" s="47"/>
      <c r="G33" s="181">
        <f>'Lao_transcript(year2) '!G33</f>
      </c>
      <c r="H33" s="342"/>
      <c r="I33" s="181">
        <f>'Lao_transcript(year2) '!I33</f>
      </c>
      <c r="J33" s="343"/>
      <c r="K33" s="343"/>
      <c r="L33" s="161"/>
      <c r="M33" s="161"/>
      <c r="N33" s="161"/>
      <c r="O33" s="201"/>
    </row>
    <row r="34" ht="16" customHeight="1" spans="1:8" x14ac:dyDescent="0.25">
      <c r="A34" s="136" t="s">
        <v>491</v>
      </c>
      <c r="B34" s="149"/>
      <c r="C34" s="149"/>
      <c r="D34" s="149"/>
      <c r="E34" s="136"/>
      <c r="F34" s="136"/>
      <c r="G34" s="136"/>
      <c r="H34" s="136" t="s">
        <v>584</v>
      </c>
    </row>
    <row r="35" spans="1:9" x14ac:dyDescent="0.25">
      <c r="A35" s="136" t="s">
        <v>493</v>
      </c>
      <c r="B35" s="136"/>
      <c r="C35" s="136"/>
      <c r="D35" s="136"/>
      <c r="E35" s="136"/>
      <c r="F35" s="136"/>
      <c r="G35" s="136"/>
      <c r="H35" s="136" t="s">
        <v>585</v>
      </c>
      <c r="I35" s="181">
        <f>'Lao_transcript(year2) '!I35</f>
      </c>
    </row>
    <row r="36" spans="1:5" x14ac:dyDescent="0.25">
      <c r="A36" s="136"/>
      <c r="B36" s="136"/>
      <c r="C36" s="136"/>
      <c r="D36" s="136"/>
      <c r="E36" s="136"/>
    </row>
    <row r="37" spans="1:5" x14ac:dyDescent="0.25">
      <c r="A37" s="136"/>
      <c r="B37" s="136"/>
      <c r="C37" s="136"/>
      <c r="D37" s="136"/>
      <c r="E37" s="136"/>
    </row>
    <row r="38" spans="1:5" x14ac:dyDescent="0.25">
      <c r="A38" s="136"/>
      <c r="B38" s="136"/>
      <c r="C38" s="136"/>
      <c r="D38" s="136"/>
      <c r="E38" s="136"/>
    </row>
    <row r="39" spans="1:5" x14ac:dyDescent="0.25">
      <c r="A39" s="136"/>
      <c r="B39" s="136"/>
      <c r="C39" s="136"/>
      <c r="D39" s="136"/>
      <c r="E39" s="136"/>
    </row>
    <row r="40" spans="1:5" x14ac:dyDescent="0.25">
      <c r="A40" s="136"/>
      <c r="B40" s="136"/>
      <c r="C40" s="136"/>
      <c r="D40" s="136"/>
      <c r="E40" s="136"/>
    </row>
    <row r="41" ht="18" customHeight="1" spans="1:42" s="192" customFormat="1" x14ac:dyDescent="0.25">
      <c r="A41" s="261" t="s">
        <v>586</v>
      </c>
      <c r="B41" s="326" t="s">
        <v>587</v>
      </c>
      <c r="C41" s="194">
        <v>1</v>
      </c>
      <c r="D41" s="327" t="s">
        <v>564</v>
      </c>
      <c r="E41" s="328" t="s">
        <v>564</v>
      </c>
      <c r="F41" s="299">
        <v>3</v>
      </c>
      <c r="G41" s="287" t="e">
        <f>VLOOKUP($E$12,#REF!,27,FALSE)</f>
        <v>#REF!</v>
      </c>
      <c r="H41" s="340" t="e">
        <f>IF(G33&gt;90,"4.00",IF(G33&gt;80,"3.50",IF(G33&gt;69,"3.00",IF(G33&gt;64,"2.50",IF(G33&gt;59,"2.00",IF(G33&gt;54,"1.50",IF(G33&gt;49,"1.00","0.00")))))))</f>
        <v>#REF!</v>
      </c>
      <c r="I41" s="194" t="e">
        <f>IF(G33&gt;=90,"A",IF(G33&gt;=80,"B+",IF(G33&gt;=70,"B",IF(G33&gt;=65,"C+",IF(G33&gt;=60,"C",IF(G33&gt;=55,"D+",IF(G33&gt;=50,"D",IF(G33&gt;=0,"F"))))))))</f>
        <v>#REF!</v>
      </c>
      <c r="J41" s="329" t="e">
        <f>(H33*F33+H34*F34+H35*F35+H36*F36+H37*F37+H38*F38+H40*F40+H41*F41+H42*F42)/(F33+F34+F35+F36+F37+F38+F40+F41+F42)</f>
        <v>#REF!</v>
      </c>
      <c r="K41" s="264" t="e">
        <f>(J33+J43)/2</f>
        <v>#REF!</v>
      </c>
      <c r="L41" s="181"/>
      <c r="M41" s="161"/>
      <c r="N41" s="161"/>
      <c r="O41" s="20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</row>
    <row r="42" ht="18" customHeight="1" spans="1:42" s="202" customFormat="1" x14ac:dyDescent="0.25">
      <c r="A42" s="265" t="s">
        <v>586</v>
      </c>
      <c r="B42" s="330" t="s">
        <v>587</v>
      </c>
      <c r="C42" s="204">
        <v>2</v>
      </c>
      <c r="D42" s="331" t="s">
        <v>588</v>
      </c>
      <c r="E42" s="332" t="s">
        <v>588</v>
      </c>
      <c r="F42" s="205">
        <v>2</v>
      </c>
      <c r="G42" s="282" t="e">
        <f>VLOOKUP($E$12,#REF!,28,FALSE)</f>
        <v>#REF!</v>
      </c>
      <c r="H42" s="208" t="e">
        <f>IF(G34&gt;90,"4.00",IF(G34&gt;80,"3.50",IF(G34&gt;69,"3.00",IF(G34&gt;64,"2.50",IF(G34&gt;59,"2.00",IF(G34&gt;54,"1.50",IF(G34&gt;49,"1.00","0.00")))))))</f>
        <v>#REF!</v>
      </c>
      <c r="I42" s="204" t="e">
        <f>IF(G34&gt;=90,"A",IF(G34&gt;=80,"B+",IF(G34&gt;=70,"B",IF(G34&gt;=65,"C+",IF(G34&gt;=60,"C",IF(G34&gt;=55,"D+",IF(G34&gt;=50,"D",IF(G34&gt;=0,"F"))))))))</f>
        <v>#REF!</v>
      </c>
      <c r="J42" s="333" t="e">
        <f>(H33*F33+H34*F34+H35*F35+H36*F36+H37*F37+H38*F38+H40*F40+H41*F41+H42*F42)/(F33+F34+F35+F36+F37+F38+F40+F41+F42)</f>
        <v>#REF!</v>
      </c>
      <c r="K42" s="266" t="e">
        <f>(J33+J43)/2</f>
        <v>#REF!</v>
      </c>
      <c r="L42" s="181"/>
      <c r="M42" s="161"/>
      <c r="N42" s="161"/>
      <c r="O42" s="20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161"/>
      <c r="AM42" s="161"/>
      <c r="AN42" s="161"/>
      <c r="AO42" s="161"/>
      <c r="AP42" s="161"/>
    </row>
    <row r="43" ht="18" customHeight="1" spans="1:42" s="202" customFormat="1" x14ac:dyDescent="0.25">
      <c r="A43" s="265" t="s">
        <v>586</v>
      </c>
      <c r="B43" s="330" t="s">
        <v>587</v>
      </c>
      <c r="C43" s="204">
        <v>3</v>
      </c>
      <c r="D43" s="334" t="s">
        <v>567</v>
      </c>
      <c r="E43" s="335" t="s">
        <v>567</v>
      </c>
      <c r="F43" s="205">
        <v>1</v>
      </c>
      <c r="G43" s="282" t="e">
        <f>VLOOKUP($E$12,#REF!,29,FALSE)</f>
        <v>#REF!</v>
      </c>
      <c r="H43" s="208" t="e">
        <f>IF(G35&gt;90,"4.00",IF(G35&gt;80,"3.50",IF(G35&gt;69,"3.00",IF(G35&gt;64,"2.50",IF(G35&gt;59,"2.00",IF(G35&gt;54,"1.50",IF(G35&gt;49,"1.00","0.00")))))))</f>
        <v>#REF!</v>
      </c>
      <c r="I43" s="204" t="e">
        <f>IF(G35&gt;=90,"A",IF(G35&gt;=80,"B+",IF(G35&gt;=70,"B",IF(G35&gt;=65,"C+",IF(G35&gt;=60,"C",IF(G35&gt;=55,"D+",IF(G35&gt;=50,"D",IF(G35&gt;=0,"F"))))))))</f>
        <v>#REF!</v>
      </c>
      <c r="J43" s="333" t="e">
        <f>(H33*F33+H34*F34+H35*F35+H36*F36+H37*F37+H38*F38+H40*F40+H41*F41+H42*F42)/(F33+F34+F35+F36+F37+F38+F40+F41+F42)</f>
        <v>#REF!</v>
      </c>
      <c r="K43" s="266" t="e">
        <f>(J33+J43)/2</f>
        <v>#REF!</v>
      </c>
      <c r="L43" s="181"/>
      <c r="M43" s="161"/>
      <c r="N43" s="161"/>
      <c r="O43" s="20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161"/>
      <c r="AM43" s="161"/>
      <c r="AN43" s="161"/>
      <c r="AO43" s="161"/>
      <c r="AP43" s="161"/>
    </row>
    <row r="44" ht="18" customHeight="1" spans="1:42" s="202" customFormat="1" x14ac:dyDescent="0.25">
      <c r="A44" s="265" t="s">
        <v>586</v>
      </c>
      <c r="B44" s="330" t="s">
        <v>587</v>
      </c>
      <c r="C44" s="204">
        <v>4</v>
      </c>
      <c r="D44" s="334" t="s">
        <v>589</v>
      </c>
      <c r="E44" s="335" t="s">
        <v>589</v>
      </c>
      <c r="F44" s="205">
        <v>2</v>
      </c>
      <c r="G44" s="282" t="e">
        <f>VLOOKUP($E$12,#REF!,30,FALSE)</f>
        <v>#REF!</v>
      </c>
      <c r="H44" s="208" t="e">
        <f>IF(G36&gt;90,"4.00",IF(G36&gt;80,"3.50",IF(G36&gt;69,"3.00",IF(G36&gt;64,"2.50",IF(G36&gt;59,"2.00",IF(G36&gt;54,"1.50",IF(G36&gt;49,"1.00","0.00")))))))</f>
        <v>#REF!</v>
      </c>
      <c r="I44" s="204" t="e">
        <f>IF(G36&gt;=90,"A",IF(G36&gt;=80,"B+",IF(G36&gt;=70,"B",IF(G36&gt;=65,"C+",IF(G36&gt;=60,"C",IF(G36&gt;=55,"D+",IF(G36&gt;=50,"D",IF(G36&gt;=0,"F"))))))))</f>
        <v>#REF!</v>
      </c>
      <c r="J44" s="333" t="e">
        <f>(H33*F33+H34*F34+H35*F35+H36*F36+H37*F37+H38*F38+H40*F40+H41*F41+H42*F42)/(F33+F34+F35+F36+F37+F38+F40+F41+F42)</f>
        <v>#REF!</v>
      </c>
      <c r="K44" s="266" t="e">
        <f>(J33+J43)/2</f>
        <v>#REF!</v>
      </c>
      <c r="L44" s="181"/>
      <c r="M44" s="161"/>
      <c r="N44" s="161"/>
      <c r="O44" s="20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</row>
    <row r="45" ht="18" customHeight="1" spans="1:42" s="202" customFormat="1" x14ac:dyDescent="0.25">
      <c r="A45" s="265" t="s">
        <v>586</v>
      </c>
      <c r="B45" s="330" t="s">
        <v>587</v>
      </c>
      <c r="C45" s="204">
        <v>5</v>
      </c>
      <c r="D45" s="334" t="s">
        <v>590</v>
      </c>
      <c r="E45" s="335" t="s">
        <v>590</v>
      </c>
      <c r="F45" s="205">
        <v>1</v>
      </c>
      <c r="G45" s="282" t="e">
        <f>VLOOKUP($E$12,#REF!,31,FALSE)</f>
        <v>#REF!</v>
      </c>
      <c r="H45" s="208" t="e">
        <f>IF(G37&gt;90,"4.00",IF(G37&gt;80,"3.50",IF(G37&gt;69,"3.00",IF(G37&gt;64,"2.50",IF(G37&gt;59,"2.00",IF(G37&gt;54,"1.50",IF(G37&gt;49,"1.00","0.00")))))))</f>
        <v>#REF!</v>
      </c>
      <c r="I45" s="204" t="e">
        <f>IF(G37&gt;=90,"A",IF(G37&gt;=80,"B+",IF(G37&gt;=70,"B",IF(G37&gt;=65,"C+",IF(G37&gt;=60,"C",IF(G37&gt;=55,"D+",IF(G37&gt;=50,"D",IF(G37&gt;=0,"F"))))))))</f>
        <v>#REF!</v>
      </c>
      <c r="J45" s="333" t="e">
        <f>(H33*F33+H34*F34+H35*F35+H36*F36+H37*F37+H38*F38+H40*F40+H41*F41+H42*F42)/(F33+F34+F35+F36+F37+F38+F40+F41+F42)</f>
        <v>#REF!</v>
      </c>
      <c r="K45" s="266" t="e">
        <f>(J33+J43)/2</f>
        <v>#REF!</v>
      </c>
      <c r="L45" s="181"/>
      <c r="M45" s="161"/>
      <c r="N45" s="161"/>
      <c r="O45" s="20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</row>
    <row r="46" ht="18" customHeight="1" spans="1:42" s="202" customFormat="1" x14ac:dyDescent="0.25">
      <c r="A46" s="265" t="s">
        <v>586</v>
      </c>
      <c r="B46" s="330" t="s">
        <v>587</v>
      </c>
      <c r="C46" s="204">
        <v>6</v>
      </c>
      <c r="D46" s="334" t="s">
        <v>568</v>
      </c>
      <c r="E46" s="335" t="s">
        <v>568</v>
      </c>
      <c r="F46" s="205">
        <v>1</v>
      </c>
      <c r="G46" s="282" t="e">
        <f>VLOOKUP($E$12,#REF!,32,FALSE)</f>
        <v>#REF!</v>
      </c>
      <c r="H46" s="208" t="e">
        <f>IF(G38&gt;90,"4.00",IF(G38&gt;80,"3.50",IF(G38&gt;69,"3.00",IF(G38&gt;64,"2.50",IF(G38&gt;59,"2.00",IF(G38&gt;54,"1.50",IF(G38&gt;49,"1.00","0.00")))))))</f>
        <v>#REF!</v>
      </c>
      <c r="I46" s="204" t="e">
        <f>IF(G38&gt;=90,"A",IF(G38&gt;=80,"B+",IF(G38&gt;=70,"B",IF(G38&gt;=65,"C+",IF(G38&gt;=60,"C",IF(G38&gt;=55,"D+",IF(G38&gt;=50,"D",IF(G38&gt;=0,"F"))))))))</f>
        <v>#REF!</v>
      </c>
      <c r="J46" s="333" t="e">
        <f>(H33*F33+H34*F34+H35*F35+H36*F36+H37*F37+H38*F38+H40*F40+H41*F41+H42*F42)/(F33+F34+F35+F36+F37+F38+F40+F41+F42)</f>
        <v>#REF!</v>
      </c>
      <c r="K46" s="266" t="e">
        <f>(J33+J43)/2</f>
        <v>#REF!</v>
      </c>
      <c r="L46" s="181"/>
      <c r="M46" s="161"/>
      <c r="N46" s="161"/>
      <c r="O46" s="20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</row>
    <row r="47" ht="18" customHeight="1" spans="1:42" s="202" customFormat="1" x14ac:dyDescent="0.25">
      <c r="A47" s="265" t="s">
        <v>586</v>
      </c>
      <c r="B47" s="330" t="s">
        <v>587</v>
      </c>
      <c r="C47" s="204">
        <v>7</v>
      </c>
      <c r="D47" s="331" t="s">
        <v>591</v>
      </c>
      <c r="E47" s="332" t="s">
        <v>591</v>
      </c>
      <c r="F47" s="204">
        <v>2</v>
      </c>
      <c r="G47" s="282" t="e">
        <f>VLOOKUP($E$12,#REF!,33,FALSE)</f>
        <v>#REF!</v>
      </c>
      <c r="H47" s="208" t="e">
        <f>IF(G39&gt;90,"4.00",IF(G39&gt;80,"3.50",IF(G39&gt;69,"3.00",IF(G39&gt;64,"2.50",IF(G39&gt;59,"2.00",IF(G39&gt;54,"1.50",IF(G39&gt;49,"1.00","0.00")))))))</f>
        <v>#REF!</v>
      </c>
      <c r="I47" s="204" t="e">
        <f>IF(G39&gt;=90,"A",IF(G39&gt;=80,"B+",IF(G39&gt;=70,"B",IF(G39&gt;=65,"C+",IF(G39&gt;=60,"C",IF(G39&gt;=55,"D+",IF(G39&gt;=50,"D",IF(G39&gt;=0,"F"))))))))</f>
        <v>#REF!</v>
      </c>
      <c r="J47" s="336" t="e">
        <f>(H33*F33+H34*F34+H35*F35+H36*F36+H37*F37+H38*F38+H40*F40+H41*F41+H42*F42)/(F33+F34+F35+F36+F37+F38+F40+F41+F42)</f>
        <v>#REF!</v>
      </c>
      <c r="K47" s="266" t="e">
        <f>(J33+J43)/2</f>
        <v>#REF!</v>
      </c>
      <c r="L47" s="181"/>
      <c r="M47" s="161"/>
      <c r="N47" s="344"/>
      <c r="O47" s="345"/>
      <c r="P47" s="345"/>
      <c r="Q47" s="344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</row>
    <row r="48" ht="18" customHeight="1" spans="1:42" s="202" customFormat="1" x14ac:dyDescent="0.25">
      <c r="A48" s="265" t="s">
        <v>586</v>
      </c>
      <c r="B48" s="330" t="s">
        <v>587</v>
      </c>
      <c r="C48" s="204">
        <v>8</v>
      </c>
      <c r="D48" s="334" t="s">
        <v>483</v>
      </c>
      <c r="E48" s="335" t="s">
        <v>483</v>
      </c>
      <c r="F48" s="205">
        <v>2</v>
      </c>
      <c r="G48" s="282" t="e">
        <f>VLOOKUP($E$12,#REF!,34,FALSE)</f>
        <v>#REF!</v>
      </c>
      <c r="H48" s="208" t="e">
        <f>IF(G40&gt;90,"4.00",IF(G40&gt;80,"3.50",IF(G40&gt;69,"3.00",IF(G40&gt;64,"2.50",IF(G40&gt;59,"2.00",IF(G40&gt;54,"1.50",IF(G40&gt;49,"1.00","0.00")))))))</f>
        <v>#REF!</v>
      </c>
      <c r="I48" s="204" t="e">
        <f>IF(G40&gt;=90,"A",IF(G40&gt;=80,"B+",IF(G40&gt;=70,"B",IF(G40&gt;=65,"C+",IF(G40&gt;=60,"C",IF(G40&gt;=55,"D+",IF(G40&gt;=50,"D",IF(G40&gt;=0,"F"))))))))</f>
        <v>#REF!</v>
      </c>
      <c r="J48" s="336" t="e">
        <f>(H33*F33+H34*F34+H35*F35+H36*F36+H37*F37+H38*F38+H40*F40+H41*F41+H42*F42)/(F33+F34+F35+F36+F37+F38+F40+F41+F42)</f>
        <v>#REF!</v>
      </c>
      <c r="K48" s="266" t="e">
        <f>(J33+J43)/2</f>
        <v>#REF!</v>
      </c>
      <c r="L48" s="181"/>
      <c r="M48" s="230"/>
      <c r="N48" s="345"/>
      <c r="O48" s="345"/>
      <c r="P48" s="18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</row>
    <row r="49" ht="18" customHeight="1" spans="1:42" s="202" customFormat="1" x14ac:dyDescent="0.25">
      <c r="A49" s="265" t="s">
        <v>586</v>
      </c>
      <c r="B49" s="330" t="s">
        <v>587</v>
      </c>
      <c r="C49" s="204">
        <v>9</v>
      </c>
      <c r="D49" s="334" t="s">
        <v>592</v>
      </c>
      <c r="E49" s="335" t="s">
        <v>592</v>
      </c>
      <c r="F49" s="205">
        <v>2</v>
      </c>
      <c r="G49" s="282" t="e">
        <f>VLOOKUP($E$12,#REF!,35,FALSE)</f>
        <v>#REF!</v>
      </c>
      <c r="H49" s="208" t="e">
        <f>IF(G41&gt;90,"4.00",IF(G41&gt;80,"3.50",IF(G41&gt;69,"3.00",IF(G41&gt;64,"2.50",IF(G41&gt;59,"2.00",IF(G41&gt;54,"1.50",IF(G41&gt;49,"1.00","0.00")))))))</f>
        <v>#REF!</v>
      </c>
      <c r="I49" s="204" t="e">
        <f>IF(G41&gt;=90,"A",IF(G41&gt;=80,"B+",IF(G41&gt;=70,"B",IF(G41&gt;=65,"C+",IF(G41&gt;=60,"C",IF(G41&gt;=55,"D+",IF(G41&gt;=50,"D",IF(G41&gt;=0,"F"))))))))</f>
        <v>#REF!</v>
      </c>
      <c r="J49" s="336" t="e">
        <f>(H33*F33+H34*F34+H35*F35+H36*F36+H37*F37+H38*F38+H40*F40+H41*F41+H42*F42)/(F33+F34+F35+F36+F37+F38+F40+F41+F42)</f>
        <v>#REF!</v>
      </c>
      <c r="K49" s="266" t="e">
        <f>(J33+J43)/2</f>
        <v>#REF!</v>
      </c>
      <c r="L49" s="181"/>
      <c r="M49" s="161"/>
      <c r="N49" s="161"/>
      <c r="O49" s="20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</row>
    <row r="50" ht="18" customHeight="1" spans="1:42" s="202" customFormat="1" x14ac:dyDescent="0.25">
      <c r="A50" s="265" t="s">
        <v>586</v>
      </c>
      <c r="B50" s="346" t="s">
        <v>587</v>
      </c>
      <c r="C50" s="284">
        <v>10</v>
      </c>
      <c r="D50" s="347" t="s">
        <v>593</v>
      </c>
      <c r="E50" s="348" t="s">
        <v>593</v>
      </c>
      <c r="F50" s="284">
        <v>3</v>
      </c>
      <c r="G50" s="285" t="e">
        <f>VLOOKUP($E$12,#REF!,36,FALSE)</f>
        <v>#REF!</v>
      </c>
      <c r="H50" s="285" t="e">
        <f>IF(G42&gt;90,"4.00",IF(G42&gt;80,"3.50",IF(G42&gt;69,"3.00",IF(G42&gt;64,"2.50",IF(G42&gt;59,"2.00",IF(G42&gt;54,"1.50",IF(G42&gt;49,"1.00","0.00")))))))</f>
        <v>#REF!</v>
      </c>
      <c r="I50" s="284" t="e">
        <f>IF(G42&gt;=90,"A",IF(G42&gt;=80,"B+",IF(G42&gt;=70,"B",IF(G42&gt;=65,"C+",IF(G42&gt;=60,"C",IF(G42&gt;=55,"D+",IF(G42&gt;=50,"D",IF(G42&gt;=0,"F"))))))))</f>
        <v>#REF!</v>
      </c>
      <c r="J50" s="339" t="e">
        <f>(H33*F33+H34*F34+H35*F35+H36*F36+H37*F37+H38*F38+H40*F40+H41*F41+H42*F42)/(F33+F34+F35+F36+F37+F38+F40+F41+F42)</f>
        <v>#REF!</v>
      </c>
      <c r="K50" s="266" t="e">
        <f>(J33+J43)/2</f>
        <v>#REF!</v>
      </c>
      <c r="L50" s="181"/>
      <c r="M50" s="161"/>
      <c r="N50" s="161"/>
      <c r="O50" s="20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</row>
    <row r="51" ht="17.25" customHeight="1" spans="1:42" s="192" customFormat="1" x14ac:dyDescent="0.25">
      <c r="A51" s="265" t="s">
        <v>586</v>
      </c>
      <c r="B51" s="261" t="s">
        <v>594</v>
      </c>
      <c r="C51" s="194">
        <v>1</v>
      </c>
      <c r="D51" s="327" t="s">
        <v>575</v>
      </c>
      <c r="E51" s="328" t="s">
        <v>575</v>
      </c>
      <c r="F51" s="194">
        <v>3</v>
      </c>
      <c r="G51" s="287" t="e">
        <f>VLOOKUP($E$12,#REF!,37,FALSE)</f>
        <v>#REF!</v>
      </c>
      <c r="H51" s="340" t="e">
        <f>IF(G43&gt;90,"4.00",IF(G43&gt;80,"3.50",IF(G43&gt;69,"3.00",IF(G43&gt;64,"2.50",IF(G43&gt;59,"2.00",IF(G43&gt;54,"1.50",IF(G43&gt;49,"1.00","0.00")))))))</f>
        <v>#REF!</v>
      </c>
      <c r="I51" s="194" t="e">
        <f>IF(G43&gt;=90,"A",IF(G43&gt;=80,"B+",IF(G43&gt;=70,"B",IF(G43&gt;=65,"C+",IF(G43&gt;=60,"C",IF(G43&gt;=55,"D+",IF(G43&gt;=50,"D",IF(G43&gt;=0,"F"))))))))</f>
        <v>#REF!</v>
      </c>
      <c r="J51" s="341" t="e">
        <f>(H43*F43+H44*F44+H45*F45+H46*F46+H47*F47+H48*F48+H49*F49+H50*F50+H51*F51)/(F43+F44+F45+F46+F47+F48+F49+F50+F51)</f>
        <v>#REF!</v>
      </c>
      <c r="K51" s="266" t="e">
        <f>(J33+J43)/2</f>
        <v>#REF!</v>
      </c>
      <c r="L51" s="181"/>
      <c r="M51" s="161"/>
      <c r="N51" s="161"/>
      <c r="O51" s="20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</row>
    <row r="52" ht="17.25" customHeight="1" spans="1:42" s="202" customFormat="1" x14ac:dyDescent="0.25">
      <c r="A52" s="265" t="s">
        <v>586</v>
      </c>
      <c r="B52" s="265" t="s">
        <v>594</v>
      </c>
      <c r="C52" s="204">
        <v>2</v>
      </c>
      <c r="D52" s="331" t="s">
        <v>595</v>
      </c>
      <c r="E52" s="332" t="s">
        <v>595</v>
      </c>
      <c r="F52" s="204">
        <v>2</v>
      </c>
      <c r="G52" s="282" t="e">
        <f>VLOOKUP($E$12,#REF!,38,FALSE)</f>
        <v>#REF!</v>
      </c>
      <c r="H52" s="208" t="e">
        <f>IF(G44&gt;90,"4.00",IF(G44&gt;80,"3.50",IF(G44&gt;69,"3.00",IF(G44&gt;64,"2.50",IF(G44&gt;59,"2.00",IF(G44&gt;54,"1.50",IF(G44&gt;49,"1.00","0.00")))))))</f>
        <v>#REF!</v>
      </c>
      <c r="I52" s="204" t="e">
        <f>IF(G44&gt;=90,"A",IF(G44&gt;=80,"B+",IF(G44&gt;=70,"B",IF(G44&gt;=65,"C+",IF(G44&gt;=60,"C",IF(G44&gt;=55,"D+",IF(G44&gt;=50,"D",IF(G44&gt;=0,"F"))))))))</f>
        <v>#REF!</v>
      </c>
      <c r="J52" s="333" t="e">
        <f>(H43*F43+H44*F44+H45*F45+H46*F46+H47*F47+H48*F48+H49*F49+H50*F50+H51*F51)/(F43+F44+F45+F46+F47+F48+F49+F50+F51)</f>
        <v>#REF!</v>
      </c>
      <c r="K52" s="266" t="e">
        <f>(J33+J43)/2</f>
        <v>#REF!</v>
      </c>
      <c r="L52" s="181"/>
      <c r="M52" s="161"/>
      <c r="N52" s="161"/>
      <c r="O52" s="20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</row>
    <row r="53" ht="17.25" customHeight="1" spans="1:42" s="202" customFormat="1" x14ac:dyDescent="0.25">
      <c r="A53" s="265" t="s">
        <v>586</v>
      </c>
      <c r="B53" s="265" t="s">
        <v>594</v>
      </c>
      <c r="C53" s="204">
        <v>3</v>
      </c>
      <c r="D53" s="334" t="s">
        <v>577</v>
      </c>
      <c r="E53" s="335" t="s">
        <v>577</v>
      </c>
      <c r="F53" s="204">
        <v>1</v>
      </c>
      <c r="G53" s="282" t="e">
        <f>VLOOKUP($E$12,#REF!,39,FALSE)</f>
        <v>#REF!</v>
      </c>
      <c r="H53" s="208" t="e">
        <f>IF(G45&gt;90,"4.00",IF(G45&gt;80,"3.50",IF(G45&gt;69,"3.00",IF(G45&gt;64,"2.50",IF(G45&gt;59,"2.00",IF(G45&gt;54,"1.50",IF(G45&gt;49,"1.00","0.00")))))))</f>
        <v>#REF!</v>
      </c>
      <c r="I53" s="204" t="e">
        <f>IF(G45&gt;=90,"A",IF(G45&gt;=80,"B+",IF(G45&gt;=70,"B",IF(G45&gt;=65,"C+",IF(G45&gt;=60,"C",IF(G45&gt;=55,"D+",IF(G45&gt;=50,"D",IF(G45&gt;=0,"F"))))))))</f>
        <v>#REF!</v>
      </c>
      <c r="J53" s="333" t="e">
        <f>(H43*F43+H44*F44+H45*F45+H46*F46+H47*F47+H48*F48+H49*F49+H50*F50+H51*F51)/(F43+F44+F45+F46+F47+F48+F49+F50+F51)</f>
        <v>#REF!</v>
      </c>
      <c r="K53" s="266" t="e">
        <f>(J33+J43)/2</f>
        <v>#REF!</v>
      </c>
      <c r="L53" s="181"/>
      <c r="M53" s="161"/>
      <c r="N53" s="161"/>
      <c r="O53" s="20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</row>
    <row r="54" ht="17.25" customHeight="1" spans="1:42" s="202" customFormat="1" x14ac:dyDescent="0.25">
      <c r="A54" s="265" t="s">
        <v>586</v>
      </c>
      <c r="B54" s="265" t="s">
        <v>594</v>
      </c>
      <c r="C54" s="204">
        <v>4</v>
      </c>
      <c r="D54" s="334" t="s">
        <v>596</v>
      </c>
      <c r="E54" s="335" t="s">
        <v>596</v>
      </c>
      <c r="F54" s="204">
        <v>2</v>
      </c>
      <c r="G54" s="282" t="e">
        <f>VLOOKUP($E$12,#REF!,40,FALSE)</f>
        <v>#REF!</v>
      </c>
      <c r="H54" s="208" t="e">
        <f>IF(G46&gt;90,"4.00",IF(G46&gt;80,"3.50",IF(G46&gt;69,"3.00",IF(G46&gt;64,"2.50",IF(G46&gt;59,"2.00",IF(G46&gt;54,"1.50",IF(G46&gt;49,"1.00","0.00")))))))</f>
        <v>#REF!</v>
      </c>
      <c r="I54" s="204" t="e">
        <f>IF(G46&gt;=90,"A",IF(G46&gt;=80,"B+",IF(G46&gt;=70,"B",IF(G46&gt;=65,"C+",IF(G46&gt;=60,"C",IF(G46&gt;=55,"D+",IF(G46&gt;=50,"D",IF(G46&gt;=0,"F"))))))))</f>
        <v>#REF!</v>
      </c>
      <c r="J54" s="333" t="e">
        <f>(H43*F43+H44*F44+H45*F45+H46*F46+H47*F47+H48*F48+H49*F49+H50*F50+H51*F51)/(F43+F44+F45+F46+F47+F48+F49+F50+F51)</f>
        <v>#REF!</v>
      </c>
      <c r="K54" s="266" t="e">
        <f>(J33+J43)/2</f>
        <v>#REF!</v>
      </c>
      <c r="L54" s="181"/>
      <c r="M54" s="161"/>
      <c r="N54" s="161"/>
      <c r="O54" s="20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</row>
    <row r="55" ht="17.25" customHeight="1" spans="1:42" s="202" customFormat="1" x14ac:dyDescent="0.25">
      <c r="A55" s="265" t="s">
        <v>586</v>
      </c>
      <c r="B55" s="265" t="s">
        <v>594</v>
      </c>
      <c r="C55" s="204">
        <v>5</v>
      </c>
      <c r="D55" s="334" t="s">
        <v>597</v>
      </c>
      <c r="E55" s="335" t="s">
        <v>597</v>
      </c>
      <c r="F55" s="204">
        <v>1</v>
      </c>
      <c r="G55" s="282" t="e">
        <f>VLOOKUP($E$12,#REF!,41,FALSE)</f>
        <v>#REF!</v>
      </c>
      <c r="H55" s="208" t="e">
        <f>IF(G47&gt;90,"4.00",IF(G47&gt;80,"3.50",IF(G47&gt;69,"3.00",IF(G47&gt;64,"2.50",IF(G47&gt;59,"2.00",IF(G47&gt;54,"1.50",IF(G47&gt;49,"1.00","0.00")))))))</f>
        <v>#REF!</v>
      </c>
      <c r="I55" s="204" t="e">
        <f>IF(G47&gt;=90,"A",IF(G47&gt;=80,"B+",IF(G47&gt;=70,"B",IF(G47&gt;=65,"C+",IF(G47&gt;=60,"C",IF(G47&gt;=55,"D+",IF(G47&gt;=50,"D",IF(G47&gt;=0,"F"))))))))</f>
        <v>#REF!</v>
      </c>
      <c r="J55" s="333" t="e">
        <f>(H43*F43+H44*F44+H45*F45+H46*F46+H47*F47+H48*F48+H49*F49+H50*F50+H51*F51)/(F43+F44+F45+F46+F47+F48+F49+F50+F51)</f>
        <v>#REF!</v>
      </c>
      <c r="K55" s="266" t="e">
        <f>(J33+J43)/2</f>
        <v>#REF!</v>
      </c>
      <c r="L55" s="181"/>
      <c r="M55" s="161"/>
      <c r="N55" s="344"/>
      <c r="O55" s="345"/>
      <c r="P55" s="345"/>
      <c r="Q55" s="344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</row>
    <row r="56" ht="17.25" customHeight="1" spans="1:42" s="202" customFormat="1" x14ac:dyDescent="0.25">
      <c r="A56" s="265" t="s">
        <v>586</v>
      </c>
      <c r="B56" s="265" t="s">
        <v>594</v>
      </c>
      <c r="C56" s="204">
        <v>6</v>
      </c>
      <c r="D56" s="334" t="s">
        <v>578</v>
      </c>
      <c r="E56" s="335" t="s">
        <v>578</v>
      </c>
      <c r="F56" s="204">
        <v>1</v>
      </c>
      <c r="G56" s="282" t="e">
        <f>VLOOKUP($E$12,#REF!,42,FALSE)</f>
        <v>#REF!</v>
      </c>
      <c r="H56" s="208" t="e">
        <f>IF(G48&gt;90,"4.00",IF(G48&gt;80,"3.50",IF(G48&gt;69,"3.00",IF(G48&gt;64,"2.50",IF(G48&gt;59,"2.00",IF(G48&gt;54,"1.50",IF(G48&gt;49,"1.00","0.00")))))))</f>
        <v>#REF!</v>
      </c>
      <c r="I56" s="204" t="e">
        <f>IF(G48&gt;=90,"A",IF(G48&gt;=80,"B+",IF(G48&gt;=70,"B",IF(G48&gt;=65,"C+",IF(G48&gt;=60,"C",IF(G48&gt;=55,"D+",IF(G48&gt;=50,"D",IF(G48&gt;=0,"F"))))))))</f>
        <v>#REF!</v>
      </c>
      <c r="J56" s="333" t="e">
        <f>(H43*F43+H44*F44+H45*F45+H46*F46+H47*F47+H48*F48+H49*F49+H50*F50+H51*F51)/(F43+F44+F45+F46+F47+F48+F49+F50+F51)</f>
        <v>#REF!</v>
      </c>
      <c r="K56" s="266" t="e">
        <f>(J33+J43)/2</f>
        <v>#REF!</v>
      </c>
      <c r="L56" s="181"/>
      <c r="M56" s="161"/>
      <c r="N56" s="161"/>
      <c r="O56" s="20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</row>
    <row r="57" ht="17.25" customHeight="1" spans="1:42" s="202" customFormat="1" x14ac:dyDescent="0.25">
      <c r="A57" s="265" t="s">
        <v>586</v>
      </c>
      <c r="B57" s="265" t="s">
        <v>594</v>
      </c>
      <c r="C57" s="204">
        <v>7</v>
      </c>
      <c r="D57" s="334" t="s">
        <v>571</v>
      </c>
      <c r="E57" s="335" t="s">
        <v>571</v>
      </c>
      <c r="F57" s="205">
        <v>2</v>
      </c>
      <c r="G57" s="282" t="e">
        <f>VLOOKUP($E$12,#REF!,43,FALSE)</f>
        <v>#REF!</v>
      </c>
      <c r="H57" s="208" t="e">
        <f>IF(G49&gt;90,"4.00",IF(G49&gt;80,"3.50",IF(G49&gt;69,"3.00",IF(G49&gt;64,"2.50",IF(G49&gt;59,"2.00",IF(G49&gt;54,"1.50",IF(G49&gt;49,"1.00","0.00")))))))</f>
        <v>#REF!</v>
      </c>
      <c r="I57" s="204" t="e">
        <f>IF(G49&gt;=90,"A",IF(G49&gt;=80,"B+",IF(G49&gt;=70,"B",IF(G49&gt;=65,"C+",IF(G49&gt;=60,"C",IF(G49&gt;=55,"D+",IF(G49&gt;=50,"D",IF(G49&gt;=0,"F"))))))))</f>
        <v>#REF!</v>
      </c>
      <c r="J57" s="336" t="e">
        <f>(H43*F43+H44*F44+H45*F45+H46*F46+H47*F47+H48*F48+H49*F49+H50*F50+H51*F51)/(F43+F44+F45+F46+F47+F48+F49+F50+F51)</f>
        <v>#REF!</v>
      </c>
      <c r="K57" s="283" t="e">
        <f>(J33+J43)/2</f>
        <v>#REF!</v>
      </c>
      <c r="L57" s="181"/>
      <c r="M57" s="344"/>
      <c r="N57" s="161"/>
      <c r="O57" s="344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</row>
    <row r="58" ht="17.25" customHeight="1" spans="1:42" s="202" customFormat="1" x14ac:dyDescent="0.25">
      <c r="A58" s="265" t="s">
        <v>586</v>
      </c>
      <c r="B58" s="265" t="s">
        <v>594</v>
      </c>
      <c r="C58" s="204">
        <v>8</v>
      </c>
      <c r="D58" s="334" t="s">
        <v>572</v>
      </c>
      <c r="E58" s="335" t="s">
        <v>572</v>
      </c>
      <c r="F58" s="204">
        <v>2</v>
      </c>
      <c r="G58" s="282" t="e">
        <f>VLOOKUP($E$12,#REF!,44,FALSE)</f>
        <v>#REF!</v>
      </c>
      <c r="H58" s="208" t="e">
        <f>IF(G50&gt;90,"4.00",IF(G50&gt;80,"3.50",IF(G50&gt;69,"3.00",IF(G50&gt;64,"2.50",IF(G50&gt;59,"2.00",IF(G50&gt;54,"1.50",IF(G50&gt;49,"1.00","0.00")))))))</f>
        <v>#REF!</v>
      </c>
      <c r="I58" s="204" t="e">
        <f>IF(G50&gt;=90,"A",IF(G50&gt;=80,"B+",IF(G50&gt;=70,"B",IF(G50&gt;=65,"C+",IF(G50&gt;=60,"C",IF(G50&gt;=55,"D+",IF(G50&gt;=50,"D",IF(G50&gt;=0,"F"))))))))</f>
        <v>#REF!</v>
      </c>
      <c r="J58" s="336" t="e">
        <f>(H43*F43+H44*F44+H45*F45+H46*F46+H47*F47+H48*F48+H49*F49+H50*F50+H51*F51)/(F43+F44+F45+F46+F47+F48+F49+F50+F51)</f>
        <v>#REF!</v>
      </c>
      <c r="K58" s="283" t="e">
        <f>(J33+J43)/2</f>
        <v>#REF!</v>
      </c>
      <c r="L58" s="181"/>
      <c r="M58" s="161"/>
      <c r="N58" s="161"/>
      <c r="O58" s="20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</row>
    <row r="59" ht="17.25" customHeight="1" spans="1:42" s="202" customFormat="1" x14ac:dyDescent="0.25">
      <c r="A59" s="268" t="s">
        <v>586</v>
      </c>
      <c r="B59" s="268" t="s">
        <v>594</v>
      </c>
      <c r="C59" s="284">
        <v>9</v>
      </c>
      <c r="D59" s="347" t="s">
        <v>598</v>
      </c>
      <c r="E59" s="348" t="s">
        <v>598</v>
      </c>
      <c r="F59" s="284">
        <v>2</v>
      </c>
      <c r="G59" s="285" t="e">
        <f>VLOOKUP($E$12,#REF!,45,FALSE)</f>
        <v>#REF!</v>
      </c>
      <c r="H59" s="285" t="e">
        <f>IF(G51&gt;90,"4.00",IF(G51&gt;80,"3.50",IF(G51&gt;69,"3.00",IF(G51&gt;64,"2.50",IF(G51&gt;59,"2.00",IF(G51&gt;54,"1.50",IF(G51&gt;49,"1.00","0.00")))))))</f>
        <v>#REF!</v>
      </c>
      <c r="I59" s="284" t="e">
        <f>IF(G51&gt;=90,"A",IF(G51&gt;=80,"B+",IF(G51&gt;=70,"B",IF(G51&gt;=65,"C+",IF(G51&gt;=60,"C",IF(G51&gt;=55,"D+",IF(G51&gt;=50,"D",IF(G51&gt;=0,"F"))))))))</f>
        <v>#REF!</v>
      </c>
      <c r="J59" s="339" t="e">
        <f>(H43*F43+H44*F44+H45*F45+H46*F46+H47*F47+H48*F48+H49*F49+H50*F50+H51*F51)/(F43+F44+F45+F46+F47+F48+F49+F50+F51)</f>
        <v>#REF!</v>
      </c>
      <c r="K59" s="286" t="e">
        <f>(J33+J43)/2</f>
        <v>#REF!</v>
      </c>
      <c r="L59" s="181"/>
      <c r="M59" s="161"/>
      <c r="N59" s="161"/>
      <c r="O59" s="20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</row>
    <row r="60" ht="21.75" customHeight="1" spans="1:15" s="161" customFormat="1" x14ac:dyDescent="0.25">
      <c r="A60" s="349" t="s">
        <v>599</v>
      </c>
      <c r="B60" s="350" t="s">
        <v>599</v>
      </c>
      <c r="C60" s="350" t="s">
        <v>599</v>
      </c>
      <c r="D60" s="350" t="s">
        <v>599</v>
      </c>
      <c r="E60" s="351" t="s">
        <v>599</v>
      </c>
      <c r="F60" s="291">
        <f>SUM(F16:F51)</f>
        <v>66</v>
      </c>
      <c r="G60" s="292"/>
      <c r="H60" s="293"/>
      <c r="I60" s="292" t="e">
        <f>IF(J52&gt;4,"A",IF(J52&gt;3.5,"B+",IF(J52&gt;3,"B",IF(J52&gt;2.5,"C+",IF(J52&gt;2,"C",IF(J52&gt;1.5,"D+",IF(J52&gt;1,"D",IF(J52&gt;0.5,"F"))))))))</f>
        <v>#REF!</v>
      </c>
      <c r="J60" s="294" t="e">
        <f>AVERAGE(K15:K51)</f>
        <v>#REF!</v>
      </c>
      <c r="K60" s="295" t="e">
        <f>AVERAGE(K15:K51)</f>
        <v>#REF!</v>
      </c>
      <c r="L60" s="161"/>
      <c r="M60" s="161"/>
      <c r="N60" s="161"/>
      <c r="O60" s="201"/>
    </row>
  </sheetData>
  <mergeCells count="1">
    <mergeCell ref="A1:K15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70"/>
  <sheetViews>
    <sheetView workbookViewId="0">
      <selection activeCell="A1" sqref="A1"/>
    </sheetView>
  </sheetViews>
  <sheetFormatPr defaultRowHeight="14" outlineLevelRow="0" outlineLevelCol="0" x14ac:dyDescent="0" defaultColWidth="8.83203125" customHeight="1"/>
  <cols>
    <col min="1" max="1" width="4" style="136" customWidth="1"/>
    <col min="2" max="2" width="5.5" style="136" customWidth="1"/>
    <col min="3" max="3" width="4.1640625" style="136" customWidth="1"/>
    <col min="4" max="4" width="11.5" style="136" customWidth="1"/>
    <col min="5" max="5" width="1.33203125" style="136" customWidth="1"/>
    <col min="6" max="6" width="28.1640625" style="276" customWidth="1"/>
    <col min="7" max="10" width="8.6640625" style="136" customWidth="1"/>
    <col min="11" max="12" width="5.83203125" style="136" customWidth="1"/>
    <col min="13" max="13" width="9.1640625" style="136" customWidth="1"/>
    <col min="14" max="14" width="20.33203125" style="136" customWidth="1"/>
    <col min="15" max="15" width="22.1640625" style="136" customWidth="1"/>
    <col min="16" max="16" width="9.1640625" style="137" customWidth="1"/>
    <col min="17" max="17" width="9.1640625" style="136" customWidth="1"/>
    <col min="18" max="18" width="10.5" style="136" customWidth="1"/>
    <col min="19" max="257" width="9.1640625" style="136" customWidth="1"/>
    <col min="258" max="259" width="4.83203125" style="136" customWidth="1"/>
    <col min="260" max="260" width="4.1640625" style="136" customWidth="1"/>
    <col min="261" max="261" width="11.1640625" style="136" customWidth="1"/>
    <col min="262" max="262" width="25.33203125" style="136" customWidth="1"/>
    <col min="263" max="263" width="9.5" style="136" customWidth="1"/>
    <col min="264" max="264" width="8.1640625" style="136" customWidth="1"/>
    <col min="265" max="265" width="7.83203125" style="136" customWidth="1"/>
    <col min="266" max="266" width="14.5" style="136" customWidth="1"/>
    <col min="267" max="267" width="6.33203125" style="136" customWidth="1"/>
    <col min="268" max="268" width="6.1640625" style="136" customWidth="1"/>
    <col min="269" max="269" width="9.1640625" style="136" customWidth="1"/>
    <col min="270" max="270" width="10.5" style="136" customWidth="1"/>
    <col min="271" max="271" width="22.1640625" style="136" customWidth="1"/>
    <col min="272" max="273" width="9.1640625" style="136" customWidth="1"/>
    <col min="274" max="274" width="10.5" style="136" customWidth="1"/>
    <col min="275" max="513" width="9.1640625" style="136" customWidth="1"/>
    <col min="514" max="515" width="4.83203125" style="136" customWidth="1"/>
    <col min="516" max="516" width="4.1640625" style="136" customWidth="1"/>
    <col min="517" max="517" width="11.1640625" style="136" customWidth="1"/>
    <col min="518" max="518" width="25.33203125" style="136" customWidth="1"/>
    <col min="519" max="519" width="9.5" style="136" customWidth="1"/>
    <col min="520" max="520" width="8.1640625" style="136" customWidth="1"/>
    <col min="521" max="521" width="7.83203125" style="136" customWidth="1"/>
    <col min="522" max="522" width="14.5" style="136" customWidth="1"/>
    <col min="523" max="523" width="6.33203125" style="136" customWidth="1"/>
    <col min="524" max="524" width="6.1640625" style="136" customWidth="1"/>
    <col min="525" max="525" width="9.1640625" style="136" customWidth="1"/>
    <col min="526" max="526" width="10.5" style="136" customWidth="1"/>
    <col min="527" max="527" width="22.1640625" style="136" customWidth="1"/>
    <col min="528" max="529" width="9.1640625" style="136" customWidth="1"/>
    <col min="530" max="530" width="10.5" style="136" customWidth="1"/>
    <col min="531" max="769" width="9.1640625" style="136" customWidth="1"/>
    <col min="770" max="771" width="4.83203125" style="136" customWidth="1"/>
    <col min="772" max="772" width="4.1640625" style="136" customWidth="1"/>
    <col min="773" max="773" width="11.1640625" style="136" customWidth="1"/>
    <col min="774" max="774" width="25.33203125" style="136" customWidth="1"/>
    <col min="775" max="775" width="9.5" style="136" customWidth="1"/>
    <col min="776" max="776" width="8.1640625" style="136" customWidth="1"/>
    <col min="777" max="777" width="7.83203125" style="136" customWidth="1"/>
    <col min="778" max="778" width="14.5" style="136" customWidth="1"/>
    <col min="779" max="779" width="6.33203125" style="136" customWidth="1"/>
    <col min="780" max="780" width="6.1640625" style="136" customWidth="1"/>
    <col min="781" max="781" width="9.1640625" style="136" customWidth="1"/>
    <col min="782" max="782" width="10.5" style="136" customWidth="1"/>
    <col min="783" max="783" width="22.1640625" style="136" customWidth="1"/>
    <col min="784" max="785" width="9.1640625" style="136" customWidth="1"/>
    <col min="786" max="786" width="10.5" style="136" customWidth="1"/>
    <col min="787" max="1025" width="9.1640625" style="136" customWidth="1"/>
    <col min="1026" max="1027" width="4.83203125" style="136" customWidth="1"/>
    <col min="1028" max="1028" width="4.1640625" style="136" customWidth="1"/>
    <col min="1029" max="1029" width="11.1640625" style="136" customWidth="1"/>
    <col min="1030" max="1030" width="25.33203125" style="136" customWidth="1"/>
    <col min="1031" max="1031" width="9.5" style="136" customWidth="1"/>
    <col min="1032" max="1032" width="8.1640625" style="136" customWidth="1"/>
    <col min="1033" max="1033" width="7.83203125" style="136" customWidth="1"/>
    <col min="1034" max="1034" width="14.5" style="136" customWidth="1"/>
    <col min="1035" max="1035" width="6.33203125" style="136" customWidth="1"/>
    <col min="1036" max="1036" width="6.1640625" style="136" customWidth="1"/>
    <col min="1037" max="1037" width="9.1640625" style="136" customWidth="1"/>
    <col min="1038" max="1038" width="10.5" style="136" customWidth="1"/>
    <col min="1039" max="1039" width="22.1640625" style="136" customWidth="1"/>
    <col min="1040" max="1041" width="9.1640625" style="136" customWidth="1"/>
    <col min="1042" max="1042" width="10.5" style="136" customWidth="1"/>
    <col min="1043" max="1281" width="9.1640625" style="136" customWidth="1"/>
    <col min="1282" max="1283" width="4.83203125" style="136" customWidth="1"/>
    <col min="1284" max="1284" width="4.1640625" style="136" customWidth="1"/>
    <col min="1285" max="1285" width="11.1640625" style="136" customWidth="1"/>
    <col min="1286" max="1286" width="25.33203125" style="136" customWidth="1"/>
    <col min="1287" max="1287" width="9.5" style="136" customWidth="1"/>
    <col min="1288" max="1288" width="8.1640625" style="136" customWidth="1"/>
    <col min="1289" max="1289" width="7.83203125" style="136" customWidth="1"/>
    <col min="1290" max="1290" width="14.5" style="136" customWidth="1"/>
    <col min="1291" max="1291" width="6.33203125" style="136" customWidth="1"/>
    <col min="1292" max="1292" width="6.1640625" style="136" customWidth="1"/>
    <col min="1293" max="1293" width="9.1640625" style="136" customWidth="1"/>
    <col min="1294" max="1294" width="10.5" style="136" customWidth="1"/>
    <col min="1295" max="1295" width="22.1640625" style="136" customWidth="1"/>
    <col min="1296" max="1297" width="9.1640625" style="136" customWidth="1"/>
    <col min="1298" max="1298" width="10.5" style="136" customWidth="1"/>
    <col min="1299" max="1537" width="9.1640625" style="136" customWidth="1"/>
    <col min="1538" max="1539" width="4.83203125" style="136" customWidth="1"/>
    <col min="1540" max="1540" width="4.1640625" style="136" customWidth="1"/>
    <col min="1541" max="1541" width="11.1640625" style="136" customWidth="1"/>
    <col min="1542" max="1542" width="25.33203125" style="136" customWidth="1"/>
    <col min="1543" max="1543" width="9.5" style="136" customWidth="1"/>
    <col min="1544" max="1544" width="8.1640625" style="136" customWidth="1"/>
    <col min="1545" max="1545" width="7.83203125" style="136" customWidth="1"/>
    <col min="1546" max="1546" width="14.5" style="136" customWidth="1"/>
    <col min="1547" max="1547" width="6.33203125" style="136" customWidth="1"/>
    <col min="1548" max="1548" width="6.1640625" style="136" customWidth="1"/>
    <col min="1549" max="1549" width="9.1640625" style="136" customWidth="1"/>
    <col min="1550" max="1550" width="10.5" style="136" customWidth="1"/>
    <col min="1551" max="1551" width="22.1640625" style="136" customWidth="1"/>
    <col min="1552" max="1553" width="9.1640625" style="136" customWidth="1"/>
    <col min="1554" max="1554" width="10.5" style="136" customWidth="1"/>
    <col min="1555" max="1793" width="9.1640625" style="136" customWidth="1"/>
    <col min="1794" max="1795" width="4.83203125" style="136" customWidth="1"/>
    <col min="1796" max="1796" width="4.1640625" style="136" customWidth="1"/>
    <col min="1797" max="1797" width="11.1640625" style="136" customWidth="1"/>
    <col min="1798" max="1798" width="25.33203125" style="136" customWidth="1"/>
    <col min="1799" max="1799" width="9.5" style="136" customWidth="1"/>
    <col min="1800" max="1800" width="8.1640625" style="136" customWidth="1"/>
    <col min="1801" max="1801" width="7.83203125" style="136" customWidth="1"/>
    <col min="1802" max="1802" width="14.5" style="136" customWidth="1"/>
    <col min="1803" max="1803" width="6.33203125" style="136" customWidth="1"/>
    <col min="1804" max="1804" width="6.1640625" style="136" customWidth="1"/>
    <col min="1805" max="1805" width="9.1640625" style="136" customWidth="1"/>
    <col min="1806" max="1806" width="10.5" style="136" customWidth="1"/>
    <col min="1807" max="1807" width="22.1640625" style="136" customWidth="1"/>
    <col min="1808" max="1809" width="9.1640625" style="136" customWidth="1"/>
    <col min="1810" max="1810" width="10.5" style="136" customWidth="1"/>
    <col min="1811" max="2049" width="9.1640625" style="136" customWidth="1"/>
    <col min="2050" max="2051" width="4.83203125" style="136" customWidth="1"/>
    <col min="2052" max="2052" width="4.1640625" style="136" customWidth="1"/>
    <col min="2053" max="2053" width="11.1640625" style="136" customWidth="1"/>
    <col min="2054" max="2054" width="25.33203125" style="136" customWidth="1"/>
    <col min="2055" max="2055" width="9.5" style="136" customWidth="1"/>
    <col min="2056" max="2056" width="8.1640625" style="136" customWidth="1"/>
    <col min="2057" max="2057" width="7.83203125" style="136" customWidth="1"/>
    <col min="2058" max="2058" width="14.5" style="136" customWidth="1"/>
    <col min="2059" max="2059" width="6.33203125" style="136" customWidth="1"/>
    <col min="2060" max="2060" width="6.1640625" style="136" customWidth="1"/>
    <col min="2061" max="2061" width="9.1640625" style="136" customWidth="1"/>
    <col min="2062" max="2062" width="10.5" style="136" customWidth="1"/>
    <col min="2063" max="2063" width="22.1640625" style="136" customWidth="1"/>
    <col min="2064" max="2065" width="9.1640625" style="136" customWidth="1"/>
    <col min="2066" max="2066" width="10.5" style="136" customWidth="1"/>
    <col min="2067" max="2305" width="9.1640625" style="136" customWidth="1"/>
    <col min="2306" max="2307" width="4.83203125" style="136" customWidth="1"/>
    <col min="2308" max="2308" width="4.1640625" style="136" customWidth="1"/>
    <col min="2309" max="2309" width="11.1640625" style="136" customWidth="1"/>
    <col min="2310" max="2310" width="25.33203125" style="136" customWidth="1"/>
    <col min="2311" max="2311" width="9.5" style="136" customWidth="1"/>
    <col min="2312" max="2312" width="8.1640625" style="136" customWidth="1"/>
    <col min="2313" max="2313" width="7.83203125" style="136" customWidth="1"/>
    <col min="2314" max="2314" width="14.5" style="136" customWidth="1"/>
    <col min="2315" max="2315" width="6.33203125" style="136" customWidth="1"/>
    <col min="2316" max="2316" width="6.1640625" style="136" customWidth="1"/>
    <col min="2317" max="2317" width="9.1640625" style="136" customWidth="1"/>
    <col min="2318" max="2318" width="10.5" style="136" customWidth="1"/>
    <col min="2319" max="2319" width="22.1640625" style="136" customWidth="1"/>
    <col min="2320" max="2321" width="9.1640625" style="136" customWidth="1"/>
    <col min="2322" max="2322" width="10.5" style="136" customWidth="1"/>
    <col min="2323" max="2561" width="9.1640625" style="136" customWidth="1"/>
    <col min="2562" max="2563" width="4.83203125" style="136" customWidth="1"/>
    <col min="2564" max="2564" width="4.1640625" style="136" customWidth="1"/>
    <col min="2565" max="2565" width="11.1640625" style="136" customWidth="1"/>
    <col min="2566" max="2566" width="25.33203125" style="136" customWidth="1"/>
    <col min="2567" max="2567" width="9.5" style="136" customWidth="1"/>
    <col min="2568" max="2568" width="8.1640625" style="136" customWidth="1"/>
    <col min="2569" max="2569" width="7.83203125" style="136" customWidth="1"/>
    <col min="2570" max="2570" width="14.5" style="136" customWidth="1"/>
    <col min="2571" max="2571" width="6.33203125" style="136" customWidth="1"/>
    <col min="2572" max="2572" width="6.1640625" style="136" customWidth="1"/>
    <col min="2573" max="2573" width="9.1640625" style="136" customWidth="1"/>
    <col min="2574" max="2574" width="10.5" style="136" customWidth="1"/>
    <col min="2575" max="2575" width="22.1640625" style="136" customWidth="1"/>
    <col min="2576" max="2577" width="9.1640625" style="136" customWidth="1"/>
    <col min="2578" max="2578" width="10.5" style="136" customWidth="1"/>
    <col min="2579" max="2817" width="9.1640625" style="136" customWidth="1"/>
    <col min="2818" max="2819" width="4.83203125" style="136" customWidth="1"/>
    <col min="2820" max="2820" width="4.1640625" style="136" customWidth="1"/>
    <col min="2821" max="2821" width="11.1640625" style="136" customWidth="1"/>
    <col min="2822" max="2822" width="25.33203125" style="136" customWidth="1"/>
    <col min="2823" max="2823" width="9.5" style="136" customWidth="1"/>
    <col min="2824" max="2824" width="8.1640625" style="136" customWidth="1"/>
    <col min="2825" max="2825" width="7.83203125" style="136" customWidth="1"/>
    <col min="2826" max="2826" width="14.5" style="136" customWidth="1"/>
    <col min="2827" max="2827" width="6.33203125" style="136" customWidth="1"/>
    <col min="2828" max="2828" width="6.1640625" style="136" customWidth="1"/>
    <col min="2829" max="2829" width="9.1640625" style="136" customWidth="1"/>
    <col min="2830" max="2830" width="10.5" style="136" customWidth="1"/>
    <col min="2831" max="2831" width="22.1640625" style="136" customWidth="1"/>
    <col min="2832" max="2833" width="9.1640625" style="136" customWidth="1"/>
    <col min="2834" max="2834" width="10.5" style="136" customWidth="1"/>
    <col min="2835" max="3073" width="9.1640625" style="136" customWidth="1"/>
    <col min="3074" max="3075" width="4.83203125" style="136" customWidth="1"/>
    <col min="3076" max="3076" width="4.1640625" style="136" customWidth="1"/>
    <col min="3077" max="3077" width="11.1640625" style="136" customWidth="1"/>
    <col min="3078" max="3078" width="25.33203125" style="136" customWidth="1"/>
    <col min="3079" max="3079" width="9.5" style="136" customWidth="1"/>
    <col min="3080" max="3080" width="8.1640625" style="136" customWidth="1"/>
    <col min="3081" max="3081" width="7.83203125" style="136" customWidth="1"/>
    <col min="3082" max="3082" width="14.5" style="136" customWidth="1"/>
    <col min="3083" max="3083" width="6.33203125" style="136" customWidth="1"/>
    <col min="3084" max="3084" width="6.1640625" style="136" customWidth="1"/>
    <col min="3085" max="3085" width="9.1640625" style="136" customWidth="1"/>
    <col min="3086" max="3086" width="10.5" style="136" customWidth="1"/>
    <col min="3087" max="3087" width="22.1640625" style="136" customWidth="1"/>
    <col min="3088" max="3089" width="9.1640625" style="136" customWidth="1"/>
    <col min="3090" max="3090" width="10.5" style="136" customWidth="1"/>
    <col min="3091" max="3329" width="9.1640625" style="136" customWidth="1"/>
    <col min="3330" max="3331" width="4.83203125" style="136" customWidth="1"/>
    <col min="3332" max="3332" width="4.1640625" style="136" customWidth="1"/>
    <col min="3333" max="3333" width="11.1640625" style="136" customWidth="1"/>
    <col min="3334" max="3334" width="25.33203125" style="136" customWidth="1"/>
    <col min="3335" max="3335" width="9.5" style="136" customWidth="1"/>
    <col min="3336" max="3336" width="8.1640625" style="136" customWidth="1"/>
    <col min="3337" max="3337" width="7.83203125" style="136" customWidth="1"/>
    <col min="3338" max="3338" width="14.5" style="136" customWidth="1"/>
    <col min="3339" max="3339" width="6.33203125" style="136" customWidth="1"/>
    <col min="3340" max="3340" width="6.1640625" style="136" customWidth="1"/>
    <col min="3341" max="3341" width="9.1640625" style="136" customWidth="1"/>
    <col min="3342" max="3342" width="10.5" style="136" customWidth="1"/>
    <col min="3343" max="3343" width="22.1640625" style="136" customWidth="1"/>
    <col min="3344" max="3345" width="9.1640625" style="136" customWidth="1"/>
    <col min="3346" max="3346" width="10.5" style="136" customWidth="1"/>
    <col min="3347" max="3585" width="9.1640625" style="136" customWidth="1"/>
    <col min="3586" max="3587" width="4.83203125" style="136" customWidth="1"/>
    <col min="3588" max="3588" width="4.1640625" style="136" customWidth="1"/>
    <col min="3589" max="3589" width="11.1640625" style="136" customWidth="1"/>
    <col min="3590" max="3590" width="25.33203125" style="136" customWidth="1"/>
    <col min="3591" max="3591" width="9.5" style="136" customWidth="1"/>
    <col min="3592" max="3592" width="8.1640625" style="136" customWidth="1"/>
    <col min="3593" max="3593" width="7.83203125" style="136" customWidth="1"/>
    <col min="3594" max="3594" width="14.5" style="136" customWidth="1"/>
    <col min="3595" max="3595" width="6.33203125" style="136" customWidth="1"/>
    <col min="3596" max="3596" width="6.1640625" style="136" customWidth="1"/>
    <col min="3597" max="3597" width="9.1640625" style="136" customWidth="1"/>
    <col min="3598" max="3598" width="10.5" style="136" customWidth="1"/>
    <col min="3599" max="3599" width="22.1640625" style="136" customWidth="1"/>
    <col min="3600" max="3601" width="9.1640625" style="136" customWidth="1"/>
    <col min="3602" max="3602" width="10.5" style="136" customWidth="1"/>
    <col min="3603" max="3841" width="9.1640625" style="136" customWidth="1"/>
    <col min="3842" max="3843" width="4.83203125" style="136" customWidth="1"/>
    <col min="3844" max="3844" width="4.1640625" style="136" customWidth="1"/>
    <col min="3845" max="3845" width="11.1640625" style="136" customWidth="1"/>
    <col min="3846" max="3846" width="25.33203125" style="136" customWidth="1"/>
    <col min="3847" max="3847" width="9.5" style="136" customWidth="1"/>
    <col min="3848" max="3848" width="8.1640625" style="136" customWidth="1"/>
    <col min="3849" max="3849" width="7.83203125" style="136" customWidth="1"/>
    <col min="3850" max="3850" width="14.5" style="136" customWidth="1"/>
    <col min="3851" max="3851" width="6.33203125" style="136" customWidth="1"/>
    <col min="3852" max="3852" width="6.1640625" style="136" customWidth="1"/>
    <col min="3853" max="3853" width="9.1640625" style="136" customWidth="1"/>
    <col min="3854" max="3854" width="10.5" style="136" customWidth="1"/>
    <col min="3855" max="3855" width="22.1640625" style="136" customWidth="1"/>
    <col min="3856" max="3857" width="9.1640625" style="136" customWidth="1"/>
    <col min="3858" max="3858" width="10.5" style="136" customWidth="1"/>
    <col min="3859" max="4097" width="9.1640625" style="136" customWidth="1"/>
    <col min="4098" max="4099" width="4.83203125" style="136" customWidth="1"/>
    <col min="4100" max="4100" width="4.1640625" style="136" customWidth="1"/>
    <col min="4101" max="4101" width="11.1640625" style="136" customWidth="1"/>
    <col min="4102" max="4102" width="25.33203125" style="136" customWidth="1"/>
    <col min="4103" max="4103" width="9.5" style="136" customWidth="1"/>
    <col min="4104" max="4104" width="8.1640625" style="136" customWidth="1"/>
    <col min="4105" max="4105" width="7.83203125" style="136" customWidth="1"/>
    <col min="4106" max="4106" width="14.5" style="136" customWidth="1"/>
    <col min="4107" max="4107" width="6.33203125" style="136" customWidth="1"/>
    <col min="4108" max="4108" width="6.1640625" style="136" customWidth="1"/>
    <col min="4109" max="4109" width="9.1640625" style="136" customWidth="1"/>
    <col min="4110" max="4110" width="10.5" style="136" customWidth="1"/>
    <col min="4111" max="4111" width="22.1640625" style="136" customWidth="1"/>
    <col min="4112" max="4113" width="9.1640625" style="136" customWidth="1"/>
    <col min="4114" max="4114" width="10.5" style="136" customWidth="1"/>
    <col min="4115" max="4353" width="9.1640625" style="136" customWidth="1"/>
    <col min="4354" max="4355" width="4.83203125" style="136" customWidth="1"/>
    <col min="4356" max="4356" width="4.1640625" style="136" customWidth="1"/>
    <col min="4357" max="4357" width="11.1640625" style="136" customWidth="1"/>
    <col min="4358" max="4358" width="25.33203125" style="136" customWidth="1"/>
    <col min="4359" max="4359" width="9.5" style="136" customWidth="1"/>
    <col min="4360" max="4360" width="8.1640625" style="136" customWidth="1"/>
    <col min="4361" max="4361" width="7.83203125" style="136" customWidth="1"/>
    <col min="4362" max="4362" width="14.5" style="136" customWidth="1"/>
    <col min="4363" max="4363" width="6.33203125" style="136" customWidth="1"/>
    <col min="4364" max="4364" width="6.1640625" style="136" customWidth="1"/>
    <col min="4365" max="4365" width="9.1640625" style="136" customWidth="1"/>
    <col min="4366" max="4366" width="10.5" style="136" customWidth="1"/>
    <col min="4367" max="4367" width="22.1640625" style="136" customWidth="1"/>
    <col min="4368" max="4369" width="9.1640625" style="136" customWidth="1"/>
    <col min="4370" max="4370" width="10.5" style="136" customWidth="1"/>
    <col min="4371" max="4609" width="9.1640625" style="136" customWidth="1"/>
    <col min="4610" max="4611" width="4.83203125" style="136" customWidth="1"/>
    <col min="4612" max="4612" width="4.1640625" style="136" customWidth="1"/>
    <col min="4613" max="4613" width="11.1640625" style="136" customWidth="1"/>
    <col min="4614" max="4614" width="25.33203125" style="136" customWidth="1"/>
    <col min="4615" max="4615" width="9.5" style="136" customWidth="1"/>
    <col min="4616" max="4616" width="8.1640625" style="136" customWidth="1"/>
    <col min="4617" max="4617" width="7.83203125" style="136" customWidth="1"/>
    <col min="4618" max="4618" width="14.5" style="136" customWidth="1"/>
    <col min="4619" max="4619" width="6.33203125" style="136" customWidth="1"/>
    <col min="4620" max="4620" width="6.1640625" style="136" customWidth="1"/>
    <col min="4621" max="4621" width="9.1640625" style="136" customWidth="1"/>
    <col min="4622" max="4622" width="10.5" style="136" customWidth="1"/>
    <col min="4623" max="4623" width="22.1640625" style="136" customWidth="1"/>
    <col min="4624" max="4625" width="9.1640625" style="136" customWidth="1"/>
    <col min="4626" max="4626" width="10.5" style="136" customWidth="1"/>
    <col min="4627" max="4865" width="9.1640625" style="136" customWidth="1"/>
    <col min="4866" max="4867" width="4.83203125" style="136" customWidth="1"/>
    <col min="4868" max="4868" width="4.1640625" style="136" customWidth="1"/>
    <col min="4869" max="4869" width="11.1640625" style="136" customWidth="1"/>
    <col min="4870" max="4870" width="25.33203125" style="136" customWidth="1"/>
    <col min="4871" max="4871" width="9.5" style="136" customWidth="1"/>
    <col min="4872" max="4872" width="8.1640625" style="136" customWidth="1"/>
    <col min="4873" max="4873" width="7.83203125" style="136" customWidth="1"/>
    <col min="4874" max="4874" width="14.5" style="136" customWidth="1"/>
    <col min="4875" max="4875" width="6.33203125" style="136" customWidth="1"/>
    <col min="4876" max="4876" width="6.1640625" style="136" customWidth="1"/>
    <col min="4877" max="4877" width="9.1640625" style="136" customWidth="1"/>
    <col min="4878" max="4878" width="10.5" style="136" customWidth="1"/>
    <col min="4879" max="4879" width="22.1640625" style="136" customWidth="1"/>
    <col min="4880" max="4881" width="9.1640625" style="136" customWidth="1"/>
    <col min="4882" max="4882" width="10.5" style="136" customWidth="1"/>
    <col min="4883" max="5121" width="9.1640625" style="136" customWidth="1"/>
    <col min="5122" max="5123" width="4.83203125" style="136" customWidth="1"/>
    <col min="5124" max="5124" width="4.1640625" style="136" customWidth="1"/>
    <col min="5125" max="5125" width="11.1640625" style="136" customWidth="1"/>
    <col min="5126" max="5126" width="25.33203125" style="136" customWidth="1"/>
    <col min="5127" max="5127" width="9.5" style="136" customWidth="1"/>
    <col min="5128" max="5128" width="8.1640625" style="136" customWidth="1"/>
    <col min="5129" max="5129" width="7.83203125" style="136" customWidth="1"/>
    <col min="5130" max="5130" width="14.5" style="136" customWidth="1"/>
    <col min="5131" max="5131" width="6.33203125" style="136" customWidth="1"/>
    <col min="5132" max="5132" width="6.1640625" style="136" customWidth="1"/>
    <col min="5133" max="5133" width="9.1640625" style="136" customWidth="1"/>
    <col min="5134" max="5134" width="10.5" style="136" customWidth="1"/>
    <col min="5135" max="5135" width="22.1640625" style="136" customWidth="1"/>
    <col min="5136" max="5137" width="9.1640625" style="136" customWidth="1"/>
    <col min="5138" max="5138" width="10.5" style="136" customWidth="1"/>
    <col min="5139" max="5377" width="9.1640625" style="136" customWidth="1"/>
    <col min="5378" max="5379" width="4.83203125" style="136" customWidth="1"/>
    <col min="5380" max="5380" width="4.1640625" style="136" customWidth="1"/>
    <col min="5381" max="5381" width="11.1640625" style="136" customWidth="1"/>
    <col min="5382" max="5382" width="25.33203125" style="136" customWidth="1"/>
    <col min="5383" max="5383" width="9.5" style="136" customWidth="1"/>
    <col min="5384" max="5384" width="8.1640625" style="136" customWidth="1"/>
    <col min="5385" max="5385" width="7.83203125" style="136" customWidth="1"/>
    <col min="5386" max="5386" width="14.5" style="136" customWidth="1"/>
    <col min="5387" max="5387" width="6.33203125" style="136" customWidth="1"/>
    <col min="5388" max="5388" width="6.1640625" style="136" customWidth="1"/>
    <col min="5389" max="5389" width="9.1640625" style="136" customWidth="1"/>
    <col min="5390" max="5390" width="10.5" style="136" customWidth="1"/>
    <col min="5391" max="5391" width="22.1640625" style="136" customWidth="1"/>
    <col min="5392" max="5393" width="9.1640625" style="136" customWidth="1"/>
    <col min="5394" max="5394" width="10.5" style="136" customWidth="1"/>
    <col min="5395" max="5633" width="9.1640625" style="136" customWidth="1"/>
    <col min="5634" max="5635" width="4.83203125" style="136" customWidth="1"/>
    <col min="5636" max="5636" width="4.1640625" style="136" customWidth="1"/>
    <col min="5637" max="5637" width="11.1640625" style="136" customWidth="1"/>
    <col min="5638" max="5638" width="25.33203125" style="136" customWidth="1"/>
    <col min="5639" max="5639" width="9.5" style="136" customWidth="1"/>
    <col min="5640" max="5640" width="8.1640625" style="136" customWidth="1"/>
    <col min="5641" max="5641" width="7.83203125" style="136" customWidth="1"/>
    <col min="5642" max="5642" width="14.5" style="136" customWidth="1"/>
    <col min="5643" max="5643" width="6.33203125" style="136" customWidth="1"/>
    <col min="5644" max="5644" width="6.1640625" style="136" customWidth="1"/>
    <col min="5645" max="5645" width="9.1640625" style="136" customWidth="1"/>
    <col min="5646" max="5646" width="10.5" style="136" customWidth="1"/>
    <col min="5647" max="5647" width="22.1640625" style="136" customWidth="1"/>
    <col min="5648" max="5649" width="9.1640625" style="136" customWidth="1"/>
    <col min="5650" max="5650" width="10.5" style="136" customWidth="1"/>
    <col min="5651" max="5889" width="9.1640625" style="136" customWidth="1"/>
    <col min="5890" max="5891" width="4.83203125" style="136" customWidth="1"/>
    <col min="5892" max="5892" width="4.1640625" style="136" customWidth="1"/>
    <col min="5893" max="5893" width="11.1640625" style="136" customWidth="1"/>
    <col min="5894" max="5894" width="25.33203125" style="136" customWidth="1"/>
    <col min="5895" max="5895" width="9.5" style="136" customWidth="1"/>
    <col min="5896" max="5896" width="8.1640625" style="136" customWidth="1"/>
    <col min="5897" max="5897" width="7.83203125" style="136" customWidth="1"/>
    <col min="5898" max="5898" width="14.5" style="136" customWidth="1"/>
    <col min="5899" max="5899" width="6.33203125" style="136" customWidth="1"/>
    <col min="5900" max="5900" width="6.1640625" style="136" customWidth="1"/>
    <col min="5901" max="5901" width="9.1640625" style="136" customWidth="1"/>
    <col min="5902" max="5902" width="10.5" style="136" customWidth="1"/>
    <col min="5903" max="5903" width="22.1640625" style="136" customWidth="1"/>
    <col min="5904" max="5905" width="9.1640625" style="136" customWidth="1"/>
    <col min="5906" max="5906" width="10.5" style="136" customWidth="1"/>
    <col min="5907" max="6145" width="9.1640625" style="136" customWidth="1"/>
    <col min="6146" max="6147" width="4.83203125" style="136" customWidth="1"/>
    <col min="6148" max="6148" width="4.1640625" style="136" customWidth="1"/>
    <col min="6149" max="6149" width="11.1640625" style="136" customWidth="1"/>
    <col min="6150" max="6150" width="25.33203125" style="136" customWidth="1"/>
    <col min="6151" max="6151" width="9.5" style="136" customWidth="1"/>
    <col min="6152" max="6152" width="8.1640625" style="136" customWidth="1"/>
    <col min="6153" max="6153" width="7.83203125" style="136" customWidth="1"/>
    <col min="6154" max="6154" width="14.5" style="136" customWidth="1"/>
    <col min="6155" max="6155" width="6.33203125" style="136" customWidth="1"/>
    <col min="6156" max="6156" width="6.1640625" style="136" customWidth="1"/>
    <col min="6157" max="6157" width="9.1640625" style="136" customWidth="1"/>
    <col min="6158" max="6158" width="10.5" style="136" customWidth="1"/>
    <col min="6159" max="6159" width="22.1640625" style="136" customWidth="1"/>
    <col min="6160" max="6161" width="9.1640625" style="136" customWidth="1"/>
    <col min="6162" max="6162" width="10.5" style="136" customWidth="1"/>
    <col min="6163" max="6401" width="9.1640625" style="136" customWidth="1"/>
    <col min="6402" max="6403" width="4.83203125" style="136" customWidth="1"/>
    <col min="6404" max="6404" width="4.1640625" style="136" customWidth="1"/>
    <col min="6405" max="6405" width="11.1640625" style="136" customWidth="1"/>
    <col min="6406" max="6406" width="25.33203125" style="136" customWidth="1"/>
    <col min="6407" max="6407" width="9.5" style="136" customWidth="1"/>
    <col min="6408" max="6408" width="8.1640625" style="136" customWidth="1"/>
    <col min="6409" max="6409" width="7.83203125" style="136" customWidth="1"/>
    <col min="6410" max="6410" width="14.5" style="136" customWidth="1"/>
    <col min="6411" max="6411" width="6.33203125" style="136" customWidth="1"/>
    <col min="6412" max="6412" width="6.1640625" style="136" customWidth="1"/>
    <col min="6413" max="6413" width="9.1640625" style="136" customWidth="1"/>
    <col min="6414" max="6414" width="10.5" style="136" customWidth="1"/>
    <col min="6415" max="6415" width="22.1640625" style="136" customWidth="1"/>
    <col min="6416" max="6417" width="9.1640625" style="136" customWidth="1"/>
    <col min="6418" max="6418" width="10.5" style="136" customWidth="1"/>
    <col min="6419" max="6657" width="9.1640625" style="136" customWidth="1"/>
    <col min="6658" max="6659" width="4.83203125" style="136" customWidth="1"/>
    <col min="6660" max="6660" width="4.1640625" style="136" customWidth="1"/>
    <col min="6661" max="6661" width="11.1640625" style="136" customWidth="1"/>
    <col min="6662" max="6662" width="25.33203125" style="136" customWidth="1"/>
    <col min="6663" max="6663" width="9.5" style="136" customWidth="1"/>
    <col min="6664" max="6664" width="8.1640625" style="136" customWidth="1"/>
    <col min="6665" max="6665" width="7.83203125" style="136" customWidth="1"/>
    <col min="6666" max="6666" width="14.5" style="136" customWidth="1"/>
    <col min="6667" max="6667" width="6.33203125" style="136" customWidth="1"/>
    <col min="6668" max="6668" width="6.1640625" style="136" customWidth="1"/>
    <col min="6669" max="6669" width="9.1640625" style="136" customWidth="1"/>
    <col min="6670" max="6670" width="10.5" style="136" customWidth="1"/>
    <col min="6671" max="6671" width="22.1640625" style="136" customWidth="1"/>
    <col min="6672" max="6673" width="9.1640625" style="136" customWidth="1"/>
    <col min="6674" max="6674" width="10.5" style="136" customWidth="1"/>
    <col min="6675" max="6913" width="9.1640625" style="136" customWidth="1"/>
    <col min="6914" max="6915" width="4.83203125" style="136" customWidth="1"/>
    <col min="6916" max="6916" width="4.1640625" style="136" customWidth="1"/>
    <col min="6917" max="6917" width="11.1640625" style="136" customWidth="1"/>
    <col min="6918" max="6918" width="25.33203125" style="136" customWidth="1"/>
    <col min="6919" max="6919" width="9.5" style="136" customWidth="1"/>
    <col min="6920" max="6920" width="8.1640625" style="136" customWidth="1"/>
    <col min="6921" max="6921" width="7.83203125" style="136" customWidth="1"/>
    <col min="6922" max="6922" width="14.5" style="136" customWidth="1"/>
    <col min="6923" max="6923" width="6.33203125" style="136" customWidth="1"/>
    <col min="6924" max="6924" width="6.1640625" style="136" customWidth="1"/>
    <col min="6925" max="6925" width="9.1640625" style="136" customWidth="1"/>
    <col min="6926" max="6926" width="10.5" style="136" customWidth="1"/>
    <col min="6927" max="6927" width="22.1640625" style="136" customWidth="1"/>
    <col min="6928" max="6929" width="9.1640625" style="136" customWidth="1"/>
    <col min="6930" max="6930" width="10.5" style="136" customWidth="1"/>
    <col min="6931" max="7169" width="9.1640625" style="136" customWidth="1"/>
    <col min="7170" max="7171" width="4.83203125" style="136" customWidth="1"/>
    <col min="7172" max="7172" width="4.1640625" style="136" customWidth="1"/>
    <col min="7173" max="7173" width="11.1640625" style="136" customWidth="1"/>
    <col min="7174" max="7174" width="25.33203125" style="136" customWidth="1"/>
    <col min="7175" max="7175" width="9.5" style="136" customWidth="1"/>
    <col min="7176" max="7176" width="8.1640625" style="136" customWidth="1"/>
    <col min="7177" max="7177" width="7.83203125" style="136" customWidth="1"/>
    <col min="7178" max="7178" width="14.5" style="136" customWidth="1"/>
    <col min="7179" max="7179" width="6.33203125" style="136" customWidth="1"/>
    <col min="7180" max="7180" width="6.1640625" style="136" customWidth="1"/>
    <col min="7181" max="7181" width="9.1640625" style="136" customWidth="1"/>
    <col min="7182" max="7182" width="10.5" style="136" customWidth="1"/>
    <col min="7183" max="7183" width="22.1640625" style="136" customWidth="1"/>
    <col min="7184" max="7185" width="9.1640625" style="136" customWidth="1"/>
    <col min="7186" max="7186" width="10.5" style="136" customWidth="1"/>
    <col min="7187" max="7425" width="9.1640625" style="136" customWidth="1"/>
    <col min="7426" max="7427" width="4.83203125" style="136" customWidth="1"/>
    <col min="7428" max="7428" width="4.1640625" style="136" customWidth="1"/>
    <col min="7429" max="7429" width="11.1640625" style="136" customWidth="1"/>
    <col min="7430" max="7430" width="25.33203125" style="136" customWidth="1"/>
    <col min="7431" max="7431" width="9.5" style="136" customWidth="1"/>
    <col min="7432" max="7432" width="8.1640625" style="136" customWidth="1"/>
    <col min="7433" max="7433" width="7.83203125" style="136" customWidth="1"/>
    <col min="7434" max="7434" width="14.5" style="136" customWidth="1"/>
    <col min="7435" max="7435" width="6.33203125" style="136" customWidth="1"/>
    <col min="7436" max="7436" width="6.1640625" style="136" customWidth="1"/>
    <col min="7437" max="7437" width="9.1640625" style="136" customWidth="1"/>
    <col min="7438" max="7438" width="10.5" style="136" customWidth="1"/>
    <col min="7439" max="7439" width="22.1640625" style="136" customWidth="1"/>
    <col min="7440" max="7441" width="9.1640625" style="136" customWidth="1"/>
    <col min="7442" max="7442" width="10.5" style="136" customWidth="1"/>
    <col min="7443" max="7681" width="9.1640625" style="136" customWidth="1"/>
    <col min="7682" max="7683" width="4.83203125" style="136" customWidth="1"/>
    <col min="7684" max="7684" width="4.1640625" style="136" customWidth="1"/>
    <col min="7685" max="7685" width="11.1640625" style="136" customWidth="1"/>
    <col min="7686" max="7686" width="25.33203125" style="136" customWidth="1"/>
    <col min="7687" max="7687" width="9.5" style="136" customWidth="1"/>
    <col min="7688" max="7688" width="8.1640625" style="136" customWidth="1"/>
    <col min="7689" max="7689" width="7.83203125" style="136" customWidth="1"/>
    <col min="7690" max="7690" width="14.5" style="136" customWidth="1"/>
    <col min="7691" max="7691" width="6.33203125" style="136" customWidth="1"/>
    <col min="7692" max="7692" width="6.1640625" style="136" customWidth="1"/>
    <col min="7693" max="7693" width="9.1640625" style="136" customWidth="1"/>
    <col min="7694" max="7694" width="10.5" style="136" customWidth="1"/>
    <col min="7695" max="7695" width="22.1640625" style="136" customWidth="1"/>
    <col min="7696" max="7697" width="9.1640625" style="136" customWidth="1"/>
    <col min="7698" max="7698" width="10.5" style="136" customWidth="1"/>
    <col min="7699" max="7937" width="9.1640625" style="136" customWidth="1"/>
    <col min="7938" max="7939" width="4.83203125" style="136" customWidth="1"/>
    <col min="7940" max="7940" width="4.1640625" style="136" customWidth="1"/>
    <col min="7941" max="7941" width="11.1640625" style="136" customWidth="1"/>
    <col min="7942" max="7942" width="25.33203125" style="136" customWidth="1"/>
    <col min="7943" max="7943" width="9.5" style="136" customWidth="1"/>
    <col min="7944" max="7944" width="8.1640625" style="136" customWidth="1"/>
    <col min="7945" max="7945" width="7.83203125" style="136" customWidth="1"/>
    <col min="7946" max="7946" width="14.5" style="136" customWidth="1"/>
    <col min="7947" max="7947" width="6.33203125" style="136" customWidth="1"/>
    <col min="7948" max="7948" width="6.1640625" style="136" customWidth="1"/>
    <col min="7949" max="7949" width="9.1640625" style="136" customWidth="1"/>
    <col min="7950" max="7950" width="10.5" style="136" customWidth="1"/>
    <col min="7951" max="7951" width="22.1640625" style="136" customWidth="1"/>
    <col min="7952" max="7953" width="9.1640625" style="136" customWidth="1"/>
    <col min="7954" max="7954" width="10.5" style="136" customWidth="1"/>
    <col min="7955" max="8193" width="9.1640625" style="136" customWidth="1"/>
    <col min="8194" max="8195" width="4.83203125" style="136" customWidth="1"/>
    <col min="8196" max="8196" width="4.1640625" style="136" customWidth="1"/>
    <col min="8197" max="8197" width="11.1640625" style="136" customWidth="1"/>
    <col min="8198" max="8198" width="25.33203125" style="136" customWidth="1"/>
    <col min="8199" max="8199" width="9.5" style="136" customWidth="1"/>
    <col min="8200" max="8200" width="8.1640625" style="136" customWidth="1"/>
    <col min="8201" max="8201" width="7.83203125" style="136" customWidth="1"/>
    <col min="8202" max="8202" width="14.5" style="136" customWidth="1"/>
    <col min="8203" max="8203" width="6.33203125" style="136" customWidth="1"/>
    <col min="8204" max="8204" width="6.1640625" style="136" customWidth="1"/>
    <col min="8205" max="8205" width="9.1640625" style="136" customWidth="1"/>
    <col min="8206" max="8206" width="10.5" style="136" customWidth="1"/>
    <col min="8207" max="8207" width="22.1640625" style="136" customWidth="1"/>
    <col min="8208" max="8209" width="9.1640625" style="136" customWidth="1"/>
    <col min="8210" max="8210" width="10.5" style="136" customWidth="1"/>
    <col min="8211" max="8449" width="9.1640625" style="136" customWidth="1"/>
    <col min="8450" max="8451" width="4.83203125" style="136" customWidth="1"/>
    <col min="8452" max="8452" width="4.1640625" style="136" customWidth="1"/>
    <col min="8453" max="8453" width="11.1640625" style="136" customWidth="1"/>
    <col min="8454" max="8454" width="25.33203125" style="136" customWidth="1"/>
    <col min="8455" max="8455" width="9.5" style="136" customWidth="1"/>
    <col min="8456" max="8456" width="8.1640625" style="136" customWidth="1"/>
    <col min="8457" max="8457" width="7.83203125" style="136" customWidth="1"/>
    <col min="8458" max="8458" width="14.5" style="136" customWidth="1"/>
    <col min="8459" max="8459" width="6.33203125" style="136" customWidth="1"/>
    <col min="8460" max="8460" width="6.1640625" style="136" customWidth="1"/>
    <col min="8461" max="8461" width="9.1640625" style="136" customWidth="1"/>
    <col min="8462" max="8462" width="10.5" style="136" customWidth="1"/>
    <col min="8463" max="8463" width="22.1640625" style="136" customWidth="1"/>
    <col min="8464" max="8465" width="9.1640625" style="136" customWidth="1"/>
    <col min="8466" max="8466" width="10.5" style="136" customWidth="1"/>
    <col min="8467" max="8705" width="9.1640625" style="136" customWidth="1"/>
    <col min="8706" max="8707" width="4.83203125" style="136" customWidth="1"/>
    <col min="8708" max="8708" width="4.1640625" style="136" customWidth="1"/>
    <col min="8709" max="8709" width="11.1640625" style="136" customWidth="1"/>
    <col min="8710" max="8710" width="25.33203125" style="136" customWidth="1"/>
    <col min="8711" max="8711" width="9.5" style="136" customWidth="1"/>
    <col min="8712" max="8712" width="8.1640625" style="136" customWidth="1"/>
    <col min="8713" max="8713" width="7.83203125" style="136" customWidth="1"/>
    <col min="8714" max="8714" width="14.5" style="136" customWidth="1"/>
    <col min="8715" max="8715" width="6.33203125" style="136" customWidth="1"/>
    <col min="8716" max="8716" width="6.1640625" style="136" customWidth="1"/>
    <col min="8717" max="8717" width="9.1640625" style="136" customWidth="1"/>
    <col min="8718" max="8718" width="10.5" style="136" customWidth="1"/>
    <col min="8719" max="8719" width="22.1640625" style="136" customWidth="1"/>
    <col min="8720" max="8721" width="9.1640625" style="136" customWidth="1"/>
    <col min="8722" max="8722" width="10.5" style="136" customWidth="1"/>
    <col min="8723" max="8961" width="9.1640625" style="136" customWidth="1"/>
    <col min="8962" max="8963" width="4.83203125" style="136" customWidth="1"/>
    <col min="8964" max="8964" width="4.1640625" style="136" customWidth="1"/>
    <col min="8965" max="8965" width="11.1640625" style="136" customWidth="1"/>
    <col min="8966" max="8966" width="25.33203125" style="136" customWidth="1"/>
    <col min="8967" max="8967" width="9.5" style="136" customWidth="1"/>
    <col min="8968" max="8968" width="8.1640625" style="136" customWidth="1"/>
    <col min="8969" max="8969" width="7.83203125" style="136" customWidth="1"/>
    <col min="8970" max="8970" width="14.5" style="136" customWidth="1"/>
    <col min="8971" max="8971" width="6.33203125" style="136" customWidth="1"/>
    <col min="8972" max="8972" width="6.1640625" style="136" customWidth="1"/>
    <col min="8973" max="8973" width="9.1640625" style="136" customWidth="1"/>
    <col min="8974" max="8974" width="10.5" style="136" customWidth="1"/>
    <col min="8975" max="8975" width="22.1640625" style="136" customWidth="1"/>
    <col min="8976" max="8977" width="9.1640625" style="136" customWidth="1"/>
    <col min="8978" max="8978" width="10.5" style="136" customWidth="1"/>
    <col min="8979" max="9217" width="9.1640625" style="136" customWidth="1"/>
    <col min="9218" max="9219" width="4.83203125" style="136" customWidth="1"/>
    <col min="9220" max="9220" width="4.1640625" style="136" customWidth="1"/>
    <col min="9221" max="9221" width="11.1640625" style="136" customWidth="1"/>
    <col min="9222" max="9222" width="25.33203125" style="136" customWidth="1"/>
    <col min="9223" max="9223" width="9.5" style="136" customWidth="1"/>
    <col min="9224" max="9224" width="8.1640625" style="136" customWidth="1"/>
    <col min="9225" max="9225" width="7.83203125" style="136" customWidth="1"/>
    <col min="9226" max="9226" width="14.5" style="136" customWidth="1"/>
    <col min="9227" max="9227" width="6.33203125" style="136" customWidth="1"/>
    <col min="9228" max="9228" width="6.1640625" style="136" customWidth="1"/>
    <col min="9229" max="9229" width="9.1640625" style="136" customWidth="1"/>
    <col min="9230" max="9230" width="10.5" style="136" customWidth="1"/>
    <col min="9231" max="9231" width="22.1640625" style="136" customWidth="1"/>
    <col min="9232" max="9233" width="9.1640625" style="136" customWidth="1"/>
    <col min="9234" max="9234" width="10.5" style="136" customWidth="1"/>
    <col min="9235" max="9473" width="9.1640625" style="136" customWidth="1"/>
    <col min="9474" max="9475" width="4.83203125" style="136" customWidth="1"/>
    <col min="9476" max="9476" width="4.1640625" style="136" customWidth="1"/>
    <col min="9477" max="9477" width="11.1640625" style="136" customWidth="1"/>
    <col min="9478" max="9478" width="25.33203125" style="136" customWidth="1"/>
    <col min="9479" max="9479" width="9.5" style="136" customWidth="1"/>
    <col min="9480" max="9480" width="8.1640625" style="136" customWidth="1"/>
    <col min="9481" max="9481" width="7.83203125" style="136" customWidth="1"/>
    <col min="9482" max="9482" width="14.5" style="136" customWidth="1"/>
    <col min="9483" max="9483" width="6.33203125" style="136" customWidth="1"/>
    <col min="9484" max="9484" width="6.1640625" style="136" customWidth="1"/>
    <col min="9485" max="9485" width="9.1640625" style="136" customWidth="1"/>
    <col min="9486" max="9486" width="10.5" style="136" customWidth="1"/>
    <col min="9487" max="9487" width="22.1640625" style="136" customWidth="1"/>
    <col min="9488" max="9489" width="9.1640625" style="136" customWidth="1"/>
    <col min="9490" max="9490" width="10.5" style="136" customWidth="1"/>
    <col min="9491" max="9729" width="9.1640625" style="136" customWidth="1"/>
    <col min="9730" max="9731" width="4.83203125" style="136" customWidth="1"/>
    <col min="9732" max="9732" width="4.1640625" style="136" customWidth="1"/>
    <col min="9733" max="9733" width="11.1640625" style="136" customWidth="1"/>
    <col min="9734" max="9734" width="25.33203125" style="136" customWidth="1"/>
    <col min="9735" max="9735" width="9.5" style="136" customWidth="1"/>
    <col min="9736" max="9736" width="8.1640625" style="136" customWidth="1"/>
    <col min="9737" max="9737" width="7.83203125" style="136" customWidth="1"/>
    <col min="9738" max="9738" width="14.5" style="136" customWidth="1"/>
    <col min="9739" max="9739" width="6.33203125" style="136" customWidth="1"/>
    <col min="9740" max="9740" width="6.1640625" style="136" customWidth="1"/>
    <col min="9741" max="9741" width="9.1640625" style="136" customWidth="1"/>
    <col min="9742" max="9742" width="10.5" style="136" customWidth="1"/>
    <col min="9743" max="9743" width="22.1640625" style="136" customWidth="1"/>
    <col min="9744" max="9745" width="9.1640625" style="136" customWidth="1"/>
    <col min="9746" max="9746" width="10.5" style="136" customWidth="1"/>
    <col min="9747" max="9985" width="9.1640625" style="136" customWidth="1"/>
    <col min="9986" max="9987" width="4.83203125" style="136" customWidth="1"/>
    <col min="9988" max="9988" width="4.1640625" style="136" customWidth="1"/>
    <col min="9989" max="9989" width="11.1640625" style="136" customWidth="1"/>
    <col min="9990" max="9990" width="25.33203125" style="136" customWidth="1"/>
    <col min="9991" max="9991" width="9.5" style="136" customWidth="1"/>
    <col min="9992" max="9992" width="8.1640625" style="136" customWidth="1"/>
    <col min="9993" max="9993" width="7.83203125" style="136" customWidth="1"/>
    <col min="9994" max="9994" width="14.5" style="136" customWidth="1"/>
    <col min="9995" max="9995" width="6.33203125" style="136" customWidth="1"/>
    <col min="9996" max="9996" width="6.1640625" style="136" customWidth="1"/>
    <col min="9997" max="9997" width="9.1640625" style="136" customWidth="1"/>
    <col min="9998" max="9998" width="10.5" style="136" customWidth="1"/>
    <col min="9999" max="9999" width="22.1640625" style="136" customWidth="1"/>
    <col min="10000" max="10001" width="9.1640625" style="136" customWidth="1"/>
    <col min="10002" max="10002" width="10.5" style="136" customWidth="1"/>
    <col min="10003" max="10241" width="9.1640625" style="136" customWidth="1"/>
    <col min="10242" max="10243" width="4.83203125" style="136" customWidth="1"/>
    <col min="10244" max="10244" width="4.1640625" style="136" customWidth="1"/>
    <col min="10245" max="10245" width="11.1640625" style="136" customWidth="1"/>
    <col min="10246" max="10246" width="25.33203125" style="136" customWidth="1"/>
    <col min="10247" max="10247" width="9.5" style="136" customWidth="1"/>
    <col min="10248" max="10248" width="8.1640625" style="136" customWidth="1"/>
    <col min="10249" max="10249" width="7.83203125" style="136" customWidth="1"/>
    <col min="10250" max="10250" width="14.5" style="136" customWidth="1"/>
    <col min="10251" max="10251" width="6.33203125" style="136" customWidth="1"/>
    <col min="10252" max="10252" width="6.1640625" style="136" customWidth="1"/>
    <col min="10253" max="10253" width="9.1640625" style="136" customWidth="1"/>
    <col min="10254" max="10254" width="10.5" style="136" customWidth="1"/>
    <col min="10255" max="10255" width="22.1640625" style="136" customWidth="1"/>
    <col min="10256" max="10257" width="9.1640625" style="136" customWidth="1"/>
    <col min="10258" max="10258" width="10.5" style="136" customWidth="1"/>
    <col min="10259" max="10497" width="9.1640625" style="136" customWidth="1"/>
    <col min="10498" max="10499" width="4.83203125" style="136" customWidth="1"/>
    <col min="10500" max="10500" width="4.1640625" style="136" customWidth="1"/>
    <col min="10501" max="10501" width="11.1640625" style="136" customWidth="1"/>
    <col min="10502" max="10502" width="25.33203125" style="136" customWidth="1"/>
    <col min="10503" max="10503" width="9.5" style="136" customWidth="1"/>
    <col min="10504" max="10504" width="8.1640625" style="136" customWidth="1"/>
    <col min="10505" max="10505" width="7.83203125" style="136" customWidth="1"/>
    <col min="10506" max="10506" width="14.5" style="136" customWidth="1"/>
    <col min="10507" max="10507" width="6.33203125" style="136" customWidth="1"/>
    <col min="10508" max="10508" width="6.1640625" style="136" customWidth="1"/>
    <col min="10509" max="10509" width="9.1640625" style="136" customWidth="1"/>
    <col min="10510" max="10510" width="10.5" style="136" customWidth="1"/>
    <col min="10511" max="10511" width="22.1640625" style="136" customWidth="1"/>
    <col min="10512" max="10513" width="9.1640625" style="136" customWidth="1"/>
    <col min="10514" max="10514" width="10.5" style="136" customWidth="1"/>
    <col min="10515" max="10753" width="9.1640625" style="136" customWidth="1"/>
    <col min="10754" max="10755" width="4.83203125" style="136" customWidth="1"/>
    <col min="10756" max="10756" width="4.1640625" style="136" customWidth="1"/>
    <col min="10757" max="10757" width="11.1640625" style="136" customWidth="1"/>
    <col min="10758" max="10758" width="25.33203125" style="136" customWidth="1"/>
    <col min="10759" max="10759" width="9.5" style="136" customWidth="1"/>
    <col min="10760" max="10760" width="8.1640625" style="136" customWidth="1"/>
    <col min="10761" max="10761" width="7.83203125" style="136" customWidth="1"/>
    <col min="10762" max="10762" width="14.5" style="136" customWidth="1"/>
    <col min="10763" max="10763" width="6.33203125" style="136" customWidth="1"/>
    <col min="10764" max="10764" width="6.1640625" style="136" customWidth="1"/>
    <col min="10765" max="10765" width="9.1640625" style="136" customWidth="1"/>
    <col min="10766" max="10766" width="10.5" style="136" customWidth="1"/>
    <col min="10767" max="10767" width="22.1640625" style="136" customWidth="1"/>
    <col min="10768" max="10769" width="9.1640625" style="136" customWidth="1"/>
    <col min="10770" max="10770" width="10.5" style="136" customWidth="1"/>
    <col min="10771" max="11009" width="9.1640625" style="136" customWidth="1"/>
    <col min="11010" max="11011" width="4.83203125" style="136" customWidth="1"/>
    <col min="11012" max="11012" width="4.1640625" style="136" customWidth="1"/>
    <col min="11013" max="11013" width="11.1640625" style="136" customWidth="1"/>
    <col min="11014" max="11014" width="25.33203125" style="136" customWidth="1"/>
    <col min="11015" max="11015" width="9.5" style="136" customWidth="1"/>
    <col min="11016" max="11016" width="8.1640625" style="136" customWidth="1"/>
    <col min="11017" max="11017" width="7.83203125" style="136" customWidth="1"/>
    <col min="11018" max="11018" width="14.5" style="136" customWidth="1"/>
    <col min="11019" max="11019" width="6.33203125" style="136" customWidth="1"/>
    <col min="11020" max="11020" width="6.1640625" style="136" customWidth="1"/>
    <col min="11021" max="11021" width="9.1640625" style="136" customWidth="1"/>
    <col min="11022" max="11022" width="10.5" style="136" customWidth="1"/>
    <col min="11023" max="11023" width="22.1640625" style="136" customWidth="1"/>
    <col min="11024" max="11025" width="9.1640625" style="136" customWidth="1"/>
    <col min="11026" max="11026" width="10.5" style="136" customWidth="1"/>
    <col min="11027" max="11265" width="9.1640625" style="136" customWidth="1"/>
    <col min="11266" max="11267" width="4.83203125" style="136" customWidth="1"/>
    <col min="11268" max="11268" width="4.1640625" style="136" customWidth="1"/>
    <col min="11269" max="11269" width="11.1640625" style="136" customWidth="1"/>
    <col min="11270" max="11270" width="25.33203125" style="136" customWidth="1"/>
    <col min="11271" max="11271" width="9.5" style="136" customWidth="1"/>
    <col min="11272" max="11272" width="8.1640625" style="136" customWidth="1"/>
    <col min="11273" max="11273" width="7.83203125" style="136" customWidth="1"/>
    <col min="11274" max="11274" width="14.5" style="136" customWidth="1"/>
    <col min="11275" max="11275" width="6.33203125" style="136" customWidth="1"/>
    <col min="11276" max="11276" width="6.1640625" style="136" customWidth="1"/>
    <col min="11277" max="11277" width="9.1640625" style="136" customWidth="1"/>
    <col min="11278" max="11278" width="10.5" style="136" customWidth="1"/>
    <col min="11279" max="11279" width="22.1640625" style="136" customWidth="1"/>
    <col min="11280" max="11281" width="9.1640625" style="136" customWidth="1"/>
    <col min="11282" max="11282" width="10.5" style="136" customWidth="1"/>
    <col min="11283" max="11521" width="9.1640625" style="136" customWidth="1"/>
    <col min="11522" max="11523" width="4.83203125" style="136" customWidth="1"/>
    <col min="11524" max="11524" width="4.1640625" style="136" customWidth="1"/>
    <col min="11525" max="11525" width="11.1640625" style="136" customWidth="1"/>
    <col min="11526" max="11526" width="25.33203125" style="136" customWidth="1"/>
    <col min="11527" max="11527" width="9.5" style="136" customWidth="1"/>
    <col min="11528" max="11528" width="8.1640625" style="136" customWidth="1"/>
    <col min="11529" max="11529" width="7.83203125" style="136" customWidth="1"/>
    <col min="11530" max="11530" width="14.5" style="136" customWidth="1"/>
    <col min="11531" max="11531" width="6.33203125" style="136" customWidth="1"/>
    <col min="11532" max="11532" width="6.1640625" style="136" customWidth="1"/>
    <col min="11533" max="11533" width="9.1640625" style="136" customWidth="1"/>
    <col min="11534" max="11534" width="10.5" style="136" customWidth="1"/>
    <col min="11535" max="11535" width="22.1640625" style="136" customWidth="1"/>
    <col min="11536" max="11537" width="9.1640625" style="136" customWidth="1"/>
    <col min="11538" max="11538" width="10.5" style="136" customWidth="1"/>
    <col min="11539" max="11777" width="9.1640625" style="136" customWidth="1"/>
    <col min="11778" max="11779" width="4.83203125" style="136" customWidth="1"/>
    <col min="11780" max="11780" width="4.1640625" style="136" customWidth="1"/>
    <col min="11781" max="11781" width="11.1640625" style="136" customWidth="1"/>
    <col min="11782" max="11782" width="25.33203125" style="136" customWidth="1"/>
    <col min="11783" max="11783" width="9.5" style="136" customWidth="1"/>
    <col min="11784" max="11784" width="8.1640625" style="136" customWidth="1"/>
    <col min="11785" max="11785" width="7.83203125" style="136" customWidth="1"/>
    <col min="11786" max="11786" width="14.5" style="136" customWidth="1"/>
    <col min="11787" max="11787" width="6.33203125" style="136" customWidth="1"/>
    <col min="11788" max="11788" width="6.1640625" style="136" customWidth="1"/>
    <col min="11789" max="11789" width="9.1640625" style="136" customWidth="1"/>
    <col min="11790" max="11790" width="10.5" style="136" customWidth="1"/>
    <col min="11791" max="11791" width="22.1640625" style="136" customWidth="1"/>
    <col min="11792" max="11793" width="9.1640625" style="136" customWidth="1"/>
    <col min="11794" max="11794" width="10.5" style="136" customWidth="1"/>
    <col min="11795" max="12033" width="9.1640625" style="136" customWidth="1"/>
    <col min="12034" max="12035" width="4.83203125" style="136" customWidth="1"/>
    <col min="12036" max="12036" width="4.1640625" style="136" customWidth="1"/>
    <col min="12037" max="12037" width="11.1640625" style="136" customWidth="1"/>
    <col min="12038" max="12038" width="25.33203125" style="136" customWidth="1"/>
    <col min="12039" max="12039" width="9.5" style="136" customWidth="1"/>
    <col min="12040" max="12040" width="8.1640625" style="136" customWidth="1"/>
    <col min="12041" max="12041" width="7.83203125" style="136" customWidth="1"/>
    <col min="12042" max="12042" width="14.5" style="136" customWidth="1"/>
    <col min="12043" max="12043" width="6.33203125" style="136" customWidth="1"/>
    <col min="12044" max="12044" width="6.1640625" style="136" customWidth="1"/>
    <col min="12045" max="12045" width="9.1640625" style="136" customWidth="1"/>
    <col min="12046" max="12046" width="10.5" style="136" customWidth="1"/>
    <col min="12047" max="12047" width="22.1640625" style="136" customWidth="1"/>
    <col min="12048" max="12049" width="9.1640625" style="136" customWidth="1"/>
    <col min="12050" max="12050" width="10.5" style="136" customWidth="1"/>
    <col min="12051" max="12289" width="9.1640625" style="136" customWidth="1"/>
    <col min="12290" max="12291" width="4.83203125" style="136" customWidth="1"/>
    <col min="12292" max="12292" width="4.1640625" style="136" customWidth="1"/>
    <col min="12293" max="12293" width="11.1640625" style="136" customWidth="1"/>
    <col min="12294" max="12294" width="25.33203125" style="136" customWidth="1"/>
    <col min="12295" max="12295" width="9.5" style="136" customWidth="1"/>
    <col min="12296" max="12296" width="8.1640625" style="136" customWidth="1"/>
    <col min="12297" max="12297" width="7.83203125" style="136" customWidth="1"/>
    <col min="12298" max="12298" width="14.5" style="136" customWidth="1"/>
    <col min="12299" max="12299" width="6.33203125" style="136" customWidth="1"/>
    <col min="12300" max="12300" width="6.1640625" style="136" customWidth="1"/>
    <col min="12301" max="12301" width="9.1640625" style="136" customWidth="1"/>
    <col min="12302" max="12302" width="10.5" style="136" customWidth="1"/>
    <col min="12303" max="12303" width="22.1640625" style="136" customWidth="1"/>
    <col min="12304" max="12305" width="9.1640625" style="136" customWidth="1"/>
    <col min="12306" max="12306" width="10.5" style="136" customWidth="1"/>
    <col min="12307" max="12545" width="9.1640625" style="136" customWidth="1"/>
    <col min="12546" max="12547" width="4.83203125" style="136" customWidth="1"/>
    <col min="12548" max="12548" width="4.1640625" style="136" customWidth="1"/>
    <col min="12549" max="12549" width="11.1640625" style="136" customWidth="1"/>
    <col min="12550" max="12550" width="25.33203125" style="136" customWidth="1"/>
    <col min="12551" max="12551" width="9.5" style="136" customWidth="1"/>
    <col min="12552" max="12552" width="8.1640625" style="136" customWidth="1"/>
    <col min="12553" max="12553" width="7.83203125" style="136" customWidth="1"/>
    <col min="12554" max="12554" width="14.5" style="136" customWidth="1"/>
    <col min="12555" max="12555" width="6.33203125" style="136" customWidth="1"/>
    <col min="12556" max="12556" width="6.1640625" style="136" customWidth="1"/>
    <col min="12557" max="12557" width="9.1640625" style="136" customWidth="1"/>
    <col min="12558" max="12558" width="10.5" style="136" customWidth="1"/>
    <col min="12559" max="12559" width="22.1640625" style="136" customWidth="1"/>
    <col min="12560" max="12561" width="9.1640625" style="136" customWidth="1"/>
    <col min="12562" max="12562" width="10.5" style="136" customWidth="1"/>
    <col min="12563" max="12801" width="9.1640625" style="136" customWidth="1"/>
    <col min="12802" max="12803" width="4.83203125" style="136" customWidth="1"/>
    <col min="12804" max="12804" width="4.1640625" style="136" customWidth="1"/>
    <col min="12805" max="12805" width="11.1640625" style="136" customWidth="1"/>
    <col min="12806" max="12806" width="25.33203125" style="136" customWidth="1"/>
    <col min="12807" max="12807" width="9.5" style="136" customWidth="1"/>
    <col min="12808" max="12808" width="8.1640625" style="136" customWidth="1"/>
    <col min="12809" max="12809" width="7.83203125" style="136" customWidth="1"/>
    <col min="12810" max="12810" width="14.5" style="136" customWidth="1"/>
    <col min="12811" max="12811" width="6.33203125" style="136" customWidth="1"/>
    <col min="12812" max="12812" width="6.1640625" style="136" customWidth="1"/>
    <col min="12813" max="12813" width="9.1640625" style="136" customWidth="1"/>
    <col min="12814" max="12814" width="10.5" style="136" customWidth="1"/>
    <col min="12815" max="12815" width="22.1640625" style="136" customWidth="1"/>
    <col min="12816" max="12817" width="9.1640625" style="136" customWidth="1"/>
    <col min="12818" max="12818" width="10.5" style="136" customWidth="1"/>
    <col min="12819" max="13057" width="9.1640625" style="136" customWidth="1"/>
    <col min="13058" max="13059" width="4.83203125" style="136" customWidth="1"/>
    <col min="13060" max="13060" width="4.1640625" style="136" customWidth="1"/>
    <col min="13061" max="13061" width="11.1640625" style="136" customWidth="1"/>
    <col min="13062" max="13062" width="25.33203125" style="136" customWidth="1"/>
    <col min="13063" max="13063" width="9.5" style="136" customWidth="1"/>
    <col min="13064" max="13064" width="8.1640625" style="136" customWidth="1"/>
    <col min="13065" max="13065" width="7.83203125" style="136" customWidth="1"/>
    <col min="13066" max="13066" width="14.5" style="136" customWidth="1"/>
    <col min="13067" max="13067" width="6.33203125" style="136" customWidth="1"/>
    <col min="13068" max="13068" width="6.1640625" style="136" customWidth="1"/>
    <col min="13069" max="13069" width="9.1640625" style="136" customWidth="1"/>
    <col min="13070" max="13070" width="10.5" style="136" customWidth="1"/>
    <col min="13071" max="13071" width="22.1640625" style="136" customWidth="1"/>
    <col min="13072" max="13073" width="9.1640625" style="136" customWidth="1"/>
    <col min="13074" max="13074" width="10.5" style="136" customWidth="1"/>
    <col min="13075" max="13313" width="9.1640625" style="136" customWidth="1"/>
    <col min="13314" max="13315" width="4.83203125" style="136" customWidth="1"/>
    <col min="13316" max="13316" width="4.1640625" style="136" customWidth="1"/>
    <col min="13317" max="13317" width="11.1640625" style="136" customWidth="1"/>
    <col min="13318" max="13318" width="25.33203125" style="136" customWidth="1"/>
    <col min="13319" max="13319" width="9.5" style="136" customWidth="1"/>
    <col min="13320" max="13320" width="8.1640625" style="136" customWidth="1"/>
    <col min="13321" max="13321" width="7.83203125" style="136" customWidth="1"/>
    <col min="13322" max="13322" width="14.5" style="136" customWidth="1"/>
    <col min="13323" max="13323" width="6.33203125" style="136" customWidth="1"/>
    <col min="13324" max="13324" width="6.1640625" style="136" customWidth="1"/>
    <col min="13325" max="13325" width="9.1640625" style="136" customWidth="1"/>
    <col min="13326" max="13326" width="10.5" style="136" customWidth="1"/>
    <col min="13327" max="13327" width="22.1640625" style="136" customWidth="1"/>
    <col min="13328" max="13329" width="9.1640625" style="136" customWidth="1"/>
    <col min="13330" max="13330" width="10.5" style="136" customWidth="1"/>
    <col min="13331" max="13569" width="9.1640625" style="136" customWidth="1"/>
    <col min="13570" max="13571" width="4.83203125" style="136" customWidth="1"/>
    <col min="13572" max="13572" width="4.1640625" style="136" customWidth="1"/>
    <col min="13573" max="13573" width="11.1640625" style="136" customWidth="1"/>
    <col min="13574" max="13574" width="25.33203125" style="136" customWidth="1"/>
    <col min="13575" max="13575" width="9.5" style="136" customWidth="1"/>
    <col min="13576" max="13576" width="8.1640625" style="136" customWidth="1"/>
    <col min="13577" max="13577" width="7.83203125" style="136" customWidth="1"/>
    <col min="13578" max="13578" width="14.5" style="136" customWidth="1"/>
    <col min="13579" max="13579" width="6.33203125" style="136" customWidth="1"/>
    <col min="13580" max="13580" width="6.1640625" style="136" customWidth="1"/>
    <col min="13581" max="13581" width="9.1640625" style="136" customWidth="1"/>
    <col min="13582" max="13582" width="10.5" style="136" customWidth="1"/>
    <col min="13583" max="13583" width="22.1640625" style="136" customWidth="1"/>
    <col min="13584" max="13585" width="9.1640625" style="136" customWidth="1"/>
    <col min="13586" max="13586" width="10.5" style="136" customWidth="1"/>
    <col min="13587" max="13825" width="9.1640625" style="136" customWidth="1"/>
    <col min="13826" max="13827" width="4.83203125" style="136" customWidth="1"/>
    <col min="13828" max="13828" width="4.1640625" style="136" customWidth="1"/>
    <col min="13829" max="13829" width="11.1640625" style="136" customWidth="1"/>
    <col min="13830" max="13830" width="25.33203125" style="136" customWidth="1"/>
    <col min="13831" max="13831" width="9.5" style="136" customWidth="1"/>
    <col min="13832" max="13832" width="8.1640625" style="136" customWidth="1"/>
    <col min="13833" max="13833" width="7.83203125" style="136" customWidth="1"/>
    <col min="13834" max="13834" width="14.5" style="136" customWidth="1"/>
    <col min="13835" max="13835" width="6.33203125" style="136" customWidth="1"/>
    <col min="13836" max="13836" width="6.1640625" style="136" customWidth="1"/>
    <col min="13837" max="13837" width="9.1640625" style="136" customWidth="1"/>
    <col min="13838" max="13838" width="10.5" style="136" customWidth="1"/>
    <col min="13839" max="13839" width="22.1640625" style="136" customWidth="1"/>
    <col min="13840" max="13841" width="9.1640625" style="136" customWidth="1"/>
    <col min="13842" max="13842" width="10.5" style="136" customWidth="1"/>
    <col min="13843" max="14081" width="9.1640625" style="136" customWidth="1"/>
    <col min="14082" max="14083" width="4.83203125" style="136" customWidth="1"/>
    <col min="14084" max="14084" width="4.1640625" style="136" customWidth="1"/>
    <col min="14085" max="14085" width="11.1640625" style="136" customWidth="1"/>
    <col min="14086" max="14086" width="25.33203125" style="136" customWidth="1"/>
    <col min="14087" max="14087" width="9.5" style="136" customWidth="1"/>
    <col min="14088" max="14088" width="8.1640625" style="136" customWidth="1"/>
    <col min="14089" max="14089" width="7.83203125" style="136" customWidth="1"/>
    <col min="14090" max="14090" width="14.5" style="136" customWidth="1"/>
    <col min="14091" max="14091" width="6.33203125" style="136" customWidth="1"/>
    <col min="14092" max="14092" width="6.1640625" style="136" customWidth="1"/>
    <col min="14093" max="14093" width="9.1640625" style="136" customWidth="1"/>
    <col min="14094" max="14094" width="10.5" style="136" customWidth="1"/>
    <col min="14095" max="14095" width="22.1640625" style="136" customWidth="1"/>
    <col min="14096" max="14097" width="9.1640625" style="136" customWidth="1"/>
    <col min="14098" max="14098" width="10.5" style="136" customWidth="1"/>
    <col min="14099" max="14337" width="9.1640625" style="136" customWidth="1"/>
    <col min="14338" max="14339" width="4.83203125" style="136" customWidth="1"/>
    <col min="14340" max="14340" width="4.1640625" style="136" customWidth="1"/>
    <col min="14341" max="14341" width="11.1640625" style="136" customWidth="1"/>
    <col min="14342" max="14342" width="25.33203125" style="136" customWidth="1"/>
    <col min="14343" max="14343" width="9.5" style="136" customWidth="1"/>
    <col min="14344" max="14344" width="8.1640625" style="136" customWidth="1"/>
    <col min="14345" max="14345" width="7.83203125" style="136" customWidth="1"/>
    <col min="14346" max="14346" width="14.5" style="136" customWidth="1"/>
    <col min="14347" max="14347" width="6.33203125" style="136" customWidth="1"/>
    <col min="14348" max="14348" width="6.1640625" style="136" customWidth="1"/>
    <col min="14349" max="14349" width="9.1640625" style="136" customWidth="1"/>
    <col min="14350" max="14350" width="10.5" style="136" customWidth="1"/>
    <col min="14351" max="14351" width="22.1640625" style="136" customWidth="1"/>
    <col min="14352" max="14353" width="9.1640625" style="136" customWidth="1"/>
    <col min="14354" max="14354" width="10.5" style="136" customWidth="1"/>
    <col min="14355" max="14593" width="9.1640625" style="136" customWidth="1"/>
    <col min="14594" max="14595" width="4.83203125" style="136" customWidth="1"/>
    <col min="14596" max="14596" width="4.1640625" style="136" customWidth="1"/>
    <col min="14597" max="14597" width="11.1640625" style="136" customWidth="1"/>
    <col min="14598" max="14598" width="25.33203125" style="136" customWidth="1"/>
    <col min="14599" max="14599" width="9.5" style="136" customWidth="1"/>
    <col min="14600" max="14600" width="8.1640625" style="136" customWidth="1"/>
    <col min="14601" max="14601" width="7.83203125" style="136" customWidth="1"/>
    <col min="14602" max="14602" width="14.5" style="136" customWidth="1"/>
    <col min="14603" max="14603" width="6.33203125" style="136" customWidth="1"/>
    <col min="14604" max="14604" width="6.1640625" style="136" customWidth="1"/>
    <col min="14605" max="14605" width="9.1640625" style="136" customWidth="1"/>
    <col min="14606" max="14606" width="10.5" style="136" customWidth="1"/>
    <col min="14607" max="14607" width="22.1640625" style="136" customWidth="1"/>
    <col min="14608" max="14609" width="9.1640625" style="136" customWidth="1"/>
    <col min="14610" max="14610" width="10.5" style="136" customWidth="1"/>
    <col min="14611" max="14849" width="9.1640625" style="136" customWidth="1"/>
    <col min="14850" max="14851" width="4.83203125" style="136" customWidth="1"/>
    <col min="14852" max="14852" width="4.1640625" style="136" customWidth="1"/>
    <col min="14853" max="14853" width="11.1640625" style="136" customWidth="1"/>
    <col min="14854" max="14854" width="25.33203125" style="136" customWidth="1"/>
    <col min="14855" max="14855" width="9.5" style="136" customWidth="1"/>
    <col min="14856" max="14856" width="8.1640625" style="136" customWidth="1"/>
    <col min="14857" max="14857" width="7.83203125" style="136" customWidth="1"/>
    <col min="14858" max="14858" width="14.5" style="136" customWidth="1"/>
    <col min="14859" max="14859" width="6.33203125" style="136" customWidth="1"/>
    <col min="14860" max="14860" width="6.1640625" style="136" customWidth="1"/>
    <col min="14861" max="14861" width="9.1640625" style="136" customWidth="1"/>
    <col min="14862" max="14862" width="10.5" style="136" customWidth="1"/>
    <col min="14863" max="14863" width="22.1640625" style="136" customWidth="1"/>
    <col min="14864" max="14865" width="9.1640625" style="136" customWidth="1"/>
    <col min="14866" max="14866" width="10.5" style="136" customWidth="1"/>
    <col min="14867" max="15105" width="9.1640625" style="136" customWidth="1"/>
    <col min="15106" max="15107" width="4.83203125" style="136" customWidth="1"/>
    <col min="15108" max="15108" width="4.1640625" style="136" customWidth="1"/>
    <col min="15109" max="15109" width="11.1640625" style="136" customWidth="1"/>
    <col min="15110" max="15110" width="25.33203125" style="136" customWidth="1"/>
    <col min="15111" max="15111" width="9.5" style="136" customWidth="1"/>
    <col min="15112" max="15112" width="8.1640625" style="136" customWidth="1"/>
    <col min="15113" max="15113" width="7.83203125" style="136" customWidth="1"/>
    <col min="15114" max="15114" width="14.5" style="136" customWidth="1"/>
    <col min="15115" max="15115" width="6.33203125" style="136" customWidth="1"/>
    <col min="15116" max="15116" width="6.1640625" style="136" customWidth="1"/>
    <col min="15117" max="15117" width="9.1640625" style="136" customWidth="1"/>
    <col min="15118" max="15118" width="10.5" style="136" customWidth="1"/>
    <col min="15119" max="15119" width="22.1640625" style="136" customWidth="1"/>
    <col min="15120" max="15121" width="9.1640625" style="136" customWidth="1"/>
    <col min="15122" max="15122" width="10.5" style="136" customWidth="1"/>
    <col min="15123" max="15361" width="9.1640625" style="136" customWidth="1"/>
    <col min="15362" max="15363" width="4.83203125" style="136" customWidth="1"/>
    <col min="15364" max="15364" width="4.1640625" style="136" customWidth="1"/>
    <col min="15365" max="15365" width="11.1640625" style="136" customWidth="1"/>
    <col min="15366" max="15366" width="25.33203125" style="136" customWidth="1"/>
    <col min="15367" max="15367" width="9.5" style="136" customWidth="1"/>
    <col min="15368" max="15368" width="8.1640625" style="136" customWidth="1"/>
    <col min="15369" max="15369" width="7.83203125" style="136" customWidth="1"/>
    <col min="15370" max="15370" width="14.5" style="136" customWidth="1"/>
    <col min="15371" max="15371" width="6.33203125" style="136" customWidth="1"/>
    <col min="15372" max="15372" width="6.1640625" style="136" customWidth="1"/>
    <col min="15373" max="15373" width="9.1640625" style="136" customWidth="1"/>
    <col min="15374" max="15374" width="10.5" style="136" customWidth="1"/>
    <col min="15375" max="15375" width="22.1640625" style="136" customWidth="1"/>
    <col min="15376" max="15377" width="9.1640625" style="136" customWidth="1"/>
    <col min="15378" max="15378" width="10.5" style="136" customWidth="1"/>
    <col min="15379" max="15617" width="9.1640625" style="136" customWidth="1"/>
    <col min="15618" max="15619" width="4.83203125" style="136" customWidth="1"/>
    <col min="15620" max="15620" width="4.1640625" style="136" customWidth="1"/>
    <col min="15621" max="15621" width="11.1640625" style="136" customWidth="1"/>
    <col min="15622" max="15622" width="25.33203125" style="136" customWidth="1"/>
    <col min="15623" max="15623" width="9.5" style="136" customWidth="1"/>
    <col min="15624" max="15624" width="8.1640625" style="136" customWidth="1"/>
    <col min="15625" max="15625" width="7.83203125" style="136" customWidth="1"/>
    <col min="15626" max="15626" width="14.5" style="136" customWidth="1"/>
    <col min="15627" max="15627" width="6.33203125" style="136" customWidth="1"/>
    <col min="15628" max="15628" width="6.1640625" style="136" customWidth="1"/>
    <col min="15629" max="15629" width="9.1640625" style="136" customWidth="1"/>
    <col min="15630" max="15630" width="10.5" style="136" customWidth="1"/>
    <col min="15631" max="15631" width="22.1640625" style="136" customWidth="1"/>
    <col min="15632" max="15633" width="9.1640625" style="136" customWidth="1"/>
    <col min="15634" max="15634" width="10.5" style="136" customWidth="1"/>
    <col min="15635" max="15873" width="9.1640625" style="136" customWidth="1"/>
    <col min="15874" max="15875" width="4.83203125" style="136" customWidth="1"/>
    <col min="15876" max="15876" width="4.1640625" style="136" customWidth="1"/>
    <col min="15877" max="15877" width="11.1640625" style="136" customWidth="1"/>
    <col min="15878" max="15878" width="25.33203125" style="136" customWidth="1"/>
    <col min="15879" max="15879" width="9.5" style="136" customWidth="1"/>
    <col min="15880" max="15880" width="8.1640625" style="136" customWidth="1"/>
    <col min="15881" max="15881" width="7.83203125" style="136" customWidth="1"/>
    <col min="15882" max="15882" width="14.5" style="136" customWidth="1"/>
    <col min="15883" max="15883" width="6.33203125" style="136" customWidth="1"/>
    <col min="15884" max="15884" width="6.1640625" style="136" customWidth="1"/>
    <col min="15885" max="15885" width="9.1640625" style="136" customWidth="1"/>
    <col min="15886" max="15886" width="10.5" style="136" customWidth="1"/>
    <col min="15887" max="15887" width="22.1640625" style="136" customWidth="1"/>
    <col min="15888" max="15889" width="9.1640625" style="136" customWidth="1"/>
    <col min="15890" max="15890" width="10.5" style="136" customWidth="1"/>
    <col min="15891" max="16129" width="9.1640625" style="136" customWidth="1"/>
    <col min="16130" max="16131" width="4.83203125" style="136" customWidth="1"/>
    <col min="16132" max="16132" width="4.1640625" style="136" customWidth="1"/>
    <col min="16133" max="16133" width="11.1640625" style="136" customWidth="1"/>
    <col min="16134" max="16134" width="25.33203125" style="136" customWidth="1"/>
    <col min="16135" max="16135" width="9.5" style="136" customWidth="1"/>
    <col min="16136" max="16136" width="8.1640625" style="136" customWidth="1"/>
    <col min="16137" max="16137" width="7.83203125" style="136" customWidth="1"/>
    <col min="16138" max="16138" width="14.5" style="136" customWidth="1"/>
    <col min="16139" max="16139" width="6.33203125" style="136" customWidth="1"/>
    <col min="16140" max="16140" width="6.1640625" style="136" customWidth="1"/>
    <col min="16141" max="16141" width="9.1640625" style="136" customWidth="1"/>
    <col min="16142" max="16142" width="10.5" style="136" customWidth="1"/>
    <col min="16143" max="16143" width="22.1640625" style="136" customWidth="1"/>
    <col min="16144" max="16145" width="9.1640625" style="136" customWidth="1"/>
    <col min="16146" max="16146" width="10.5" style="136" customWidth="1"/>
    <col min="16147" max="16384" width="9.1640625" style="136" customWidth="1"/>
  </cols>
  <sheetData>
    <row r="1" spans="1:12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</row>
    <row r="2" spans="1:12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</row>
    <row r="3" ht="13.5" customHeight="1" spans="1:12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</row>
    <row r="4" ht="9" customHeight="1" spans="1:12" x14ac:dyDescent="0.2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</row>
    <row r="5" ht="17.25" customHeight="1" spans="1:16" s="139" customFormat="1" x14ac:dyDescent="0.25">
      <c r="A5" s="140" t="s">
        <v>374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39"/>
      <c r="N5" s="139"/>
      <c r="O5" s="139"/>
      <c r="P5" s="142"/>
    </row>
    <row r="6" ht="17.25" customHeight="1" spans="1:21" s="139" customFormat="1" x14ac:dyDescent="0.25">
      <c r="A6" s="140" t="s">
        <v>375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39"/>
      <c r="N6" s="139"/>
      <c r="O6" s="139"/>
      <c r="P6" s="142"/>
      <c r="Q6" s="139"/>
      <c r="R6" s="139"/>
      <c r="S6" s="143"/>
      <c r="T6" s="143"/>
      <c r="U6" s="143"/>
    </row>
    <row r="7" ht="31.5" customHeight="1" spans="1:21" s="139" customFormat="1" x14ac:dyDescent="0.25">
      <c r="A7" s="144" t="s">
        <v>376</v>
      </c>
      <c r="B7" s="145"/>
      <c r="C7" s="145"/>
      <c r="D7" s="145"/>
      <c r="E7" s="145"/>
      <c r="F7" s="151"/>
      <c r="G7" s="141"/>
      <c r="H7" s="141"/>
      <c r="I7" s="141"/>
      <c r="J7" s="141"/>
      <c r="K7" s="145"/>
      <c r="L7" s="145"/>
      <c r="M7" s="139"/>
      <c r="N7" s="139"/>
      <c r="O7" s="139"/>
      <c r="P7" s="142"/>
      <c r="Q7" s="139"/>
      <c r="R7" s="139"/>
      <c r="S7" s="143"/>
      <c r="T7" s="143"/>
      <c r="U7" s="143"/>
    </row>
    <row r="8" ht="31.5" customHeight="1" spans="1:21" s="139" customFormat="1" x14ac:dyDescent="0.25">
      <c r="A8" s="144" t="s">
        <v>377</v>
      </c>
      <c r="B8" s="145"/>
      <c r="C8" s="145"/>
      <c r="D8" s="145"/>
      <c r="E8" s="145"/>
      <c r="F8" s="151"/>
      <c r="G8" s="145" t="s">
        <v>378</v>
      </c>
      <c r="H8" s="145"/>
      <c r="I8" s="145"/>
      <c r="J8" s="146" t="s">
        <v>379</v>
      </c>
      <c r="K8" s="146"/>
      <c r="L8" s="146"/>
      <c r="M8" s="139"/>
      <c r="N8" s="139"/>
      <c r="O8" s="139"/>
      <c r="P8" s="142"/>
      <c r="Q8" s="139"/>
      <c r="R8" s="139"/>
      <c r="S8" s="143"/>
      <c r="T8" s="143"/>
      <c r="U8" s="143"/>
    </row>
    <row r="9" ht="31.5" customHeight="1" spans="1:21" s="147" customFormat="1" x14ac:dyDescent="0.25">
      <c r="A9" s="102" t="s">
        <v>380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7"/>
      <c r="N9" s="147"/>
      <c r="O9" s="149"/>
      <c r="P9" s="150"/>
      <c r="Q9" s="147"/>
      <c r="R9" s="147"/>
      <c r="S9" s="143"/>
      <c r="T9" s="143"/>
      <c r="U9" s="143"/>
    </row>
    <row r="10" ht="31.5" customHeight="1" spans="1:24" x14ac:dyDescent="0.25">
      <c r="A10" s="151" t="s">
        <v>381</v>
      </c>
      <c r="B10" s="152"/>
      <c r="C10" s="152"/>
      <c r="D10" s="152"/>
      <c r="E10" s="146" t="s">
        <v>382</v>
      </c>
      <c r="F10" s="153">
        <f>IF(OR(VLOOKUP($F$12,'Sem1-2'!$B$7:$ZZ$37,2,FALSE)="ຊາຍ", VLOOKUP($F$12,'Sem1-2'!$B$7:$ZZ$37,2,FALSE)="ທ້າວ"),"ທ້າວ","ນາງ")&amp;" "&amp;VLOOKUP($F$12,'Sem1-2'!$B$7:$ZZ$37,3,FALSE)&amp;" "&amp;VLOOKUP($F$12,'Sem1-2'!$B$7:$ZZ$37,4,FALSE)</f>
      </c>
      <c r="G10" s="154"/>
      <c r="H10" s="154"/>
      <c r="I10" s="151" t="s">
        <v>15</v>
      </c>
      <c r="J10" s="151"/>
      <c r="K10" s="145" t="s">
        <v>383</v>
      </c>
      <c r="L10" s="145"/>
      <c r="M10" s="136"/>
      <c r="N10" s="156"/>
      <c r="O10" s="156"/>
      <c r="P10" s="156"/>
      <c r="Q10" s="156"/>
      <c r="R10" s="157"/>
      <c r="S10" s="47"/>
      <c r="T10" s="47"/>
      <c r="U10" s="156"/>
      <c r="V10" s="158"/>
      <c r="W10" s="158"/>
      <c r="X10" s="158"/>
    </row>
    <row r="11" ht="31.5" customHeight="1" spans="1:24" x14ac:dyDescent="0.25">
      <c r="A11" s="151" t="s">
        <v>384</v>
      </c>
      <c r="B11" s="152"/>
      <c r="C11" s="152"/>
      <c r="D11" s="152"/>
      <c r="E11" s="145" t="s">
        <v>382</v>
      </c>
      <c r="F11" s="159">
        <f>VLOOKUP($F$12,'Sem1-2'!$B$7:$ZZ$37,7,FALSE)</f>
      </c>
      <c r="G11" s="145"/>
      <c r="H11" s="145"/>
      <c r="I11" s="151" t="s">
        <v>385</v>
      </c>
      <c r="J11" s="151"/>
      <c r="K11" s="145" t="s">
        <v>386</v>
      </c>
      <c r="L11" s="145"/>
      <c r="M11" s="136"/>
      <c r="N11" s="156"/>
      <c r="O11" s="156"/>
      <c r="P11" s="156"/>
      <c r="Q11" s="156"/>
      <c r="R11" s="160"/>
      <c r="S11" s="47"/>
      <c r="T11" s="47"/>
      <c r="U11" s="156"/>
      <c r="V11" s="158"/>
      <c r="W11" s="158"/>
      <c r="X11" s="158"/>
    </row>
    <row r="12" ht="31.5" customHeight="1" spans="1:24" s="161" customFormat="1" x14ac:dyDescent="0.25">
      <c r="A12" s="151" t="s">
        <v>387</v>
      </c>
      <c r="B12" s="146"/>
      <c r="C12" s="146"/>
      <c r="D12" s="146"/>
      <c r="E12" s="145" t="s">
        <v>382</v>
      </c>
      <c r="F12" s="145" t="s">
        <v>79</v>
      </c>
      <c r="G12" s="145"/>
      <c r="H12" s="145"/>
      <c r="I12" s="277" t="s">
        <v>388</v>
      </c>
      <c r="J12" s="277"/>
      <c r="K12" s="145" t="str">
        <f>": "&amp;G73</f>
        <v>: 100</v>
      </c>
      <c r="L12" s="145"/>
      <c r="M12" s="161"/>
      <c r="N12" s="156"/>
      <c r="O12" s="156"/>
      <c r="P12" s="156"/>
      <c r="Q12" s="47"/>
      <c r="R12" s="158"/>
      <c r="S12" s="47"/>
      <c r="T12" s="47"/>
      <c r="U12" s="156"/>
      <c r="V12" s="156"/>
      <c r="W12" s="162"/>
      <c r="X12" s="163"/>
    </row>
    <row r="13" ht="31.5" customHeight="1" spans="1:24" s="161" customFormat="1" x14ac:dyDescent="0.25">
      <c r="A13" s="164" t="s">
        <v>389</v>
      </c>
      <c r="B13" s="165"/>
      <c r="C13" s="165"/>
      <c r="D13" s="165"/>
      <c r="E13" s="166" t="s">
        <v>382</v>
      </c>
      <c r="F13" s="164" t="s">
        <v>390</v>
      </c>
      <c r="G13" s="166"/>
      <c r="H13" s="166"/>
      <c r="I13" s="164" t="s">
        <v>391</v>
      </c>
      <c r="J13" s="164"/>
      <c r="K13" s="166" t="s">
        <v>495</v>
      </c>
      <c r="L13" s="166"/>
      <c r="M13" s="161"/>
      <c r="N13" s="170"/>
      <c r="O13" s="170"/>
      <c r="P13" s="47"/>
      <c r="Q13" s="47"/>
      <c r="R13" s="151"/>
      <c r="S13" s="47"/>
      <c r="T13" s="47"/>
      <c r="U13" s="171"/>
      <c r="V13" s="171"/>
      <c r="W13" s="163"/>
      <c r="X13" s="171"/>
    </row>
    <row r="14" ht="30" customHeight="1" spans="1:21" x14ac:dyDescent="0.25">
      <c r="A14" s="172" t="s">
        <v>393</v>
      </c>
      <c r="B14" s="173"/>
      <c r="C14" s="174">
        <v>1</v>
      </c>
      <c r="D14" s="175" t="s">
        <v>600</v>
      </c>
      <c r="E14" s="174" t="s">
        <v>601</v>
      </c>
      <c r="F14" s="176"/>
      <c r="G14" s="177" t="s">
        <v>388</v>
      </c>
      <c r="H14" s="178">
        <f>VLOOKUP($F$12,'Sem5-6'!$B$7:$ZZ$37,NaN,FALSE)</f>
      </c>
      <c r="I14" s="179">
        <f>IF(H15&gt;=91, 4.00, IF(H15&gt;=81, 3.50, IF(H15&gt;=70, 3.00, IF(H15&gt;=65, 2.50, IF(H15&gt;=60, 2.00, IF(H15&gt;=55, 1.50, IF(H15&gt;=50, 1.00, 0.00)))))))</f>
      </c>
      <c r="J14" s="175">
        <f>IF(H15&gt;=91,"A",IF(H15&gt;=81,"B+",IF(H15&gt;=70,"B",IF(H15&gt;=65,"C+",IF(H15&gt;=60,"C",IF(H15&gt;=55,"D+",IF(H15&gt;=50,"D","F")))))))</f>
      </c>
      <c r="K14" s="175" t="s">
        <v>396</v>
      </c>
      <c r="L14" s="175" t="s">
        <v>397</v>
      </c>
      <c r="M14" s="136"/>
      <c r="N14" s="136"/>
      <c r="O14" s="180"/>
      <c r="P14" s="137"/>
      <c r="Q14" s="136"/>
      <c r="R14" s="136"/>
      <c r="S14" s="181"/>
      <c r="T14" s="181"/>
      <c r="U14" s="181"/>
    </row>
    <row r="15" ht="19" customHeight="1" spans="1:43" s="182" customFormat="1" x14ac:dyDescent="0.25">
      <c r="A15" s="183"/>
      <c r="B15" s="184"/>
      <c r="C15" s="185"/>
      <c r="D15" s="186"/>
      <c r="E15" s="185"/>
      <c r="F15" s="187"/>
      <c r="G15" s="188">
        <v>3</v>
      </c>
      <c r="H15" s="189"/>
      <c r="I15" s="190"/>
      <c r="J15" s="186"/>
      <c r="K15" s="186"/>
      <c r="L15" s="186"/>
      <c r="M15" s="136"/>
      <c r="N15" s="136"/>
      <c r="O15" s="180"/>
      <c r="P15" s="137"/>
      <c r="Q15" s="136"/>
      <c r="R15" s="136"/>
      <c r="S15" s="181"/>
      <c r="T15" s="181"/>
      <c r="U15" s="181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</row>
    <row r="16" ht="19" customHeight="1" spans="1:15" x14ac:dyDescent="0.25">
      <c r="A16" s="183"/>
      <c r="B16" s="184"/>
      <c r="C16" s="185">
        <v>2</v>
      </c>
      <c r="D16" s="186" t="s">
        <v>602</v>
      </c>
      <c r="E16" s="185" t="s">
        <v>603</v>
      </c>
      <c r="F16" s="187"/>
      <c r="G16" s="188">
        <v>2</v>
      </c>
      <c r="H16" s="189">
        <f>VLOOKUP($F$12,'Sem5-6'!$B$7:$ZZ$37,NaN,FALSE)</f>
      </c>
      <c r="I16" s="190">
        <f>IF(H16&gt;=91, 4.00, IF(H16&gt;=81, 3.50, IF(H16&gt;=70, 3.00, IF(H16&gt;=65, 2.50, IF(H16&gt;=60, 2.00, IF(H16&gt;=55, 1.50, IF(H16&gt;=50, 1.00, 0.00)))))))</f>
      </c>
      <c r="J16" s="186">
        <f>IF(H16&gt;=91,"A",IF(H16&gt;=81,"B+",IF(H16&gt;=70,"B",IF(H16&gt;=65,"C+",IF(H16&gt;=60,"C",IF(H16&gt;=55,"D+",IF(H16&gt;=50,"D","F")))))))</f>
      </c>
      <c r="K16" s="186"/>
      <c r="L16" s="186"/>
      <c r="M16" s="136"/>
      <c r="N16" s="136"/>
      <c r="O16" s="180"/>
    </row>
    <row r="17" ht="19" customHeight="1" spans="1:15" x14ac:dyDescent="0.25">
      <c r="A17" s="183"/>
      <c r="B17" s="184"/>
      <c r="C17" s="185">
        <v>3</v>
      </c>
      <c r="D17" s="186" t="s">
        <v>604</v>
      </c>
      <c r="E17" s="185" t="s">
        <v>605</v>
      </c>
      <c r="F17" s="187"/>
      <c r="G17" s="188">
        <v>1</v>
      </c>
      <c r="H17" s="189">
        <f>VLOOKUP($F$12,'Sem5-6'!$B$7:$ZZ$37,NaN,FALSE)</f>
      </c>
      <c r="I17" s="190">
        <f>IF(H17&gt;=91, 4.00, IF(H17&gt;=81, 3.50, IF(H17&gt;=70, 3.00, IF(H17&gt;=65, 2.50, IF(H17&gt;=60, 2.00, IF(H17&gt;=55, 1.50, IF(H17&gt;=50, 1.00, 0.00)))))))</f>
      </c>
      <c r="J17" s="186">
        <f>IF(H17&gt;=91,"A",IF(H17&gt;=81,"B+",IF(H17&gt;=70,"B",IF(H17&gt;=65,"C+",IF(H17&gt;=60,"C",IF(H17&gt;=55,"D+",IF(H17&gt;=50,"D","F")))))))</f>
      </c>
      <c r="K17" s="186"/>
      <c r="L17" s="186"/>
      <c r="M17" s="136"/>
      <c r="N17" s="136"/>
      <c r="O17" s="180"/>
    </row>
    <row r="18" ht="19" customHeight="1" spans="1:15" x14ac:dyDescent="0.25">
      <c r="A18" s="183"/>
      <c r="B18" s="184"/>
      <c r="C18" s="185">
        <v>4</v>
      </c>
      <c r="D18" s="186" t="s">
        <v>606</v>
      </c>
      <c r="E18" s="185" t="s">
        <v>607</v>
      </c>
      <c r="F18" s="187"/>
      <c r="G18" s="188">
        <v>1</v>
      </c>
      <c r="H18" s="189">
        <f>VLOOKUP($F$12,'Sem5-6'!$B$7:$ZZ$37,NaN,FALSE)</f>
      </c>
      <c r="I18" s="190">
        <f>IF(H18&gt;=91, 4.00, IF(H18&gt;=81, 3.50, IF(H18&gt;=70, 3.00, IF(H18&gt;=65, 2.50, IF(H18&gt;=60, 2.00, IF(H18&gt;=55, 1.50, IF(H18&gt;=50, 1.00, 0.00)))))))</f>
      </c>
      <c r="J18" s="186">
        <f>IF(H18&gt;=91,"A",IF(H18&gt;=81,"B+",IF(H18&gt;=70,"B",IF(H18&gt;=65,"C+",IF(H18&gt;=60,"C",IF(H18&gt;=55,"D+",IF(H18&gt;=50,"D","F")))))))</f>
      </c>
      <c r="K18" s="186"/>
      <c r="L18" s="186"/>
      <c r="M18" s="136"/>
      <c r="N18" s="136"/>
      <c r="O18" s="180"/>
    </row>
    <row r="19" ht="19" customHeight="1" spans="1:15" x14ac:dyDescent="0.25">
      <c r="A19" s="183"/>
      <c r="B19" s="184"/>
      <c r="C19" s="185">
        <v>5</v>
      </c>
      <c r="D19" s="186" t="s">
        <v>608</v>
      </c>
      <c r="E19" s="185" t="s">
        <v>609</v>
      </c>
      <c r="F19" s="187"/>
      <c r="G19" s="188">
        <v>1</v>
      </c>
      <c r="H19" s="189">
        <f>VLOOKUP($F$12,'Sem5-6'!$B$7:$ZZ$37,NaN,FALSE)</f>
      </c>
      <c r="I19" s="190">
        <f>IF(H19&gt;=91, 4.00, IF(H19&gt;=81, 3.50, IF(H19&gt;=70, 3.00, IF(H19&gt;=65, 2.50, IF(H19&gt;=60, 2.00, IF(H19&gt;=55, 1.50, IF(H19&gt;=50, 1.00, 0.00)))))))</f>
      </c>
      <c r="J19" s="186">
        <f>IF(H19&gt;=91,"A",IF(H19&gt;=81,"B+",IF(H19&gt;=70,"B",IF(H19&gt;=65,"C+",IF(H19&gt;=60,"C",IF(H19&gt;=55,"D+",IF(H19&gt;=50,"D","F")))))))</f>
      </c>
      <c r="K19" s="186"/>
      <c r="L19" s="186"/>
      <c r="M19" s="136"/>
      <c r="N19" s="136"/>
      <c r="O19" s="180"/>
    </row>
    <row r="20" ht="19" customHeight="1" spans="1:15" x14ac:dyDescent="0.25">
      <c r="A20" s="183"/>
      <c r="B20" s="184"/>
      <c r="C20" s="185">
        <v>6</v>
      </c>
      <c r="D20" s="186" t="s">
        <v>610</v>
      </c>
      <c r="E20" s="185" t="s">
        <v>611</v>
      </c>
      <c r="F20" s="187"/>
      <c r="G20" s="188">
        <v>2</v>
      </c>
      <c r="H20" s="189">
        <f>VLOOKUP($F$12,'Sem5-6'!$B$7:$ZZ$37,NaN,FALSE)</f>
      </c>
      <c r="I20" s="190">
        <f>IF(H20&gt;=91, 4.00, IF(H20&gt;=81, 3.50, IF(H20&gt;=70, 3.00, IF(H20&gt;=65, 2.50, IF(H20&gt;=60, 2.00, IF(H20&gt;=55, 1.50, IF(H20&gt;=50, 1.00, 0.00)))))))</f>
      </c>
      <c r="J20" s="186">
        <f>IF(H20&gt;=91,"A",IF(H20&gt;=81,"B+",IF(H20&gt;=70,"B",IF(H20&gt;=65,"C+",IF(H20&gt;=60,"C",IF(H20&gt;=55,"D+",IF(H20&gt;=50,"D","F")))))))</f>
      </c>
      <c r="K20" s="186"/>
      <c r="L20" s="186"/>
      <c r="M20" s="136"/>
      <c r="N20" s="136"/>
      <c r="O20" s="180"/>
    </row>
    <row r="21" ht="19" customHeight="1" spans="1:15" x14ac:dyDescent="0.25">
      <c r="A21" s="183"/>
      <c r="B21" s="184"/>
      <c r="C21" s="185">
        <v>7</v>
      </c>
      <c r="D21" s="186" t="s">
        <v>612</v>
      </c>
      <c r="E21" s="185" t="s">
        <v>613</v>
      </c>
      <c r="F21" s="187"/>
      <c r="G21" s="188">
        <v>2</v>
      </c>
      <c r="H21" s="189">
        <f>VLOOKUP($F$12,'Sem5-6'!$B$7:$ZZ$37,NaN,FALSE)</f>
      </c>
      <c r="I21" s="190">
        <f>IF(H21&gt;=91, 4.00, IF(H21&gt;=81, 3.50, IF(H21&gt;=70, 3.00, IF(H21&gt;=65, 2.50, IF(H21&gt;=60, 2.00, IF(H21&gt;=55, 1.50, IF(H21&gt;=50, 1.00, 0.00)))))))</f>
      </c>
      <c r="J21" s="186">
        <f>IF(H21&gt;=91,"A",IF(H21&gt;=81,"B+",IF(H21&gt;=70,"B",IF(H21&gt;=65,"C+",IF(H21&gt;=60,"C",IF(H21&gt;=55,"D+",IF(H21&gt;=50,"D","F")))))))</f>
      </c>
      <c r="K21" s="186"/>
      <c r="L21" s="186"/>
      <c r="M21" s="136"/>
      <c r="N21" s="136"/>
      <c r="O21" s="180"/>
    </row>
    <row r="22" ht="19" customHeight="1" spans="1:15" x14ac:dyDescent="0.25">
      <c r="A22" s="183"/>
      <c r="B22" s="184"/>
      <c r="C22" s="185">
        <v>8</v>
      </c>
      <c r="D22" s="186" t="s">
        <v>614</v>
      </c>
      <c r="E22" s="185" t="s">
        <v>615</v>
      </c>
      <c r="F22" s="187"/>
      <c r="G22" s="188">
        <v>2</v>
      </c>
      <c r="H22" s="189">
        <f>VLOOKUP($F$12,'Sem5-6'!$B$7:$ZZ$37,NaN,FALSE)</f>
      </c>
      <c r="I22" s="190">
        <f>IF(H22&gt;=91, 4.00, IF(H22&gt;=81, 3.50, IF(H22&gt;=70, 3.00, IF(H22&gt;=65, 2.50, IF(H22&gt;=60, 2.00, IF(H22&gt;=55, 1.50, IF(H22&gt;=50, 1.00, 0.00)))))))</f>
      </c>
      <c r="J22" s="186">
        <f>IF(H22&gt;=91,"A",IF(H22&gt;=81,"B+",IF(H22&gt;=70,"B",IF(H22&gt;=65,"C+",IF(H22&gt;=60,"C",IF(H22&gt;=55,"D+",IF(H22&gt;=50,"D","F")))))))</f>
      </c>
      <c r="K22" s="186"/>
      <c r="L22" s="186"/>
      <c r="M22" s="136"/>
      <c r="N22" s="136"/>
      <c r="O22" s="180"/>
    </row>
    <row r="23" ht="19" customHeight="1" spans="1:15" x14ac:dyDescent="0.25">
      <c r="A23" s="183"/>
      <c r="B23" s="184"/>
      <c r="C23" s="185">
        <v>9</v>
      </c>
      <c r="D23" s="186" t="s">
        <v>616</v>
      </c>
      <c r="E23" s="185" t="s">
        <v>617</v>
      </c>
      <c r="F23" s="187"/>
      <c r="G23" s="188">
        <v>1</v>
      </c>
      <c r="H23" s="189">
        <f>VLOOKUP($F$12,'Sem5-6'!$B$7:$ZZ$37,NaN,FALSE)</f>
      </c>
      <c r="I23" s="190">
        <f>IF(H23&gt;=91, 4.00, IF(H23&gt;=81, 3.50, IF(H23&gt;=70, 3.00, IF(H23&gt;=65, 2.50, IF(H23&gt;=60, 2.00, IF(H23&gt;=55, 1.50, IF(H23&gt;=50, 1.00, 0.00)))))))</f>
      </c>
      <c r="J23" s="186">
        <f>IF(H23&gt;=91,"A",IF(H23&gt;=81,"B+",IF(H23&gt;=70,"B",IF(H23&gt;=65,"C+",IF(H23&gt;=60,"C",IF(H23&gt;=55,"D+",IF(H23&gt;=50,"D","F")))))))</f>
      </c>
      <c r="K23" s="186"/>
      <c r="L23" s="186"/>
      <c r="M23" s="136"/>
      <c r="N23" s="136"/>
      <c r="O23" s="180"/>
    </row>
    <row r="24" ht="19" customHeight="1" spans="1:15" x14ac:dyDescent="0.25">
      <c r="A24" s="183"/>
      <c r="B24" s="184"/>
      <c r="C24" s="185">
        <v>10</v>
      </c>
      <c r="D24" s="186" t="s">
        <v>618</v>
      </c>
      <c r="E24" s="185" t="s">
        <v>619</v>
      </c>
      <c r="F24" s="187"/>
      <c r="G24" s="188">
        <v>2</v>
      </c>
      <c r="H24" s="189">
        <f>VLOOKUP($F$12,'Sem5-6'!$B$7:$ZZ$37,NaN,FALSE)</f>
      </c>
      <c r="I24" s="190">
        <f>IF(H24&gt;=91, 4.00, IF(H24&gt;=81, 3.50, IF(H24&gt;=70, 3.00, IF(H24&gt;=65, 2.50, IF(H24&gt;=60, 2.00, IF(H24&gt;=55, 1.50, IF(H24&gt;=50, 1.00, 0.00)))))))</f>
      </c>
      <c r="J24" s="186">
        <f>IF(H24&gt;=91,"A",IF(H24&gt;=81,"B+",IF(H24&gt;=70,"B",IF(H24&gt;=65,"C+",IF(H24&gt;=60,"C",IF(H24&gt;=55,"D+",IF(H24&gt;=50,"D","F")))))))</f>
      </c>
      <c r="K24" s="186"/>
      <c r="L24" s="186"/>
      <c r="M24" s="136"/>
      <c r="N24" s="136"/>
      <c r="O24" s="180"/>
    </row>
    <row r="25" ht="19" customHeight="1" spans="1:15" x14ac:dyDescent="0.25">
      <c r="A25" s="183"/>
      <c r="B25" s="184"/>
      <c r="C25" s="185">
        <v>11</v>
      </c>
      <c r="D25" s="186" t="s">
        <v>620</v>
      </c>
      <c r="E25" s="185" t="s">
        <v>621</v>
      </c>
      <c r="F25" s="187"/>
      <c r="G25" s="188">
        <v>2</v>
      </c>
      <c r="H25" s="189">
        <f>VLOOKUP($F$12,'Sem5-6'!$B$7:$ZZ$37,NaN,FALSE)</f>
      </c>
      <c r="I25" s="190">
        <f>IF(H25&gt;=91, 4.00, IF(H25&gt;=81, 3.50, IF(H25&gt;=70, 3.00, IF(H25&gt;=65, 2.50, IF(H25&gt;=60, 2.00, IF(H25&gt;=55, 1.50, IF(H25&gt;=50, 1.00, 0.00)))))))</f>
      </c>
      <c r="J25" s="186">
        <f>IF(H25&gt;=91,"A",IF(H25&gt;=81,"B+",IF(H25&gt;=70,"B",IF(H25&gt;=65,"C+",IF(H25&gt;=60,"C",IF(H25&gt;=55,"D+",IF(H25&gt;=50,"D","F")))))))</f>
      </c>
      <c r="K25" s="186"/>
      <c r="L25" s="186"/>
      <c r="M25" s="136"/>
      <c r="N25" s="136"/>
      <c r="O25" s="180"/>
    </row>
    <row r="26" ht="19" customHeight="1" spans="1:43" s="192" customFormat="1" x14ac:dyDescent="0.25">
      <c r="A26" s="193" t="s">
        <v>514</v>
      </c>
      <c r="B26" s="278" t="s">
        <v>415</v>
      </c>
      <c r="C26" s="194">
        <v>1</v>
      </c>
      <c r="D26" s="195" t="s">
        <v>622</v>
      </c>
      <c r="E26" s="196" t="s">
        <v>623</v>
      </c>
      <c r="F26" s="197" t="s">
        <v>395</v>
      </c>
      <c r="G26" s="194">
        <f>SUM(G15:G25)</f>
      </c>
      <c r="H26" s="198">
        <f>VLOOKUP($F$12,'Sem5-6'!$B$7:$ZZ$37,NaN,FALSE)</f>
      </c>
      <c r="I26" s="279">
        <f>ROUND((G15*I15+G16*I16+G17*I17+G18*I18+G19*I19+G20*I20+G21*I21+G22*I22+G23*I23+G24*I24+G25*I25)/G26, 2)</f>
      </c>
      <c r="J26" s="280">
        <f>IF(H26&gt;=91,"A",IF(H26&gt;=81,"B+",IF(H26&gt;=70,"B",IF(H26&gt;=65,"C+",IF(H26&gt;=60,"C",IF(H26&gt;=55,"D+",IF(H26&gt;=50,"D","F")))))))</f>
      </c>
      <c r="K26" s="264" t="e">
        <f>(I16*G16+I17*G17+G18*I18+I19*G19+I20*G20+I21*G21+I22*G22)/(G16+G17+G18+G19+G20+G21+G22)</f>
        <v>#REF!</v>
      </c>
      <c r="L26" s="264" t="e">
        <f>(K16+K23)/2</f>
        <v>#REF!</v>
      </c>
      <c r="M26" s="181"/>
      <c r="N26" s="161"/>
      <c r="O26" s="163"/>
      <c r="P26" s="20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</row>
    <row r="27" ht="19" customHeight="1" spans="1:43" s="202" customFormat="1" x14ac:dyDescent="0.25">
      <c r="A27" s="203" t="s">
        <v>514</v>
      </c>
      <c r="B27" s="281" t="s">
        <v>415</v>
      </c>
      <c r="C27" s="204">
        <v>2</v>
      </c>
      <c r="D27" s="205" t="s">
        <v>624</v>
      </c>
      <c r="E27" s="206" t="s">
        <v>625</v>
      </c>
      <c r="F27" s="207" t="s">
        <v>403</v>
      </c>
      <c r="G27" s="204">
        <v>2</v>
      </c>
      <c r="H27" s="282">
        <f>VLOOKUP($F$12,'Sem5-6'!$B$7:$ZZ$37,NaN,FALSE)</f>
      </c>
      <c r="I27" s="208">
        <f>IF(H27&gt;=91, 4.00, IF(H27&gt;=81, 3.50, IF(H27&gt;=70, 3.00, IF(H27&gt;=65, 2.50, IF(H27&gt;=60, 2.00, IF(H27&gt;=55, 1.50, IF(H27&gt;=50, 1.00, 0.00)))))))</f>
      </c>
      <c r="J27" s="204">
        <f>IF(H27&gt;=91,"A",IF(H27&gt;=81,"B+",IF(H27&gt;=70,"B",IF(H27&gt;=65,"C+",IF(H27&gt;=60,"C",IF(H27&gt;=55,"D+",IF(H27&gt;=50,"D","F")))))))</f>
      </c>
      <c r="K27" s="266" t="e">
        <f>(I16*G16+I17*G17+G18*I18+I19*G19+I20*G20+I21*G21+I22*G22)/(G16+G17+G18+G19+G20+G21+G22)</f>
        <v>#REF!</v>
      </c>
      <c r="L27" s="266" t="e">
        <f>(K16+K23)/2</f>
        <v>#REF!</v>
      </c>
      <c r="M27" s="181"/>
      <c r="N27" s="161"/>
      <c r="O27" s="163"/>
      <c r="P27" s="20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  <c r="AQ27" s="161"/>
    </row>
    <row r="28" ht="19" customHeight="1" spans="1:43" s="202" customFormat="1" x14ac:dyDescent="0.25">
      <c r="A28" s="203" t="s">
        <v>514</v>
      </c>
      <c r="B28" s="281" t="s">
        <v>415</v>
      </c>
      <c r="C28" s="210">
        <v>3</v>
      </c>
      <c r="D28" s="205" t="s">
        <v>626</v>
      </c>
      <c r="E28" s="211" t="s">
        <v>627</v>
      </c>
      <c r="F28" s="212" t="s">
        <v>405</v>
      </c>
      <c r="G28" s="204">
        <v>1</v>
      </c>
      <c r="H28" s="282">
        <f>VLOOKUP($F$12,'Sem5-6'!$B$7:$ZZ$37,NaN,FALSE)</f>
      </c>
      <c r="I28" s="208">
        <f>IF(H28&gt;=91, 4.00, IF(H28&gt;=81, 3.50, IF(H28&gt;=70, 3.00, IF(H28&gt;=65, 2.50, IF(H28&gt;=60, 2.00, IF(H28&gt;=55, 1.50, IF(H28&gt;=50, 1.00, 0.00)))))))</f>
      </c>
      <c r="J28" s="204">
        <f>IF(H28&gt;=91,"A",IF(H28&gt;=81,"B+",IF(H28&gt;=70,"B",IF(H28&gt;=65,"C+",IF(H28&gt;=60,"C",IF(H28&gt;=55,"D+",IF(H28&gt;=50,"D","F")))))))</f>
      </c>
      <c r="K28" s="266" t="e">
        <f>(I16*G16+I17*G17+G18*I18+I19*G19+I20*G20+I21*G21+I22*G22)/(G16+G17+G18+G19+G20+G21+G22)</f>
        <v>#REF!</v>
      </c>
      <c r="L28" s="266" t="e">
        <f>(K16+K23)/2</f>
        <v>#REF!</v>
      </c>
      <c r="M28" s="181"/>
      <c r="N28" s="161"/>
      <c r="O28" s="163"/>
      <c r="P28" s="20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</row>
    <row r="29" ht="19" customHeight="1" spans="1:43" s="202" customFormat="1" x14ac:dyDescent="0.25">
      <c r="A29" s="203" t="s">
        <v>514</v>
      </c>
      <c r="B29" s="281" t="s">
        <v>415</v>
      </c>
      <c r="C29" s="210">
        <v>4</v>
      </c>
      <c r="D29" s="205" t="s">
        <v>628</v>
      </c>
      <c r="E29" s="211" t="s">
        <v>629</v>
      </c>
      <c r="F29" s="212" t="s">
        <v>401</v>
      </c>
      <c r="G29" s="204">
        <v>1</v>
      </c>
      <c r="H29" s="282">
        <f>VLOOKUP($F$12,'Sem5-6'!$B$7:$ZZ$37,NaN,FALSE)</f>
      </c>
      <c r="I29" s="208">
        <f>IF(H29&gt;=91, 4.00, IF(H29&gt;=81, 3.50, IF(H29&gt;=70, 3.00, IF(H29&gt;=65, 2.50, IF(H29&gt;=60, 2.00, IF(H29&gt;=55, 1.50, IF(H29&gt;=50, 1.00, 0.00)))))))</f>
      </c>
      <c r="J29" s="204">
        <f>IF(H29&gt;=91,"A",IF(H29&gt;=81,"B+",IF(H29&gt;=70,"B",IF(H29&gt;=65,"C+",IF(H29&gt;=60,"C",IF(H29&gt;=55,"D+",IF(H29&gt;=50,"D","F")))))))</f>
      </c>
      <c r="K29" s="266" t="e">
        <f>(I16*G16+I17*G17+G18*I18+I19*G19+I20*G20+I21*G21+I22*G22)/(G16+G17+G18+G19+G20+G21+G22)</f>
        <v>#REF!</v>
      </c>
      <c r="L29" s="266" t="e">
        <f>(K16+K23)/2</f>
        <v>#REF!</v>
      </c>
      <c r="M29" s="181"/>
      <c r="N29" s="161"/>
      <c r="O29" s="163"/>
      <c r="P29" s="20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  <c r="AQ29" s="161"/>
    </row>
    <row r="30" ht="19" customHeight="1" spans="1:43" s="202" customFormat="1" x14ac:dyDescent="0.25">
      <c r="A30" s="203" t="s">
        <v>514</v>
      </c>
      <c r="B30" s="281" t="s">
        <v>415</v>
      </c>
      <c r="C30" s="210">
        <v>5</v>
      </c>
      <c r="D30" s="205" t="s">
        <v>630</v>
      </c>
      <c r="E30" s="211" t="s">
        <v>631</v>
      </c>
      <c r="F30" s="212" t="s">
        <v>399</v>
      </c>
      <c r="G30" s="204">
        <v>1</v>
      </c>
      <c r="H30" s="282">
        <f>VLOOKUP($F$12,'Sem5-6'!$B$7:$ZZ$37,NaN,FALSE)</f>
      </c>
      <c r="I30" s="208">
        <f>IF(H30&gt;=91, 4.00, IF(H30&gt;=81, 3.50, IF(H30&gt;=70, 3.00, IF(H30&gt;=65, 2.50, IF(H30&gt;=60, 2.00, IF(H30&gt;=55, 1.50, IF(H30&gt;=50, 1.00, 0.00)))))))</f>
      </c>
      <c r="J30" s="204">
        <f>IF(H30&gt;=91,"A",IF(H30&gt;=81,"B+",IF(H30&gt;=70,"B",IF(H30&gt;=65,"C+",IF(H30&gt;=60,"C",IF(H30&gt;=55,"D+",IF(H30&gt;=50,"D","F")))))))</f>
      </c>
      <c r="K30" s="283" t="e">
        <f>(I16*G16+I17*G17+G18*I18+I19*G19+I20*G20+I21*G21+I22*G22)/(G16+G17+G18+G19+G20+G21+G22)</f>
        <v>#REF!</v>
      </c>
      <c r="L30" s="266" t="e">
        <f>(K16+K23)/2</f>
        <v>#REF!</v>
      </c>
      <c r="M30" s="181"/>
      <c r="N30" s="161"/>
      <c r="O30" s="163"/>
      <c r="P30" s="20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  <c r="AQ30" s="161"/>
    </row>
    <row r="31" ht="19" customHeight="1" spans="1:43" s="202" customFormat="1" x14ac:dyDescent="0.25">
      <c r="A31" s="203" t="s">
        <v>514</v>
      </c>
      <c r="B31" s="281" t="s">
        <v>415</v>
      </c>
      <c r="C31" s="210">
        <v>6</v>
      </c>
      <c r="D31" s="205" t="s">
        <v>632</v>
      </c>
      <c r="E31" s="211" t="s">
        <v>633</v>
      </c>
      <c r="F31" s="212" t="s">
        <v>409</v>
      </c>
      <c r="G31" s="204">
        <v>2</v>
      </c>
      <c r="H31" s="282">
        <f>VLOOKUP($F$12,'Sem5-6'!$B$7:$ZZ$37,NaN,FALSE)</f>
      </c>
      <c r="I31" s="208">
        <f>IF(H31&gt;=91, 4.00, IF(H31&gt;=81, 3.50, IF(H31&gt;=70, 3.00, IF(H31&gt;=65, 2.50, IF(H31&gt;=60, 2.00, IF(H31&gt;=55, 1.50, IF(H31&gt;=50, 1.00, 0.00)))))))</f>
      </c>
      <c r="J31" s="204">
        <f>IF(H31&gt;=91,"A",IF(H31&gt;=81,"B+",IF(H31&gt;=70,"B",IF(H31&gt;=65,"C+",IF(H31&gt;=60,"C",IF(H31&gt;=55,"D+",IF(H31&gt;=50,"D","F")))))))</f>
      </c>
      <c r="K31" s="283" t="e">
        <f>(I16*G16+I17*G17+G18*I18+I19*G19+I20*G20+I21*G21+I22*G22)/(G16+G17+G18+G19+G20+G21+G22)</f>
        <v>#REF!</v>
      </c>
      <c r="L31" s="266" t="e">
        <f>(K16+K23)/2</f>
        <v>#REF!</v>
      </c>
      <c r="M31" s="181"/>
      <c r="N31" s="161"/>
      <c r="O31" s="163"/>
      <c r="P31" s="20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  <c r="AQ31" s="161"/>
    </row>
    <row r="32" ht="19" customHeight="1" spans="1:43" s="202" customFormat="1" x14ac:dyDescent="0.25">
      <c r="A32" s="203" t="s">
        <v>514</v>
      </c>
      <c r="B32" s="281" t="s">
        <v>415</v>
      </c>
      <c r="C32" s="210">
        <v>7</v>
      </c>
      <c r="D32" s="205" t="s">
        <v>634</v>
      </c>
      <c r="E32" s="213" t="s">
        <v>635</v>
      </c>
      <c r="F32" s="214" t="s">
        <v>430</v>
      </c>
      <c r="G32" s="284">
        <v>2</v>
      </c>
      <c r="H32" s="285">
        <f>VLOOKUP($F$12,'Sem5-6'!$B$7:$ZZ$37,NaN,FALSE)</f>
      </c>
      <c r="I32" s="285">
        <f>IF(H32&gt;=91, 4.00, IF(H32&gt;=81, 3.50, IF(H32&gt;=70, 3.00, IF(H32&gt;=65, 2.50, IF(H32&gt;=60, 2.00, IF(H32&gt;=55, 1.50, IF(H32&gt;=50, 1.00, 0.00)))))))</f>
      </c>
      <c r="J32" s="284">
        <f>IF(H32&gt;=91,"A",IF(H32&gt;=81,"B+",IF(H32&gt;=70,"B",IF(H32&gt;=65,"C+",IF(H32&gt;=60,"C",IF(H32&gt;=55,"D+",IF(H32&gt;=50,"D","F")))))))</f>
      </c>
      <c r="K32" s="286" t="e">
        <f>(I16*G16+I17*G17+G18*I18+I19*G19+I20*G20+I21*G21+I22*G22)/(G16+G17+G18+G19+G20+G21+G22)</f>
        <v>#REF!</v>
      </c>
      <c r="L32" s="266" t="e">
        <f>(K16+K23)/2</f>
        <v>#REF!</v>
      </c>
      <c r="M32" s="181"/>
      <c r="N32" s="161"/>
      <c r="O32" s="163"/>
      <c r="P32" s="20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  <c r="AQ32" s="161"/>
    </row>
    <row r="33" ht="19" customHeight="1" spans="1:43" s="192" customFormat="1" x14ac:dyDescent="0.25">
      <c r="A33" s="203" t="s">
        <v>514</v>
      </c>
      <c r="B33" s="193" t="s">
        <v>433</v>
      </c>
      <c r="C33" s="194">
        <v>8</v>
      </c>
      <c r="D33" s="195" t="s">
        <v>636</v>
      </c>
      <c r="E33" s="211" t="s">
        <v>637</v>
      </c>
      <c r="F33" s="212" t="s">
        <v>417</v>
      </c>
      <c r="G33" s="195">
        <v>1</v>
      </c>
      <c r="H33" s="287">
        <f>VLOOKUP($F$12,'Sem5-6'!$B$7:$ZZ$37,NaN,FALSE)</f>
      </c>
      <c r="I33" s="223">
        <f>IF(H33&gt;=91, 4.00, IF(H33&gt;=81, 3.50, IF(H33&gt;=70, 3.00, IF(H33&gt;=65, 2.50, IF(H33&gt;=60, 2.00, IF(H33&gt;=55, 1.50, IF(H33&gt;=50, 1.00, 0.00)))))))</f>
      </c>
      <c r="J33" s="210">
        <f>IF(H33&gt;=91,"A",IF(H33&gt;=81,"B+",IF(H33&gt;=70,"B",IF(H33&gt;=65,"C+",IF(H33&gt;=60,"C",IF(H33&gt;=55,"D+",IF(H33&gt;=50,"D","F")))))))</f>
      </c>
      <c r="K33" s="264" t="e">
        <f>(I23*G23+I24*G24+I25*G25+I26*G26+I27*G27+I28*G28+I29*G29+I30*G30+I31*G31+I32*G32)/(G23+G24+G25+G26+G27+G28+G29+G30+G31+G32)</f>
        <v>#REF!</v>
      </c>
      <c r="L33" s="266" t="e">
        <f>(K16+K23)/2</f>
        <v>#REF!</v>
      </c>
      <c r="M33" s="181"/>
      <c r="N33" s="161"/>
      <c r="O33" s="161"/>
      <c r="P33" s="20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  <c r="AQ33" s="161"/>
    </row>
    <row r="34" ht="19" customHeight="1" spans="1:43" s="192" customFormat="1" x14ac:dyDescent="0.25">
      <c r="A34" s="203" t="s">
        <v>514</v>
      </c>
      <c r="B34" s="203" t="s">
        <v>433</v>
      </c>
      <c r="C34" s="210">
        <v>9</v>
      </c>
      <c r="D34" s="205" t="s">
        <v>638</v>
      </c>
      <c r="E34" s="211" t="s">
        <v>639</v>
      </c>
      <c r="F34" s="212" t="s">
        <v>423</v>
      </c>
      <c r="G34" s="205">
        <v>2</v>
      </c>
      <c r="H34" s="282">
        <f>VLOOKUP($F$12,'Sem5-6'!$B$7:$ZZ$37,NaN,FALSE)</f>
      </c>
      <c r="I34" s="223">
        <f>IF(H34&gt;=91, 4.00, IF(H34&gt;=81, 3.50, IF(H34&gt;=70, 3.00, IF(H34&gt;=65, 2.50, IF(H34&gt;=60, 2.00, IF(H34&gt;=55, 1.50, IF(H34&gt;=50, 1.00, 0.00)))))))</f>
      </c>
      <c r="J34" s="210">
        <f>IF(H34&gt;=91,"A",IF(H34&gt;=81,"B+",IF(H34&gt;=70,"B",IF(H34&gt;=65,"C+",IF(H34&gt;=60,"C",IF(H34&gt;=55,"D+",IF(H34&gt;=50,"D","F")))))))</f>
      </c>
      <c r="K34" s="266" t="e">
        <f>(I23*G23+I24*G24+I25*G25+I26*G26+I27*G27+I28*G28+I29*G29+I30*G30+I31*G31+I32*G32)/(G23+G24+G25+G26+G27+G28+G29+G30+G31+G32)</f>
        <v>#REF!</v>
      </c>
      <c r="L34" s="266" t="e">
        <f>(K16+K23)/2</f>
        <v>#REF!</v>
      </c>
      <c r="M34" s="181"/>
      <c r="N34" s="161"/>
      <c r="O34" s="161"/>
      <c r="P34" s="20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  <c r="AQ34" s="161"/>
    </row>
    <row r="35" ht="19" customHeight="1" spans="1:43" s="202" customFormat="1" x14ac:dyDescent="0.25">
      <c r="A35" s="203" t="s">
        <v>514</v>
      </c>
      <c r="B35" s="203" t="s">
        <v>433</v>
      </c>
      <c r="C35" s="204">
        <v>10</v>
      </c>
      <c r="D35" s="205" t="s">
        <v>640</v>
      </c>
      <c r="E35" s="211" t="s">
        <v>641</v>
      </c>
      <c r="F35" s="212" t="s">
        <v>421</v>
      </c>
      <c r="G35" s="205">
        <v>3</v>
      </c>
      <c r="H35" s="282">
        <f>VLOOKUP($F$12,'Sem5-6'!$B$7:$ZZ$37,NaN,FALSE)</f>
      </c>
      <c r="I35" s="223">
        <f>IF(H35&gt;=91, 4.00, IF(H35&gt;=81, 3.50, IF(H35&gt;=70, 3.00, IF(H35&gt;=65, 2.50, IF(H35&gt;=60, 2.00, IF(H35&gt;=55, 1.50, IF(H35&gt;=50, 1.00, 0.00)))))))</f>
      </c>
      <c r="J35" s="210">
        <f>IF(H35&gt;=91,"A",IF(H35&gt;=81,"B+",IF(H35&gt;=70,"B",IF(H35&gt;=65,"C+",IF(H35&gt;=60,"C",IF(H35&gt;=55,"D+",IF(H35&gt;=50,"D","F")))))))</f>
      </c>
      <c r="K35" s="266" t="e">
        <f>(I23*G23+I24*G24+I25*G25+I26*G26+I27*G27+I28*G28+I29*G29+I30*G30+I31*G31+I32*G32)/(G23+G24+G25+G26+G27+G28+G29+G30+G31+G32)</f>
        <v>#REF!</v>
      </c>
      <c r="L35" s="266" t="e">
        <f>(K16+K23)/2</f>
        <v>#REF!</v>
      </c>
      <c r="M35" s="181"/>
      <c r="N35" s="161"/>
      <c r="O35" s="161"/>
      <c r="P35" s="20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  <c r="AQ35" s="161"/>
    </row>
    <row r="36" ht="30" customHeight="1" spans="1:17" x14ac:dyDescent="0.25">
      <c r="A36" s="352" t="s">
        <v>642</v>
      </c>
      <c r="B36" s="305" t="s">
        <v>643</v>
      </c>
      <c r="C36" s="204">
        <v>10</v>
      </c>
      <c r="D36" s="204" t="s">
        <v>644</v>
      </c>
      <c r="E36" s="211" t="s">
        <v>645</v>
      </c>
      <c r="F36" s="212" t="s">
        <v>645</v>
      </c>
      <c r="G36" s="205">
        <f>SUM(G26:G35)</f>
      </c>
      <c r="H36" s="282" t="e">
        <f>VLOOKUP($F$12,#REF!,55,FALSE)</f>
        <v>#REF!</v>
      </c>
      <c r="I36" s="208">
        <f>ROUND((G26*I26+G27*I27+G28*I28+G29*I29+G30*I30+G31*I31+G32*I32+G33*I33+G34*I34+G35*I35)/G36, 2)</f>
      </c>
      <c r="J36" s="204" t="e">
        <f>IF(H61&gt;90,"A",IF(H61&gt;80,"B+",IF(H61&gt;69,"B",IF(H61&gt;64,"C+",IF(H61&gt;59,"C",IF(H61&gt;54,"D+",IF(H61&gt;49,"D",IF(H61&gt;=0,"F"))))))))</f>
        <v>#REF!</v>
      </c>
      <c r="K36" s="353" t="e">
        <f>(I52*G52+I53*G53+I54*G54+I55*G55+I56*G56+I57*G57+I58*G58+I59*G59+I60*G60+I61*G61+I62*G62)/(G52+G53+G54+G55+G56+G57+G58+G59+G60+G61+G62)</f>
        <v>#REF!</v>
      </c>
      <c r="L36" s="266" t="e">
        <f>(K52+K63)/2</f>
        <v>#REF!</v>
      </c>
      <c r="M36" s="181"/>
      <c r="N36" s="136"/>
      <c r="O36" s="136"/>
      <c r="P36" s="354"/>
      <c r="Q36" s="354"/>
    </row>
    <row r="37" ht="30" customHeight="1" spans="1:16" x14ac:dyDescent="0.25">
      <c r="A37" s="352" t="s">
        <v>642</v>
      </c>
      <c r="B37" s="305" t="s">
        <v>643</v>
      </c>
      <c r="C37" s="210">
        <v>11</v>
      </c>
      <c r="D37" s="284" t="s">
        <v>646</v>
      </c>
      <c r="E37" s="218" t="s">
        <v>530</v>
      </c>
      <c r="F37" s="219" t="s">
        <v>530</v>
      </c>
      <c r="G37" s="205">
        <v>2</v>
      </c>
      <c r="H37" s="355" t="e">
        <f>VLOOKUP($F$12,#REF!,56,FALSE)</f>
        <v>#REF!</v>
      </c>
      <c r="I37" s="285" t="e">
        <f>IF(H62&gt;90,"4.00",IF(H62&gt;80,"3.50",IF(H62&gt;69,"3.00",IF(H62&gt;64,"2.50",IF(H62&gt;59,"2.00",IF(H62&gt;54,"1.50",IF(H62&gt;49,"1.00","0.00")))))))</f>
        <v>#REF!</v>
      </c>
      <c r="J37" s="284" t="e">
        <f>IF(H62&gt;90,"A",IF(H62&gt;80,"B+",IF(H62&gt;69,"B",IF(H62&gt;64,"C+",IF(H62&gt;59,"C",IF(H62&gt;54,"D+",IF(H62&gt;49,"D",IF(H62&gt;=0,"F"))))))))</f>
        <v>#REF!</v>
      </c>
      <c r="K37" s="356" t="e">
        <f>(I52*G52+I53*G53+I54*G54+I55*G55+I56*G56+I57*G57+I58*G58+I59*G59+I60*G60+I61*G61+I62*G62)/(G52+G53+G54+G55+G56+G57+G58+G59+G60+G61+G62)</f>
        <v>#REF!</v>
      </c>
      <c r="L37" s="266" t="e">
        <f>(K52+K63)/2</f>
        <v>#REF!</v>
      </c>
      <c r="M37" s="181"/>
      <c r="N37" s="357"/>
      <c r="O37" s="357"/>
      <c r="P37" s="136"/>
    </row>
    <row r="38" ht="30" customHeight="1" spans="1:15" x14ac:dyDescent="0.25">
      <c r="A38" s="352" t="s">
        <v>642</v>
      </c>
      <c r="B38" s="193" t="s">
        <v>647</v>
      </c>
      <c r="C38" s="194">
        <v>1</v>
      </c>
      <c r="D38" s="198" t="s">
        <v>648</v>
      </c>
      <c r="E38" s="196" t="s">
        <v>623</v>
      </c>
      <c r="F38" s="197" t="s">
        <v>623</v>
      </c>
      <c r="G38" s="195">
        <v>3</v>
      </c>
      <c r="H38" s="287" t="e">
        <f>VLOOKUP($F$12,#REF!,57,FALSE)</f>
        <v>#REF!</v>
      </c>
      <c r="I38" s="223">
        <f>ROUND((I26+I36)/2, 2)</f>
      </c>
      <c r="J38" s="210" t="e">
        <f>IF(H63&gt;90,"A",IF(H63&gt;80,"B+",IF(H63&gt;69,"B",IF(H63&gt;64,"C+",IF(H63&gt;59,"C",IF(H63&gt;54,"D+",IF(H63&gt;49,"D",IF(H63&gt;=0,"F"))))))))</f>
        <v>#REF!</v>
      </c>
      <c r="K38" s="304" t="e">
        <f>(I63*G63+I64*G64+I65*G65+I66*G66+I67*G67+I68*G68+I69*G69+I70*G70+G71*I71+I72*G72)/(G63+G64+G65+G66+G67+G68+G69+G70+G71+G72)</f>
        <v>#REF!</v>
      </c>
      <c r="L38" s="266" t="e">
        <f>(K52+K63)/2</f>
        <v>#REF!</v>
      </c>
      <c r="M38" s="181"/>
      <c r="N38" s="357"/>
      <c r="O38" s="357"/>
    </row>
    <row r="39" ht="30" customHeight="1" spans="1:15" x14ac:dyDescent="0.25">
      <c r="A39" s="352" t="s">
        <v>642</v>
      </c>
      <c r="B39" s="203" t="s">
        <v>647</v>
      </c>
      <c r="C39" s="210">
        <v>2</v>
      </c>
      <c r="D39" s="204" t="s">
        <v>649</v>
      </c>
      <c r="E39" s="211" t="s">
        <v>627</v>
      </c>
      <c r="F39" s="212" t="s">
        <v>627</v>
      </c>
      <c r="G39" s="205">
        <v>1</v>
      </c>
      <c r="H39" s="282" t="e">
        <f>VLOOKUP($F$12,#REF!,58,FALSE)</f>
        <v>#REF!</v>
      </c>
      <c r="I39" s="223" t="e">
        <f>IF(H64&gt;90,"4.00",IF(H64&gt;80,"3.50",IF(H64&gt;69,"3.00",IF(H64&gt;64,"2.50",IF(H64&gt;59,"2.00",IF(H64&gt;54,"1.50",IF(H64&gt;49,"1.00","0.00")))))))</f>
        <v>#REF!</v>
      </c>
      <c r="J39" s="210" t="e">
        <f>IF(H64&gt;90,"A",IF(H64&gt;80,"B+",IF(H64&gt;69,"B",IF(H64&gt;64,"C+",IF(H64&gt;59,"C",IF(H64&gt;54,"D+",IF(H64&gt;49,"D",IF(H64&gt;=0,"F"))))))))</f>
        <v>#REF!</v>
      </c>
      <c r="K39" s="266" t="e">
        <f>(I63*G63+I64*G64+I65*G65+I66*G66+I67*G67+I68*G68+I69*G69+I70*G70+G71*I71+I72*G72)/(G63+G64+G65+G66+G67+G68+G69+G70+G71+G72)</f>
        <v>#REF!</v>
      </c>
      <c r="L39" s="266" t="e">
        <f>(K52+K63)/2</f>
        <v>#REF!</v>
      </c>
      <c r="M39" s="181"/>
      <c r="N39" s="357"/>
      <c r="O39" s="357"/>
    </row>
    <row r="40" ht="30" customHeight="1" spans="1:15" x14ac:dyDescent="0.25">
      <c r="A40" s="352" t="s">
        <v>642</v>
      </c>
      <c r="B40" s="203" t="s">
        <v>647</v>
      </c>
      <c r="C40" s="204">
        <v>3</v>
      </c>
      <c r="D40" s="204" t="s">
        <v>650</v>
      </c>
      <c r="E40" s="211" t="s">
        <v>625</v>
      </c>
      <c r="F40" s="212" t="s">
        <v>625</v>
      </c>
      <c r="G40" s="358">
        <v>2</v>
      </c>
      <c r="H40" s="282" t="e">
        <f>VLOOKUP($F$12,#REF!,59,FALSE)</f>
        <v>#REF!</v>
      </c>
      <c r="I40" s="223" t="e">
        <f>IF(H65&gt;90,"4.00",IF(H65&gt;80,"3.50",IF(H65&gt;69,"3.00",IF(H65&gt;64,"2.50",IF(H65&gt;59,"2.00",IF(H65&gt;54,"1.50",IF(H65&gt;49,"1.00","0.00")))))))</f>
        <v>#REF!</v>
      </c>
      <c r="J40" s="210" t="e">
        <f>IF(H65&gt;90,"A",IF(H65&gt;80,"B+",IF(H65&gt;69,"B",IF(H65&gt;64,"C+",IF(H65&gt;59,"C",IF(H65&gt;54,"D+",IF(H65&gt;49,"D",IF(H65&gt;=0,"F"))))))))</f>
        <v>#REF!</v>
      </c>
      <c r="K40" s="266" t="e">
        <f>(I63*G63+I64*G64+I65*G65+I66*G66+I67*G67+I68*G68+I69*G69+I70*G70+G71*I71+I72*G72)/(G63+G64+G65+G66+G67+G68+G69+G70+G71+G72)</f>
        <v>#REF!</v>
      </c>
      <c r="L40" s="266" t="e">
        <f>(K52+K63)/2</f>
        <v>#REF!</v>
      </c>
      <c r="M40" s="181"/>
      <c r="N40" s="357"/>
      <c r="O40" s="357"/>
    </row>
    <row r="41" ht="30" customHeight="1" spans="1:15" x14ac:dyDescent="0.25">
      <c r="A41" s="352" t="s">
        <v>642</v>
      </c>
      <c r="B41" s="203" t="s">
        <v>647</v>
      </c>
      <c r="C41" s="204">
        <v>4</v>
      </c>
      <c r="D41" s="204" t="s">
        <v>651</v>
      </c>
      <c r="E41" s="211" t="s">
        <v>652</v>
      </c>
      <c r="F41" s="212" t="s">
        <v>652</v>
      </c>
      <c r="G41" s="358">
        <v>1</v>
      </c>
      <c r="H41" s="282" t="e">
        <f>VLOOKUP($F$12,#REF!,60,FALSE)</f>
        <v>#REF!</v>
      </c>
      <c r="I41" s="223" t="e">
        <f>IF(H66&gt;90,"4.00",IF(H66&gt;80,"3.50",IF(H66&gt;69,"3.00",IF(H66&gt;64,"2.50",IF(H66&gt;59,"2.00",IF(H66&gt;54,"1.50",IF(H66&gt;49,"1.00","0.00")))))))</f>
        <v>#REF!</v>
      </c>
      <c r="J41" s="210" t="e">
        <f>IF(H66&gt;90,"A",IF(H66&gt;80,"B+",IF(H66&gt;69,"B",IF(H66&gt;64,"C+",IF(H66&gt;59,"C",IF(H66&gt;54,"D+",IF(H66&gt;49,"D",IF(H66&gt;=0,"F"))))))))</f>
        <v>#REF!</v>
      </c>
      <c r="K41" s="266" t="e">
        <f>(I63*G63+I64*G64+I65*G65+I66*G66+I67*G67+I68*G68+I69*G69+I70*G70+G71*I71+I72*G72)/(G63+G64+G65+G66+G67+G68+G69+G70+G71+G72)</f>
        <v>#REF!</v>
      </c>
      <c r="L41" s="266" t="e">
        <f>(K52+K63)/2</f>
        <v>#REF!</v>
      </c>
      <c r="M41" s="181"/>
      <c r="N41" s="357"/>
      <c r="O41" s="357"/>
    </row>
    <row r="42" ht="30" customHeight="1" spans="1:15" x14ac:dyDescent="0.25">
      <c r="A42" s="352" t="s">
        <v>642</v>
      </c>
      <c r="B42" s="203" t="s">
        <v>647</v>
      </c>
      <c r="C42" s="204">
        <v>5</v>
      </c>
      <c r="D42" s="204" t="s">
        <v>653</v>
      </c>
      <c r="E42" s="211" t="s">
        <v>654</v>
      </c>
      <c r="F42" s="212" t="s">
        <v>654</v>
      </c>
      <c r="G42" s="205">
        <v>1</v>
      </c>
      <c r="H42" s="282" t="e">
        <f>VLOOKUP($F$12,#REF!,61,FALSE)</f>
        <v>#REF!</v>
      </c>
      <c r="I42" s="223" t="e">
        <f>IF(H67&gt;90,"4.00",IF(H67&gt;80,"3.50",IF(H67&gt;69,"3.00",IF(H67&gt;64,"2.50",IF(H67&gt;59,"2.00",IF(H67&gt;54,"1.50",IF(H67&gt;49,"1.00","0.00")))))))</f>
        <v>#REF!</v>
      </c>
      <c r="J42" s="210" t="e">
        <f>IF(H67&gt;90,"A",IF(H67&gt;80,"B+",IF(H67&gt;69,"B",IF(H67&gt;64,"C+",IF(H67&gt;59,"C",IF(H67&gt;54,"D+",IF(H67&gt;49,"D",IF(H67&gt;=0,"F"))))))))</f>
        <v>#REF!</v>
      </c>
      <c r="K42" s="266" t="e">
        <f>(I63*G63+I64*G64+I65*G65+I66*G66+I67*G67+I68*G68+I69*G69+I70*G70+G71*I71+I72*G72)/(G63+G64+G65+G66+G67+G68+G69+G70+G71+G72)</f>
        <v>#REF!</v>
      </c>
      <c r="L42" s="266" t="e">
        <f>(K52+K63)/2</f>
        <v>#REF!</v>
      </c>
      <c r="M42" s="181"/>
      <c r="N42" s="357"/>
      <c r="O42" s="357"/>
    </row>
    <row r="43" ht="30" customHeight="1" spans="1:15" x14ac:dyDescent="0.25">
      <c r="A43" s="352" t="s">
        <v>642</v>
      </c>
      <c r="B43" s="203" t="s">
        <v>647</v>
      </c>
      <c r="C43" s="204">
        <v>6</v>
      </c>
      <c r="D43" s="204" t="s">
        <v>655</v>
      </c>
      <c r="E43" s="211" t="s">
        <v>656</v>
      </c>
      <c r="F43" s="212" t="s">
        <v>656</v>
      </c>
      <c r="G43" s="205">
        <v>1</v>
      </c>
      <c r="H43" s="282" t="e">
        <f>VLOOKUP($F$12,#REF!,62,FALSE)</f>
        <v>#REF!</v>
      </c>
      <c r="I43" s="223" t="e">
        <f>IF(H68&gt;90,"4.00",IF(H68&gt;80,"3.50",IF(H68&gt;69,"3.00",IF(H68&gt;64,"2.50",IF(H68&gt;59,"2.00",IF(H68&gt;54,"1.50",IF(H68&gt;49,"1.00","0.00")))))))</f>
        <v>#REF!</v>
      </c>
      <c r="J43" s="210" t="e">
        <f>IF(H68&gt;90,"A",IF(H68&gt;80,"B+",IF(H68&gt;69,"B",IF(H68&gt;64,"C+",IF(H68&gt;59,"C",IF(H68&gt;54,"D+",IF(H68&gt;49,"D",IF(H68&gt;=0,"F"))))))))</f>
        <v>#REF!</v>
      </c>
      <c r="K43" s="266" t="e">
        <f>(I63*G63+I64*G64+I65*G65+I66*G66+I67*G67+I68*G68+I69*G69+I70*G70+G71*I71+I72*G72)/(G63+G64+G65+G66+G67+G68+G69+G70+G71+G72)</f>
        <v>#REF!</v>
      </c>
      <c r="L43" s="266" t="e">
        <f>(K52+K63)/2</f>
        <v>#REF!</v>
      </c>
      <c r="M43" s="181"/>
      <c r="N43" s="357"/>
      <c r="O43" s="357"/>
    </row>
    <row r="44" ht="30" customHeight="1" spans="1:15" x14ac:dyDescent="0.25">
      <c r="A44" s="352" t="s">
        <v>642</v>
      </c>
      <c r="B44" s="203" t="s">
        <v>647</v>
      </c>
      <c r="C44" s="204">
        <v>7</v>
      </c>
      <c r="D44" s="216" t="s">
        <v>657</v>
      </c>
      <c r="E44" s="211" t="s">
        <v>658</v>
      </c>
      <c r="F44" s="212" t="s">
        <v>658</v>
      </c>
      <c r="G44" s="205">
        <v>1</v>
      </c>
      <c r="H44" s="282" t="e">
        <f>VLOOKUP($F$12,#REF!,63,FALSE)</f>
        <v>#REF!</v>
      </c>
      <c r="I44" s="223" t="e">
        <f>IF(H69&gt;90,"4.00",IF(H69&gt;80,"3.50",IF(H69&gt;69,"3.00",IF(H69&gt;64,"2.50",IF(H69&gt;59,"2.00",IF(H69&gt;54,"1.50",IF(H69&gt;49,"1.00","0.00")))))))</f>
        <v>#REF!</v>
      </c>
      <c r="J44" s="210" t="e">
        <f>IF(H69&gt;90,"A",IF(H69&gt;80,"B+",IF(H69&gt;69,"B",IF(H69&gt;64,"C+",IF(H69&gt;59,"C",IF(H69&gt;54,"D+",IF(H69&gt;49,"D",IF(H69&gt;=0,"F"))))))))</f>
        <v>#REF!</v>
      </c>
      <c r="K44" s="266" t="e">
        <f>(I63*G63+I64*G64+I65*G65+I66*G66+I67*G67+I68*G68+I69*G69+I70*G70+G71*I71+I72*G72)/(G63+G64+G65+G66+G67+G68+G69+G70+G71+G72)</f>
        <v>#REF!</v>
      </c>
      <c r="L44" s="266" t="e">
        <f>(K52+K63)/2</f>
        <v>#REF!</v>
      </c>
      <c r="M44" s="181"/>
      <c r="N44" s="357"/>
      <c r="O44" s="357"/>
    </row>
    <row r="45" ht="30" customHeight="1" spans="1:17" x14ac:dyDescent="0.25">
      <c r="A45" s="352" t="s">
        <v>642</v>
      </c>
      <c r="B45" s="203" t="s">
        <v>647</v>
      </c>
      <c r="C45" s="204">
        <v>8</v>
      </c>
      <c r="D45" s="204" t="s">
        <v>659</v>
      </c>
      <c r="E45" s="211" t="s">
        <v>660</v>
      </c>
      <c r="F45" s="212" t="s">
        <v>660</v>
      </c>
      <c r="G45" s="205">
        <v>2</v>
      </c>
      <c r="H45" s="282" t="e">
        <f>VLOOKUP($F$12,#REF!,64,FALSE)</f>
        <v>#REF!</v>
      </c>
      <c r="I45" s="223" t="e">
        <f>IF(H70&gt;90,"4.00",IF(H70&gt;80,"3.50",IF(H70&gt;69,"3.00",IF(H70&gt;64,"2.50",IF(H70&gt;59,"2.00",IF(H70&gt;54,"1.50",IF(H70&gt;49,"1.00","0.00")))))))</f>
        <v>#REF!</v>
      </c>
      <c r="J45" s="210" t="e">
        <f>IF(H70&gt;90,"A",IF(H70&gt;80,"B+",IF(H70&gt;69,"B",IF(H70&gt;64,"C+",IF(H70&gt;59,"C",IF(H70&gt;54,"D+",IF(H70&gt;49,"D",IF(H70&gt;=0,"F"))))))))</f>
        <v>#REF!</v>
      </c>
      <c r="K45" s="266" t="e">
        <f>(I63*G63+I64*G64+I65*G65+I66*G66+I67*G67+I68*G68+I69*G69+I70*G70+G71*I71+I72*G72)/(G63+G64+G65+G66+G67+G68+G69+G70+G71+G72)</f>
        <v>#REF!</v>
      </c>
      <c r="L45" s="266" t="e">
        <f>(K52+K63)/2</f>
        <v>#REF!</v>
      </c>
      <c r="M45" s="181"/>
      <c r="N45" s="136"/>
      <c r="O45" s="136"/>
      <c r="P45" s="357"/>
      <c r="Q45" s="357"/>
    </row>
    <row r="46" ht="30" customHeight="1" spans="1:15" x14ac:dyDescent="0.25">
      <c r="A46" s="352" t="s">
        <v>642</v>
      </c>
      <c r="B46" s="203" t="s">
        <v>647</v>
      </c>
      <c r="C46" s="204">
        <v>9</v>
      </c>
      <c r="D46" s="210" t="s">
        <v>661</v>
      </c>
      <c r="E46" s="211" t="s">
        <v>662</v>
      </c>
      <c r="F46" s="212" t="s">
        <v>662</v>
      </c>
      <c r="G46" s="205">
        <v>2</v>
      </c>
      <c r="H46" s="282" t="e">
        <f>VLOOKUP($F$12,#REF!,65,FALSE)</f>
        <v>#REF!</v>
      </c>
      <c r="I46" s="223" t="e">
        <f>IF(H71&gt;90,"4.00",IF(H71&gt;80,"3.50",IF(H71&gt;69,"3.00",IF(H71&gt;64,"2.50",IF(H71&gt;59,"2.00",IF(H71&gt;54,"1.50",IF(H71&gt;49,"1.00","0.00")))))))</f>
        <v>#REF!</v>
      </c>
      <c r="J46" s="210" t="e">
        <f>IF(H71&gt;90,"A",IF(H71&gt;80,"B+",IF(H71&gt;69,"B",IF(H71&gt;64,"C+",IF(H71&gt;59,"C",IF(H71&gt;54,"D+",IF(H71&gt;49,"D",IF(H71&gt;=0,"F"))))))))</f>
        <v>#REF!</v>
      </c>
      <c r="K46" s="266" t="e">
        <f>(I63*G63+I64*G64+I65*G65+I66*G66+I67*G67+I68*G68+I69*G69+I70*G70+G71*I71+I72*G72)/(G63+G64+G65+G66+G67+G68+G69+G70+G71+G72)</f>
        <v>#REF!</v>
      </c>
      <c r="L46" s="266" t="e">
        <f>(K52+K63)/2</f>
        <v>#REF!</v>
      </c>
      <c r="M46" s="181"/>
      <c r="N46" s="357"/>
      <c r="O46" s="357"/>
    </row>
    <row r="47" ht="30" customHeight="1" spans="1:15" x14ac:dyDescent="0.25">
      <c r="A47" s="359" t="s">
        <v>642</v>
      </c>
      <c r="B47" s="301" t="s">
        <v>647</v>
      </c>
      <c r="C47" s="284">
        <v>10</v>
      </c>
      <c r="D47" s="303" t="s">
        <v>663</v>
      </c>
      <c r="E47" s="218" t="s">
        <v>617</v>
      </c>
      <c r="F47" s="219" t="s">
        <v>617</v>
      </c>
      <c r="G47" s="205">
        <v>2</v>
      </c>
      <c r="H47" s="285" t="e">
        <f>VLOOKUP($F$12,#REF!,66,FALSE)</f>
        <v>#REF!</v>
      </c>
      <c r="I47" s="220" t="e">
        <f>IF(H72&gt;90,"4.00",IF(H72&gt;80,"3.50",IF(H72&gt;69,"3.00",IF(H72&gt;64,"2.50",IF(H72&gt;59,"2.00",IF(H72&gt;54,"1.50",IF(H72&gt;49,"1.00","0.00")))))))</f>
        <v>#REF!</v>
      </c>
      <c r="J47" s="303" t="e">
        <f>IF(H72&gt;90,"A",IF(H72&gt;80,"B+",IF(H72&gt;69,"B",IF(H72&gt;64,"C+",IF(H72&gt;59,"C",IF(H72&gt;54,"D+",IF(H72&gt;49,"D",IF(H72&gt;=0,"F"))))))))</f>
        <v>#REF!</v>
      </c>
      <c r="K47" s="286" t="e">
        <f>(I63*G63+I64*G64+I65*G65+I66*G66+I67*G67+I68*G68+I69*G69+I70*G70+G71*I71+I72*G72)/(G63+G64+G65+G66+G67+G68+G69+G70+G71+G72)</f>
        <v>#REF!</v>
      </c>
      <c r="L47" s="286" t="e">
        <f>(K52+K63)/2</f>
        <v>#REF!</v>
      </c>
      <c r="M47" s="181"/>
      <c r="N47" s="357"/>
      <c r="O47" s="357"/>
    </row>
    <row r="48" ht="30" customHeight="1" spans="1:13" x14ac:dyDescent="0.25">
      <c r="A48" s="288" t="s">
        <v>438</v>
      </c>
      <c r="B48" s="289" t="s">
        <v>438</v>
      </c>
      <c r="C48" s="289" t="s">
        <v>438</v>
      </c>
      <c r="D48" s="289" t="s">
        <v>438</v>
      </c>
      <c r="E48" s="289" t="s">
        <v>438</v>
      </c>
      <c r="F48" s="290" t="s">
        <v>438</v>
      </c>
      <c r="G48" s="291">
        <f>SUM(G16:G72)</f>
        <v>100</v>
      </c>
      <c r="H48" s="292"/>
      <c r="I48" s="293"/>
      <c r="J48" s="292" t="e">
        <f>IF(K73&gt;4,"A",IF(K73&gt;3.5,"B+",IF(K73&gt;3,"B",IF(K73&gt;2.5,"C+",IF(K73&gt;2,"C",IF(K73&gt;1.5,"D+",IF(K73&gt;1,"D",IF(K73&gt;0.5,"F"))))))))</f>
        <v>#REF!</v>
      </c>
      <c r="K48" s="294" t="e">
        <f>AVERAGE(L16:L72)</f>
        <v>#REF!</v>
      </c>
      <c r="L48" s="295" t="e">
        <f>AVERAGE(L16:L72)</f>
        <v>#REF!</v>
      </c>
      <c r="M48" s="296"/>
    </row>
    <row r="49" ht="24.75" customHeight="1" spans="1:9" x14ac:dyDescent="0.25">
      <c r="A49" s="136"/>
      <c r="B49" s="136"/>
      <c r="C49" s="136"/>
      <c r="D49" s="181"/>
      <c r="E49" s="181"/>
      <c r="F49" s="276"/>
      <c r="G49" s="136"/>
      <c r="H49" s="136"/>
      <c r="I49" s="136" t="s">
        <v>533</v>
      </c>
    </row>
    <row r="50" ht="22.5" customHeight="1" spans="1:9" x14ac:dyDescent="0.25">
      <c r="A50" s="150" t="s">
        <v>441</v>
      </c>
      <c r="B50" s="231"/>
      <c r="C50" s="142"/>
      <c r="D50" s="149"/>
      <c r="E50" s="149"/>
      <c r="F50" s="276"/>
      <c r="G50" s="136"/>
      <c r="H50" s="136"/>
      <c r="I50" s="150" t="s">
        <v>442</v>
      </c>
    </row>
    <row r="51" ht="22.5" customHeight="1" spans="1:10" x14ac:dyDescent="0.25">
      <c r="A51" s="150" t="s">
        <v>443</v>
      </c>
      <c r="B51" s="231"/>
      <c r="C51" s="142"/>
      <c r="D51" s="136"/>
      <c r="E51" s="136"/>
      <c r="F51" s="276"/>
      <c r="G51" s="136"/>
      <c r="H51" s="136"/>
      <c r="I51" s="232" t="s">
        <v>444</v>
      </c>
      <c r="J51" s="142"/>
    </row>
    <row r="52" ht="22.5" customHeight="1" spans="1:12" x14ac:dyDescent="0.25">
      <c r="A52" s="136"/>
      <c r="B52" s="233"/>
      <c r="C52" s="233"/>
      <c r="D52" s="233"/>
      <c r="E52" s="233"/>
      <c r="F52" s="234"/>
      <c r="G52" s="136"/>
      <c r="H52" s="136"/>
      <c r="I52" s="136"/>
      <c r="J52" s="180"/>
      <c r="K52" s="180"/>
      <c r="L52" s="180"/>
    </row>
    <row r="53" spans="1:12" x14ac:dyDescent="0.25">
      <c r="A53" s="136"/>
      <c r="B53" s="136"/>
      <c r="C53" s="136"/>
      <c r="D53" s="136"/>
      <c r="E53" s="136"/>
      <c r="F53" s="276"/>
      <c r="G53" s="136"/>
      <c r="H53" s="136"/>
      <c r="I53" s="136"/>
      <c r="J53" s="180"/>
      <c r="K53" s="180"/>
      <c r="L53" s="180"/>
    </row>
    <row r="54" spans="1:12" x14ac:dyDescent="0.25">
      <c r="A54" s="136"/>
      <c r="B54" s="136"/>
      <c r="C54" s="136"/>
      <c r="D54" s="136"/>
      <c r="E54" s="136"/>
      <c r="F54" s="276"/>
      <c r="G54" s="136"/>
      <c r="H54" s="136"/>
      <c r="I54" s="136"/>
      <c r="J54" s="235"/>
      <c r="K54" s="235"/>
      <c r="L54" s="235"/>
    </row>
    <row r="55" ht="30" customHeight="1" spans="1:43" s="202" customFormat="1" x14ac:dyDescent="0.25">
      <c r="A55" s="203" t="s">
        <v>535</v>
      </c>
      <c r="B55" s="305" t="s">
        <v>550</v>
      </c>
      <c r="C55" s="204">
        <v>3</v>
      </c>
      <c r="D55" s="204" t="s">
        <v>553</v>
      </c>
      <c r="E55" s="211" t="s">
        <v>520</v>
      </c>
      <c r="F55" s="212" t="s">
        <v>520</v>
      </c>
      <c r="G55" s="204">
        <v>1</v>
      </c>
      <c r="H55" s="282" t="e">
        <f>VLOOKUP($F$12,#REF!,39,FALSE)</f>
        <v>#REF!</v>
      </c>
      <c r="I55" s="223" t="e">
        <f>IF(H45&gt;90,"4.00",IF(H45&gt;80,"3.50",IF(H45&gt;69,"3.00",IF(H45&gt;64,"2.50",IF(H45&gt;59,"2.00",IF(H45&gt;54,"1.50",IF(H45&gt;49,"1.00","0.00")))))))</f>
        <v>#REF!</v>
      </c>
      <c r="J55" s="210" t="e">
        <f>IF(H45&gt;90,"A",IF(H45&gt;80,"B+",IF(H45&gt;69,"B",IF(H45&gt;64,"C+",IF(H45&gt;59,"C",IF(H45&gt;54,"D+",IF(H45&gt;49,"D",IF(H45&gt;=0,"F"))))))))</f>
        <v>#REF!</v>
      </c>
      <c r="K55" s="266" t="e">
        <f>(I43*G43+I44*G44+I45*G45+I46*G46+I47*G47+I48*G48+I49*G49+I50*G50+I51*G51)/(G43+G44+G45+G46+G47+G48+G49+G50+G51)</f>
        <v>#REF!</v>
      </c>
      <c r="L55" s="266" t="e">
        <f>(K33+K43)/2</f>
        <v>#REF!</v>
      </c>
      <c r="M55" s="181"/>
      <c r="N55" s="161"/>
      <c r="O55" s="161"/>
      <c r="P55" s="20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</row>
    <row r="56" ht="30" customHeight="1" spans="1:43" s="202" customFormat="1" x14ac:dyDescent="0.25">
      <c r="A56" s="203" t="s">
        <v>535</v>
      </c>
      <c r="B56" s="305" t="s">
        <v>550</v>
      </c>
      <c r="C56" s="210">
        <v>4</v>
      </c>
      <c r="D56" s="204" t="s">
        <v>554</v>
      </c>
      <c r="E56" s="211" t="s">
        <v>518</v>
      </c>
      <c r="F56" s="212" t="s">
        <v>518</v>
      </c>
      <c r="G56" s="204">
        <v>2</v>
      </c>
      <c r="H56" s="282" t="e">
        <f>VLOOKUP($F$12,#REF!,40,FALSE)</f>
        <v>#REF!</v>
      </c>
      <c r="I56" s="223" t="e">
        <f>IF(H46&gt;90,"4.00",IF(H46&gt;80,"3.50",IF(H46&gt;69,"3.00",IF(H46&gt;64,"2.50",IF(H46&gt;59,"2.00",IF(H46&gt;54,"1.50",IF(H46&gt;49,"1.00","0.00")))))))</f>
        <v>#REF!</v>
      </c>
      <c r="J56" s="210" t="e">
        <f>IF(H46&gt;90,"A",IF(H46&gt;80,"B+",IF(H46&gt;69,"B",IF(H46&gt;64,"C+",IF(H46&gt;59,"C",IF(H46&gt;54,"D+",IF(H46&gt;49,"D",IF(H46&gt;=0,"F"))))))))</f>
        <v>#REF!</v>
      </c>
      <c r="K56" s="266" t="e">
        <f>(I43*G43+I44*G44+I45*G45+I46*G46+I47*G47+I48*G48+I49*G49+I50*G50+I51*G51)/(G43+G44+G45+G46+G47+G48+G49+G50+G51)</f>
        <v>#REF!</v>
      </c>
      <c r="L56" s="266" t="e">
        <f>(K33+K43)/2</f>
        <v>#REF!</v>
      </c>
      <c r="M56" s="181"/>
      <c r="N56" s="161"/>
      <c r="O56" s="161"/>
      <c r="P56" s="20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</row>
    <row r="57" ht="30" customHeight="1" spans="1:43" s="202" customFormat="1" x14ac:dyDescent="0.25">
      <c r="A57" s="203" t="s">
        <v>535</v>
      </c>
      <c r="B57" s="305" t="s">
        <v>550</v>
      </c>
      <c r="C57" s="204">
        <v>5</v>
      </c>
      <c r="D57" s="204" t="s">
        <v>555</v>
      </c>
      <c r="E57" s="211" t="s">
        <v>524</v>
      </c>
      <c r="F57" s="212" t="s">
        <v>524</v>
      </c>
      <c r="G57" s="204">
        <v>1</v>
      </c>
      <c r="H57" s="282" t="e">
        <f>VLOOKUP($F$12,#REF!,41,FALSE)</f>
        <v>#REF!</v>
      </c>
      <c r="I57" s="223" t="e">
        <f>IF(H47&gt;90,"4.00",IF(H47&gt;80,"3.50",IF(H47&gt;69,"3.00",IF(H47&gt;64,"2.50",IF(H47&gt;59,"2.00",IF(H47&gt;54,"1.50",IF(H47&gt;49,"1.00","0.00")))))))</f>
        <v>#REF!</v>
      </c>
      <c r="J57" s="210" t="e">
        <f>IF(H47&gt;90,"A",IF(H47&gt;80,"B+",IF(H47&gt;69,"B",IF(H47&gt;64,"C+",IF(H47&gt;59,"C",IF(H47&gt;54,"D+",IF(H47&gt;49,"D",IF(H47&gt;=0,"F"))))))))</f>
        <v>#REF!</v>
      </c>
      <c r="K57" s="266" t="e">
        <f>(I43*G43+I44*G44+I45*G45+I46*G46+I47*G47+I48*G48+I49*G49+I50*G50+I51*G51)/(G43+G44+G45+G46+G47+G48+G49+G50+G51)</f>
        <v>#REF!</v>
      </c>
      <c r="L57" s="266" t="e">
        <f>(K33+K43)/2</f>
        <v>#REF!</v>
      </c>
      <c r="M57" s="181"/>
      <c r="N57" s="161"/>
      <c r="O57" s="161"/>
      <c r="P57" s="20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</row>
    <row r="58" ht="30" customHeight="1" spans="1:43" s="202" customFormat="1" x14ac:dyDescent="0.25">
      <c r="A58" s="203" t="s">
        <v>535</v>
      </c>
      <c r="B58" s="305" t="s">
        <v>550</v>
      </c>
      <c r="C58" s="204">
        <v>6</v>
      </c>
      <c r="D58" s="204" t="s">
        <v>556</v>
      </c>
      <c r="E58" s="211" t="s">
        <v>557</v>
      </c>
      <c r="F58" s="212" t="s">
        <v>557</v>
      </c>
      <c r="G58" s="204">
        <v>1</v>
      </c>
      <c r="H58" s="282" t="e">
        <f>VLOOKUP($F$12,#REF!,42,FALSE)</f>
        <v>#REF!</v>
      </c>
      <c r="I58" s="223" t="e">
        <f>IF(H48&gt;90,"4.00",IF(H48&gt;80,"3.50",IF(H48&gt;69,"3.00",IF(H48&gt;64,"2.50",IF(H48&gt;59,"2.00",IF(H48&gt;54,"1.50",IF(H48&gt;49,"1.00","0.00")))))))</f>
        <v>#REF!</v>
      </c>
      <c r="J58" s="210" t="e">
        <f>IF(H48&gt;90,"A",IF(H48&gt;80,"B+",IF(H48&gt;69,"B",IF(H48&gt;64,"C+",IF(H48&gt;59,"C",IF(H48&gt;54,"D+",IF(H48&gt;49,"D",IF(H48&gt;=0,"F"))))))))</f>
        <v>#REF!</v>
      </c>
      <c r="K58" s="266" t="e">
        <f>(I43*G43+I44*G44+I45*G45+I46*G46+I47*G47+I48*G48+I49*G49+I50*G50+I51*G51)/(G43+G44+G45+G46+G47+G48+G49+G50+G51)</f>
        <v>#REF!</v>
      </c>
      <c r="L58" s="266" t="e">
        <f>(K33+K43)/2</f>
        <v>#REF!</v>
      </c>
      <c r="M58" s="181"/>
      <c r="N58" s="161"/>
      <c r="O58" s="161"/>
      <c r="P58" s="20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</row>
    <row r="59" ht="30" customHeight="1" spans="1:43" s="202" customFormat="1" x14ac:dyDescent="0.25">
      <c r="A59" s="203" t="s">
        <v>535</v>
      </c>
      <c r="B59" s="305" t="s">
        <v>550</v>
      </c>
      <c r="C59" s="204">
        <v>7</v>
      </c>
      <c r="D59" s="204" t="s">
        <v>558</v>
      </c>
      <c r="E59" s="211" t="s">
        <v>559</v>
      </c>
      <c r="F59" s="212" t="s">
        <v>559</v>
      </c>
      <c r="G59" s="306">
        <v>2</v>
      </c>
      <c r="H59" s="282" t="e">
        <f>VLOOKUP($F$12,#REF!,43,FALSE)</f>
        <v>#REF!</v>
      </c>
      <c r="I59" s="223" t="e">
        <f>IF(H49&gt;90,"4.00",IF(H49&gt;80,"3.50",IF(H49&gt;69,"3.00",IF(H49&gt;64,"2.50",IF(H49&gt;59,"2.00",IF(H49&gt;54,"1.50",IF(H49&gt;49,"1.00","0.00")))))))</f>
        <v>#REF!</v>
      </c>
      <c r="J59" s="210" t="e">
        <f>IF(H49&gt;90,"A",IF(H49&gt;80,"B+",IF(H49&gt;69,"B",IF(H49&gt;64,"C+",IF(H49&gt;59,"C",IF(H49&gt;54,"D+",IF(H49&gt;49,"D",IF(H49&gt;=0,"F"))))))))</f>
        <v>#REF!</v>
      </c>
      <c r="K59" s="283" t="e">
        <f>(I43*G43+I44*G44+I45*G45+I46*G46+I47*G47+I48*G48+I49*G49+I50*G50+I51*G51)/(G43+G44+G45+G46+G47+G48+G49+G50+G51)</f>
        <v>#REF!</v>
      </c>
      <c r="L59" s="283" t="e">
        <f>(K33+K43)/2</f>
        <v>#REF!</v>
      </c>
      <c r="M59" s="181"/>
      <c r="N59" s="161"/>
      <c r="O59" s="161"/>
      <c r="P59" s="20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</row>
    <row r="60" ht="30" customHeight="1" spans="1:43" s="202" customFormat="1" x14ac:dyDescent="0.25">
      <c r="A60" s="203" t="s">
        <v>535</v>
      </c>
      <c r="B60" s="305" t="s">
        <v>550</v>
      </c>
      <c r="C60" s="210">
        <v>8</v>
      </c>
      <c r="D60" s="204" t="s">
        <v>560</v>
      </c>
      <c r="E60" s="211" t="s">
        <v>511</v>
      </c>
      <c r="F60" s="212" t="s">
        <v>511</v>
      </c>
      <c r="G60" s="204">
        <v>2</v>
      </c>
      <c r="H60" s="282" t="e">
        <f>VLOOKUP($F$12,#REF!,44,FALSE)</f>
        <v>#REF!</v>
      </c>
      <c r="I60" s="223" t="e">
        <f>IF(H50&gt;90,"4.00",IF(H50&gt;80,"3.50",IF(H50&gt;69,"3.00",IF(H50&gt;64,"2.50",IF(H50&gt;59,"2.00",IF(H50&gt;54,"1.50",IF(H50&gt;49,"1.00","0.00")))))))</f>
        <v>#REF!</v>
      </c>
      <c r="J60" s="210" t="e">
        <f>IF(H50&gt;90,"A",IF(H50&gt;80,"B+",IF(H50&gt;69,"B",IF(H50&gt;64,"C+",IF(H50&gt;59,"C",IF(H50&gt;54,"D+",IF(H50&gt;49,"D",IF(H50&gt;=0,"F"))))))))</f>
        <v>#REF!</v>
      </c>
      <c r="K60" s="283" t="e">
        <f>(I43*G43+I44*G44+I45*G45+I46*G46+I47*G47+I48*G48+I49*G49+I50*G50+I51*G51)/(G43+G44+G45+G46+G47+G48+G49+G50+G51)</f>
        <v>#REF!</v>
      </c>
      <c r="L60" s="283" t="e">
        <f>(K33+K43)/2</f>
        <v>#REF!</v>
      </c>
      <c r="M60" s="181"/>
      <c r="N60" s="161"/>
      <c r="O60" s="161"/>
      <c r="P60" s="20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</row>
    <row r="61" ht="30" customHeight="1" spans="1:43" s="202" customFormat="1" x14ac:dyDescent="0.25">
      <c r="A61" s="301" t="s">
        <v>535</v>
      </c>
      <c r="B61" s="307" t="s">
        <v>550</v>
      </c>
      <c r="C61" s="284">
        <v>9</v>
      </c>
      <c r="D61" s="284" t="s">
        <v>561</v>
      </c>
      <c r="E61" s="218" t="s">
        <v>562</v>
      </c>
      <c r="F61" s="219" t="s">
        <v>562</v>
      </c>
      <c r="G61" s="284">
        <v>2</v>
      </c>
      <c r="H61" s="285" t="e">
        <f>VLOOKUP($F$12,#REF!,45,FALSE)</f>
        <v>#REF!</v>
      </c>
      <c r="I61" s="285" t="e">
        <f>IF(H51&gt;90,"4.00",IF(H51&gt;80,"3.50",IF(H51&gt;69,"3.00",IF(H51&gt;64,"2.50",IF(H51&gt;59,"2.00",IF(H51&gt;54,"1.50",IF(H51&gt;49,"1.00","0.00")))))))</f>
        <v>#REF!</v>
      </c>
      <c r="J61" s="284" t="e">
        <f>IF(H51&gt;90,"A",IF(H51&gt;80,"B+",IF(H51&gt;69,"B",IF(H51&gt;64,"C+",IF(H51&gt;59,"C",IF(H51&gt;54,"D+",IF(H51&gt;49,"D",IF(H51&gt;=0,"F"))))))))</f>
        <v>#REF!</v>
      </c>
      <c r="K61" s="286" t="e">
        <f>(I43*G43+I44*G44+I45*G45+I46*G46+I47*G47+I48*G48+I49*G49+I50*G50+I51*G51)/(G43+G44+G45+G46+G47+G48+G49+G50+G51)</f>
        <v>#REF!</v>
      </c>
      <c r="L61" s="286" t="e">
        <f>(K33+K43)/2</f>
        <v>#REF!</v>
      </c>
      <c r="M61" s="181"/>
      <c r="N61" s="161"/>
      <c r="O61" s="161"/>
      <c r="P61" s="20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</row>
    <row r="62" ht="30" customHeight="1" spans="1:13" x14ac:dyDescent="0.25">
      <c r="A62" s="360" t="s">
        <v>642</v>
      </c>
      <c r="B62" s="193" t="s">
        <v>643</v>
      </c>
      <c r="C62" s="194">
        <v>1</v>
      </c>
      <c r="D62" s="194" t="s">
        <v>664</v>
      </c>
      <c r="E62" s="361" t="s">
        <v>665</v>
      </c>
      <c r="F62" s="362" t="s">
        <v>665</v>
      </c>
      <c r="G62" s="299">
        <v>3</v>
      </c>
      <c r="H62" s="287" t="e">
        <f>VLOOKUP($F$12,#REF!,46,FALSE)</f>
        <v>#REF!</v>
      </c>
      <c r="I62" s="340" t="e">
        <f>IF(H52&gt;90,"4.00",IF(H52&gt;80,"3.50",IF(H52&gt;69,"3.00",IF(H52&gt;64,"2.50",IF(H52&gt;59,"2.00",IF(H52&gt;54,"1.50",IF(H52&gt;49,"1.00","0.00")))))))</f>
        <v>#REF!</v>
      </c>
      <c r="J62" s="194" t="e">
        <f>IF(H52&gt;90,"A",IF(H52&gt;80,"B+",IF(H52&gt;69,"B",IF(H52&gt;64,"C+",IF(H52&gt;59,"C",IF(H52&gt;54,"D+",IF(H52&gt;49,"D",IF(H52&gt;=0,"F"))))))))</f>
        <v>#REF!</v>
      </c>
      <c r="K62" s="363" t="e">
        <f>(I52*G52+I53*G53+I54*G54+I55*G55+I56*G56+I57*G57+I58*G58+I59*G59+I60*G60+I61*G61+I62*G62)/(G52+G53+G54+G55+G56+G57+G58+G59+G60+G61+G62)</f>
        <v>#REF!</v>
      </c>
      <c r="L62" s="264" t="e">
        <f>(K52+K63)/2</f>
        <v>#REF!</v>
      </c>
      <c r="M62" s="181"/>
    </row>
    <row r="63" ht="30" customHeight="1" spans="1:13" x14ac:dyDescent="0.25">
      <c r="A63" s="364" t="s">
        <v>642</v>
      </c>
      <c r="B63" s="203" t="s">
        <v>643</v>
      </c>
      <c r="C63" s="210">
        <v>2</v>
      </c>
      <c r="D63" s="216" t="s">
        <v>666</v>
      </c>
      <c r="E63" s="221" t="s">
        <v>605</v>
      </c>
      <c r="F63" s="222" t="s">
        <v>605</v>
      </c>
      <c r="G63" s="358">
        <v>1</v>
      </c>
      <c r="H63" s="282" t="e">
        <f>VLOOKUP($F$12,#REF!,47,FALSE)</f>
        <v>#REF!</v>
      </c>
      <c r="I63" s="208" t="e">
        <f>IF(H53&gt;90,"4.00",IF(H53&gt;80,"3.50",IF(H53&gt;69,"3.00",IF(H53&gt;64,"2.50",IF(H53&gt;59,"2.00",IF(H53&gt;54,"1.50",IF(H53&gt;49,"1.00","0.00")))))))</f>
        <v>#REF!</v>
      </c>
      <c r="J63" s="204" t="e">
        <f>IF(H53&gt;90,"A",IF(H53&gt;80,"B+",IF(H53&gt;69,"B",IF(H53&gt;64,"C+",IF(H53&gt;59,"C",IF(H53&gt;54,"D+",IF(H53&gt;49,"D",IF(H53&gt;=0,"F"))))))))</f>
        <v>#REF!</v>
      </c>
      <c r="K63" s="353" t="e">
        <f>(I52*G52+I53*G53+I54*G54+I55*G55+I56*G56+I57*G57+I58*G58+I59*G59+I60*G60+I61*G61+I62*G62)/(G52+G53+G54+G55+G56+G57+G58+G59+G60+G61+G62)</f>
        <v>#REF!</v>
      </c>
      <c r="L63" s="304" t="e">
        <f>(K52+K63)/2</f>
        <v>#REF!</v>
      </c>
      <c r="M63" s="181"/>
    </row>
    <row r="64" ht="30" customHeight="1" spans="1:16" x14ac:dyDescent="0.25">
      <c r="A64" s="352" t="s">
        <v>642</v>
      </c>
      <c r="B64" s="305" t="s">
        <v>643</v>
      </c>
      <c r="C64" s="210">
        <v>3</v>
      </c>
      <c r="D64" s="204" t="s">
        <v>667</v>
      </c>
      <c r="E64" s="211" t="s">
        <v>603</v>
      </c>
      <c r="F64" s="212" t="s">
        <v>603</v>
      </c>
      <c r="G64" s="205">
        <v>2</v>
      </c>
      <c r="H64" s="282" t="e">
        <f>VLOOKUP($F$12,#REF!,48,FALSE)</f>
        <v>#REF!</v>
      </c>
      <c r="I64" s="208" t="e">
        <f>IF(H54&gt;90,"4.00",IF(H54&gt;80,"3.50",IF(H54&gt;69,"3.00",IF(H54&gt;64,"2.50",IF(H54&gt;59,"2.00",IF(H54&gt;54,"1.50",IF(H54&gt;49,"1.00","0.00")))))))</f>
        <v>#REF!</v>
      </c>
      <c r="J64" s="204" t="e">
        <f>IF(H54&gt;90,"A",IF(H54&gt;80,"B+",IF(H54&gt;69,"B",IF(H54&gt;64,"C+",IF(H54&gt;59,"C",IF(H54&gt;54,"D+",IF(H54&gt;49,"D",IF(H54&gt;=0,"F"))))))))</f>
        <v>#REF!</v>
      </c>
      <c r="K64" s="353" t="e">
        <f>(I52*G52+I53*G53+I54*G54+I55*G55+I56*G56+I57*G57+I58*G58+I59*G59+I60*G60+I61*G61+I62*G62)/(G52+G53+G54+G55+G56+G57+G58+G59+G60+G61+G62)</f>
        <v>#REF!</v>
      </c>
      <c r="L64" s="266" t="e">
        <f>(K52+K63)/2</f>
        <v>#REF!</v>
      </c>
      <c r="M64" s="181"/>
      <c r="N64" s="357"/>
      <c r="O64" s="357"/>
      <c r="P64" s="136"/>
    </row>
    <row r="65" ht="30" customHeight="1" spans="1:16" x14ac:dyDescent="0.25">
      <c r="A65" s="352" t="s">
        <v>642</v>
      </c>
      <c r="B65" s="305" t="s">
        <v>643</v>
      </c>
      <c r="C65" s="204">
        <v>4</v>
      </c>
      <c r="D65" s="204" t="s">
        <v>668</v>
      </c>
      <c r="E65" s="211" t="s">
        <v>669</v>
      </c>
      <c r="F65" s="212" t="s">
        <v>669</v>
      </c>
      <c r="G65" s="205">
        <v>1</v>
      </c>
      <c r="H65" s="282" t="e">
        <f>VLOOKUP($F$12,#REF!,49,FALSE)</f>
        <v>#REF!</v>
      </c>
      <c r="I65" s="208" t="e">
        <f>IF(H55&gt;90,"4.00",IF(H55&gt;80,"3.50",IF(H55&gt;69,"3.00",IF(H55&gt;64,"2.50",IF(H55&gt;59,"2.00",IF(H55&gt;54,"1.50",IF(H55&gt;49,"1.00","0.00")))))))</f>
        <v>#REF!</v>
      </c>
      <c r="J65" s="204" t="e">
        <f>IF(H55&gt;90,"A",IF(H55&gt;80,"B+",IF(H55&gt;69,"B",IF(H55&gt;64,"C+",IF(H55&gt;59,"C",IF(H55&gt;54,"D+",IF(H55&gt;49,"D",IF(H55&gt;=0,"F"))))))))</f>
        <v>#REF!</v>
      </c>
      <c r="K65" s="353" t="e">
        <f>(I52*G52+I53*G53+I54*G54+I55*G55+I56*G56+I57*G57+I58*G58+I59*G59+I60*G60+I61*G61+I62*G62)/(G52+G53+G54+G55+G56+G57+G58+G59+G60+G61+G62)</f>
        <v>#REF!</v>
      </c>
      <c r="L65" s="266" t="e">
        <f>(K52+K63)/2</f>
        <v>#REF!</v>
      </c>
      <c r="M65" s="181"/>
      <c r="N65" s="357"/>
      <c r="O65" s="357"/>
      <c r="P65" s="136"/>
    </row>
    <row r="66" ht="30" customHeight="1" spans="1:17" x14ac:dyDescent="0.25">
      <c r="A66" s="352" t="s">
        <v>642</v>
      </c>
      <c r="B66" s="305" t="s">
        <v>643</v>
      </c>
      <c r="C66" s="204">
        <v>5</v>
      </c>
      <c r="D66" s="204" t="s">
        <v>670</v>
      </c>
      <c r="E66" s="211" t="s">
        <v>671</v>
      </c>
      <c r="F66" s="212" t="s">
        <v>671</v>
      </c>
      <c r="G66" s="205">
        <v>1</v>
      </c>
      <c r="H66" s="282" t="e">
        <f>VLOOKUP($F$12,#REF!,50,FALSE)</f>
        <v>#REF!</v>
      </c>
      <c r="I66" s="208" t="e">
        <f>IF(H56&gt;90,"4.00",IF(H56&gt;80,"3.50",IF(H56&gt;69,"3.00",IF(H56&gt;64,"2.50",IF(H56&gt;59,"2.00",IF(H56&gt;54,"1.50",IF(H56&gt;49,"1.00","0.00")))))))</f>
        <v>#REF!</v>
      </c>
      <c r="J66" s="204" t="e">
        <f>IF(H56&gt;90,"A",IF(H56&gt;80,"B+",IF(H56&gt;69,"B",IF(H56&gt;64,"C+",IF(H56&gt;59,"C",IF(H56&gt;54,"D+",IF(H56&gt;49,"D",IF(H56&gt;=0,"F"))))))))</f>
        <v>#REF!</v>
      </c>
      <c r="K66" s="353" t="e">
        <f>(I52*G52+I53*G53+I54*G54+I55*G55+I56*G56+I57*G57+I58*G58+I59*G59+I60*G60+I61*G61+I62*G62)/(G52+G53+G54+G55+G56+G57+G58+G59+G60+G61+G62)</f>
        <v>#REF!</v>
      </c>
      <c r="L66" s="266" t="e">
        <f>(K52+K63)/2</f>
        <v>#REF!</v>
      </c>
      <c r="M66" s="181"/>
      <c r="N66" s="136"/>
      <c r="O66" s="136"/>
      <c r="P66" s="354"/>
      <c r="Q66" s="354"/>
    </row>
    <row r="67" ht="30" customHeight="1" spans="1:17" x14ac:dyDescent="0.25">
      <c r="A67" s="352" t="s">
        <v>642</v>
      </c>
      <c r="B67" s="305" t="s">
        <v>643</v>
      </c>
      <c r="C67" s="210">
        <v>6</v>
      </c>
      <c r="D67" s="204" t="s">
        <v>672</v>
      </c>
      <c r="E67" s="211" t="s">
        <v>673</v>
      </c>
      <c r="F67" s="212" t="s">
        <v>673</v>
      </c>
      <c r="G67" s="358">
        <v>1</v>
      </c>
      <c r="H67" s="282" t="e">
        <f>VLOOKUP($F$12,#REF!,51,FALSE)</f>
        <v>#REF!</v>
      </c>
      <c r="I67" s="208" t="e">
        <f>IF(H57&gt;90,"4.00",IF(H57&gt;80,"3.50",IF(H57&gt;69,"3.00",IF(H57&gt;64,"2.50",IF(H57&gt;59,"2.00",IF(H57&gt;54,"1.50",IF(H57&gt;49,"1.00","0.00")))))))</f>
        <v>#REF!</v>
      </c>
      <c r="J67" s="204" t="e">
        <f>IF(H57&gt;90,"A",IF(H57&gt;80,"B+",IF(H57&gt;69,"B",IF(H57&gt;64,"C+",IF(H57&gt;59,"C",IF(H57&gt;54,"D+",IF(H57&gt;49,"D",IF(H57&gt;=0,"F"))))))))</f>
        <v>#REF!</v>
      </c>
      <c r="K67" s="353" t="e">
        <f>(I52*G52+I53*G53+I54*G54+I55*G55+I56*G56+I57*G57+I58*G58+I59*G59+I60*G60+I61*G61+I62*G62)/(G52+G53+G54+G55+G56+G57+G58+G59+G60+G61+G62)</f>
        <v>#REF!</v>
      </c>
      <c r="L67" s="266" t="e">
        <f>(K52+K63)/2</f>
        <v>#REF!</v>
      </c>
      <c r="M67" s="181"/>
      <c r="N67" s="136"/>
      <c r="O67" s="136"/>
      <c r="P67" s="354"/>
      <c r="Q67" s="354"/>
    </row>
    <row r="68" ht="30" customHeight="1" spans="1:17" x14ac:dyDescent="0.25">
      <c r="A68" s="352" t="s">
        <v>642</v>
      </c>
      <c r="B68" s="305" t="s">
        <v>643</v>
      </c>
      <c r="C68" s="210">
        <v>7</v>
      </c>
      <c r="D68" s="204" t="s">
        <v>674</v>
      </c>
      <c r="E68" s="211" t="s">
        <v>675</v>
      </c>
      <c r="F68" s="212" t="s">
        <v>675</v>
      </c>
      <c r="G68" s="205">
        <v>1</v>
      </c>
      <c r="H68" s="282" t="e">
        <f>VLOOKUP($F$12,#REF!,52,FALSE)</f>
        <v>#REF!</v>
      </c>
      <c r="I68" s="208" t="e">
        <f>IF(H58&gt;90,"4.00",IF(H58&gt;80,"3.50",IF(H58&gt;69,"3.00",IF(H58&gt;64,"2.50",IF(H58&gt;59,"2.00",IF(H58&gt;54,"1.50",IF(H58&gt;49,"1.00","0.00")))))))</f>
        <v>#REF!</v>
      </c>
      <c r="J68" s="204" t="e">
        <f>IF(H58&gt;90,"A",IF(H58&gt;80,"B+",IF(H58&gt;69,"B",IF(H58&gt;64,"C+",IF(H58&gt;59,"C",IF(H58&gt;54,"D+",IF(H58&gt;49,"D",IF(H58&gt;=0,"F"))))))))</f>
        <v>#REF!</v>
      </c>
      <c r="K68" s="353" t="e">
        <f>(I52*G52+I53*G53+I54*G54+I55*G55+I56*G56+I57*G57+I58*G58+I59*G59+I60*G60+I61*G61+I62*G62)/(G52+G53+G54+G55+G56+G57+G58+G59+G60+G61+G62)</f>
        <v>#REF!</v>
      </c>
      <c r="L68" s="266" t="e">
        <f>(K52+K63)/2</f>
        <v>#REF!</v>
      </c>
      <c r="M68" s="181"/>
      <c r="N68" s="136"/>
      <c r="O68" s="136"/>
      <c r="P68" s="354"/>
      <c r="Q68" s="354"/>
    </row>
    <row r="69" ht="30" customHeight="1" spans="1:17" x14ac:dyDescent="0.25">
      <c r="A69" s="352" t="s">
        <v>642</v>
      </c>
      <c r="B69" s="305" t="s">
        <v>643</v>
      </c>
      <c r="C69" s="210">
        <v>8</v>
      </c>
      <c r="D69" s="216" t="s">
        <v>676</v>
      </c>
      <c r="E69" s="221" t="s">
        <v>677</v>
      </c>
      <c r="F69" s="222" t="s">
        <v>677</v>
      </c>
      <c r="G69" s="205">
        <v>2</v>
      </c>
      <c r="H69" s="282" t="e">
        <f>VLOOKUP($F$12,#REF!,53,FALSE)</f>
        <v>#REF!</v>
      </c>
      <c r="I69" s="208" t="e">
        <f>IF(H59&gt;90,"4.00",IF(H59&gt;80,"3.50",IF(H59&gt;69,"3.00",IF(H59&gt;64,"2.50",IF(H59&gt;59,"2.00",IF(H59&gt;54,"1.50",IF(H59&gt;49,"1.00","0.00")))))))</f>
        <v>#REF!</v>
      </c>
      <c r="J69" s="204" t="e">
        <f>IF(H59&gt;90,"A",IF(H59&gt;80,"B+",IF(H59&gt;69,"B",IF(H59&gt;64,"C+",IF(H59&gt;59,"C",IF(H59&gt;54,"D+",IF(H59&gt;49,"D",IF(H59&gt;=0,"F"))))))))</f>
        <v>#REF!</v>
      </c>
      <c r="K69" s="353" t="e">
        <f>(I52*G52+I53*G53+I54*G54+I55*G55+I56*G56+I57*G57+I58*G58+I59*G59+I60*G60+I61*G61+I62*G62)/(G52+G53+G54+G55+G56+G57+G58+G59+G60+G61+G62)</f>
        <v>#REF!</v>
      </c>
      <c r="L69" s="266" t="e">
        <f>(K52+K63)/2</f>
        <v>#REF!</v>
      </c>
      <c r="M69" s="181"/>
      <c r="N69" s="136"/>
      <c r="O69" s="136"/>
      <c r="P69" s="354"/>
      <c r="Q69" s="354"/>
    </row>
    <row r="70" ht="30" customHeight="1" spans="1:17" x14ac:dyDescent="0.25">
      <c r="A70" s="352" t="s">
        <v>642</v>
      </c>
      <c r="B70" s="305" t="s">
        <v>643</v>
      </c>
      <c r="C70" s="204">
        <v>9</v>
      </c>
      <c r="D70" s="204" t="s">
        <v>678</v>
      </c>
      <c r="E70" s="211" t="s">
        <v>662</v>
      </c>
      <c r="F70" s="212" t="s">
        <v>662</v>
      </c>
      <c r="G70" s="205">
        <v>2</v>
      </c>
      <c r="H70" s="282" t="e">
        <f>VLOOKUP($F$12,#REF!,54,FALSE)</f>
        <v>#REF!</v>
      </c>
      <c r="I70" s="208" t="e">
        <f>IF(H60&gt;90,"4.00",IF(H60&gt;80,"3.50",IF(H60&gt;69,"3.00",IF(H60&gt;64,"2.50",IF(H60&gt;59,"2.00",IF(H60&gt;54,"1.50",IF(H60&gt;49,"1.00","0.00")))))))</f>
        <v>#REF!</v>
      </c>
      <c r="J70" s="204" t="e">
        <f>IF(H60&gt;90,"A",IF(H60&gt;80,"B+",IF(H60&gt;69,"B",IF(H60&gt;64,"C+",IF(H60&gt;59,"C",IF(H60&gt;54,"D+",IF(H60&gt;49,"D",IF(H60&gt;=0,"F"))))))))</f>
        <v>#REF!</v>
      </c>
      <c r="K70" s="353" t="e">
        <f>(I52*G52+I53*G53+I54*G54+I55*G55+I56*G56+I57*G57+I58*G58+I59*G59+I60*G60+I61*G61+I62*G62)/(G52+G53+G54+G55+G56+G57+G58+G59+G60+G61+G62)</f>
        <v>#REF!</v>
      </c>
      <c r="L70" s="266" t="e">
        <f>(K52+K63)/2</f>
        <v>#REF!</v>
      </c>
      <c r="M70" s="181"/>
      <c r="N70" s="136"/>
      <c r="O70" s="136"/>
      <c r="P70" s="354"/>
      <c r="Q70" s="354"/>
    </row>
  </sheetData>
  <mergeCells count="1">
    <mergeCell ref="A1:X15"/>
  </mergeCells>
  <printOptions horizontalCentered="1"/>
  <pageMargins left="0.7" right="0.7" top="0.75" bottom="0.75" header="0.3" footer="0.3"/>
  <pageSetup paperSize="9" orientation="portrait" horizontalDpi="0" verticalDpi="0" scale="38" fitToWidth="1" fitToHeight="1" firstPageNumber="1" useFirstPageNumber="1" copies="1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0"/>
  <sheetViews>
    <sheetView workbookViewId="0">
      <selection activeCell="A1" sqref="A1"/>
    </sheetView>
  </sheetViews>
  <sheetFormatPr defaultRowHeight="14" outlineLevelRow="0" outlineLevelCol="0" x14ac:dyDescent="0" defaultColWidth="8.83203125" customHeight="1"/>
  <cols>
    <col min="1" max="1" width="6.5" style="136" customWidth="1"/>
    <col min="2" max="2" width="7.33203125" style="136" customWidth="1"/>
    <col min="3" max="3" width="4.5" style="136" customWidth="1"/>
    <col min="4" max="4" width="2.33203125" style="136" customWidth="1"/>
    <col min="5" max="5" width="22.33203125" style="136" customWidth="1"/>
    <col min="6" max="6" width="8.5" style="136" customWidth="1"/>
    <col min="7" max="7" width="8" style="136" customWidth="1"/>
    <col min="8" max="8" width="8.6640625" style="136" customWidth="1"/>
    <col min="9" max="9" width="8.33203125" style="136" customWidth="1"/>
    <col min="10" max="11" width="6.5" style="136" customWidth="1"/>
    <col min="12" max="12" width="9.1640625" style="136" customWidth="1"/>
    <col min="13" max="13" width="10.5" style="136" customWidth="1"/>
    <col min="14" max="14" width="22.1640625" style="136" customWidth="1"/>
    <col min="15" max="15" width="9.1640625" style="137" customWidth="1"/>
    <col min="16" max="255" width="9.1640625" style="136" customWidth="1"/>
    <col min="256" max="256" width="6.33203125" style="136" customWidth="1"/>
    <col min="257" max="258" width="5.5" style="136" customWidth="1"/>
    <col min="259" max="259" width="11.5" style="136" customWidth="1"/>
    <col min="260" max="260" width="2.33203125" style="136" customWidth="1"/>
    <col min="261" max="261" width="29.6640625" style="136" customWidth="1"/>
    <col min="262" max="262" width="10.1640625" style="136" customWidth="1"/>
    <col min="263" max="263" width="8" style="136" customWidth="1"/>
    <col min="264" max="264" width="8.6640625" style="136" customWidth="1"/>
    <col min="265" max="265" width="8.33203125" style="136" customWidth="1"/>
    <col min="266" max="266" width="8" style="136" customWidth="1"/>
    <col min="267" max="267" width="9.33203125" style="136" customWidth="1"/>
    <col min="268" max="268" width="9.1640625" style="136" customWidth="1"/>
    <col min="269" max="269" width="10.5" style="136" customWidth="1"/>
    <col min="270" max="270" width="22.1640625" style="136" customWidth="1"/>
    <col min="271" max="511" width="9.1640625" style="136" customWidth="1"/>
    <col min="512" max="512" width="6.33203125" style="136" customWidth="1"/>
    <col min="513" max="514" width="5.5" style="136" customWidth="1"/>
    <col min="515" max="515" width="11.5" style="136" customWidth="1"/>
    <col min="516" max="516" width="2.33203125" style="136" customWidth="1"/>
    <col min="517" max="517" width="29.6640625" style="136" customWidth="1"/>
    <col min="518" max="518" width="10.1640625" style="136" customWidth="1"/>
    <col min="519" max="519" width="8" style="136" customWidth="1"/>
    <col min="520" max="520" width="8.6640625" style="136" customWidth="1"/>
    <col min="521" max="521" width="8.33203125" style="136" customWidth="1"/>
    <col min="522" max="522" width="8" style="136" customWidth="1"/>
    <col min="523" max="523" width="9.33203125" style="136" customWidth="1"/>
    <col min="524" max="524" width="9.1640625" style="136" customWidth="1"/>
    <col min="525" max="525" width="10.5" style="136" customWidth="1"/>
    <col min="526" max="526" width="22.1640625" style="136" customWidth="1"/>
    <col min="527" max="767" width="9.1640625" style="136" customWidth="1"/>
    <col min="768" max="768" width="6.33203125" style="136" customWidth="1"/>
    <col min="769" max="770" width="5.5" style="136" customWidth="1"/>
    <col min="771" max="771" width="11.5" style="136" customWidth="1"/>
    <col min="772" max="772" width="2.33203125" style="136" customWidth="1"/>
    <col min="773" max="773" width="29.6640625" style="136" customWidth="1"/>
    <col min="774" max="774" width="10.1640625" style="136" customWidth="1"/>
    <col min="775" max="775" width="8" style="136" customWidth="1"/>
    <col min="776" max="776" width="8.6640625" style="136" customWidth="1"/>
    <col min="777" max="777" width="8.33203125" style="136" customWidth="1"/>
    <col min="778" max="778" width="8" style="136" customWidth="1"/>
    <col min="779" max="779" width="9.33203125" style="136" customWidth="1"/>
    <col min="780" max="780" width="9.1640625" style="136" customWidth="1"/>
    <col min="781" max="781" width="10.5" style="136" customWidth="1"/>
    <col min="782" max="782" width="22.1640625" style="136" customWidth="1"/>
    <col min="783" max="1023" width="9.1640625" style="136" customWidth="1"/>
    <col min="1024" max="1024" width="6.33203125" style="136" customWidth="1"/>
    <col min="1025" max="1026" width="5.5" style="136" customWidth="1"/>
    <col min="1027" max="1027" width="11.5" style="136" customWidth="1"/>
    <col min="1028" max="1028" width="2.33203125" style="136" customWidth="1"/>
    <col min="1029" max="1029" width="29.6640625" style="136" customWidth="1"/>
    <col min="1030" max="1030" width="10.1640625" style="136" customWidth="1"/>
    <col min="1031" max="1031" width="8" style="136" customWidth="1"/>
    <col min="1032" max="1032" width="8.6640625" style="136" customWidth="1"/>
    <col min="1033" max="1033" width="8.33203125" style="136" customWidth="1"/>
    <col min="1034" max="1034" width="8" style="136" customWidth="1"/>
    <col min="1035" max="1035" width="9.33203125" style="136" customWidth="1"/>
    <col min="1036" max="1036" width="9.1640625" style="136" customWidth="1"/>
    <col min="1037" max="1037" width="10.5" style="136" customWidth="1"/>
    <col min="1038" max="1038" width="22.1640625" style="136" customWidth="1"/>
    <col min="1039" max="1279" width="9.1640625" style="136" customWidth="1"/>
    <col min="1280" max="1280" width="6.33203125" style="136" customWidth="1"/>
    <col min="1281" max="1282" width="5.5" style="136" customWidth="1"/>
    <col min="1283" max="1283" width="11.5" style="136" customWidth="1"/>
    <col min="1284" max="1284" width="2.33203125" style="136" customWidth="1"/>
    <col min="1285" max="1285" width="29.6640625" style="136" customWidth="1"/>
    <col min="1286" max="1286" width="10.1640625" style="136" customWidth="1"/>
    <col min="1287" max="1287" width="8" style="136" customWidth="1"/>
    <col min="1288" max="1288" width="8.6640625" style="136" customWidth="1"/>
    <col min="1289" max="1289" width="8.33203125" style="136" customWidth="1"/>
    <col min="1290" max="1290" width="8" style="136" customWidth="1"/>
    <col min="1291" max="1291" width="9.33203125" style="136" customWidth="1"/>
    <col min="1292" max="1292" width="9.1640625" style="136" customWidth="1"/>
    <col min="1293" max="1293" width="10.5" style="136" customWidth="1"/>
    <col min="1294" max="1294" width="22.1640625" style="136" customWidth="1"/>
    <col min="1295" max="1535" width="9.1640625" style="136" customWidth="1"/>
    <col min="1536" max="1536" width="6.33203125" style="136" customWidth="1"/>
    <col min="1537" max="1538" width="5.5" style="136" customWidth="1"/>
    <col min="1539" max="1539" width="11.5" style="136" customWidth="1"/>
    <col min="1540" max="1540" width="2.33203125" style="136" customWidth="1"/>
    <col min="1541" max="1541" width="29.6640625" style="136" customWidth="1"/>
    <col min="1542" max="1542" width="10.1640625" style="136" customWidth="1"/>
    <col min="1543" max="1543" width="8" style="136" customWidth="1"/>
    <col min="1544" max="1544" width="8.6640625" style="136" customWidth="1"/>
    <col min="1545" max="1545" width="8.33203125" style="136" customWidth="1"/>
    <col min="1546" max="1546" width="8" style="136" customWidth="1"/>
    <col min="1547" max="1547" width="9.33203125" style="136" customWidth="1"/>
    <col min="1548" max="1548" width="9.1640625" style="136" customWidth="1"/>
    <col min="1549" max="1549" width="10.5" style="136" customWidth="1"/>
    <col min="1550" max="1550" width="22.1640625" style="136" customWidth="1"/>
    <col min="1551" max="1791" width="9.1640625" style="136" customWidth="1"/>
    <col min="1792" max="1792" width="6.33203125" style="136" customWidth="1"/>
    <col min="1793" max="1794" width="5.5" style="136" customWidth="1"/>
    <col min="1795" max="1795" width="11.5" style="136" customWidth="1"/>
    <col min="1796" max="1796" width="2.33203125" style="136" customWidth="1"/>
    <col min="1797" max="1797" width="29.6640625" style="136" customWidth="1"/>
    <col min="1798" max="1798" width="10.1640625" style="136" customWidth="1"/>
    <col min="1799" max="1799" width="8" style="136" customWidth="1"/>
    <col min="1800" max="1800" width="8.6640625" style="136" customWidth="1"/>
    <col min="1801" max="1801" width="8.33203125" style="136" customWidth="1"/>
    <col min="1802" max="1802" width="8" style="136" customWidth="1"/>
    <col min="1803" max="1803" width="9.33203125" style="136" customWidth="1"/>
    <col min="1804" max="1804" width="9.1640625" style="136" customWidth="1"/>
    <col min="1805" max="1805" width="10.5" style="136" customWidth="1"/>
    <col min="1806" max="1806" width="22.1640625" style="136" customWidth="1"/>
    <col min="1807" max="2047" width="9.1640625" style="136" customWidth="1"/>
    <col min="2048" max="2048" width="6.33203125" style="136" customWidth="1"/>
    <col min="2049" max="2050" width="5.5" style="136" customWidth="1"/>
    <col min="2051" max="2051" width="11.5" style="136" customWidth="1"/>
    <col min="2052" max="2052" width="2.33203125" style="136" customWidth="1"/>
    <col min="2053" max="2053" width="29.6640625" style="136" customWidth="1"/>
    <col min="2054" max="2054" width="10.1640625" style="136" customWidth="1"/>
    <col min="2055" max="2055" width="8" style="136" customWidth="1"/>
    <col min="2056" max="2056" width="8.6640625" style="136" customWidth="1"/>
    <col min="2057" max="2057" width="8.33203125" style="136" customWidth="1"/>
    <col min="2058" max="2058" width="8" style="136" customWidth="1"/>
    <col min="2059" max="2059" width="9.33203125" style="136" customWidth="1"/>
    <col min="2060" max="2060" width="9.1640625" style="136" customWidth="1"/>
    <col min="2061" max="2061" width="10.5" style="136" customWidth="1"/>
    <col min="2062" max="2062" width="22.1640625" style="136" customWidth="1"/>
    <col min="2063" max="2303" width="9.1640625" style="136" customWidth="1"/>
    <col min="2304" max="2304" width="6.33203125" style="136" customWidth="1"/>
    <col min="2305" max="2306" width="5.5" style="136" customWidth="1"/>
    <col min="2307" max="2307" width="11.5" style="136" customWidth="1"/>
    <col min="2308" max="2308" width="2.33203125" style="136" customWidth="1"/>
    <col min="2309" max="2309" width="29.6640625" style="136" customWidth="1"/>
    <col min="2310" max="2310" width="10.1640625" style="136" customWidth="1"/>
    <col min="2311" max="2311" width="8" style="136" customWidth="1"/>
    <col min="2312" max="2312" width="8.6640625" style="136" customWidth="1"/>
    <col min="2313" max="2313" width="8.33203125" style="136" customWidth="1"/>
    <col min="2314" max="2314" width="8" style="136" customWidth="1"/>
    <col min="2315" max="2315" width="9.33203125" style="136" customWidth="1"/>
    <col min="2316" max="2316" width="9.1640625" style="136" customWidth="1"/>
    <col min="2317" max="2317" width="10.5" style="136" customWidth="1"/>
    <col min="2318" max="2318" width="22.1640625" style="136" customWidth="1"/>
    <col min="2319" max="2559" width="9.1640625" style="136" customWidth="1"/>
    <col min="2560" max="2560" width="6.33203125" style="136" customWidth="1"/>
    <col min="2561" max="2562" width="5.5" style="136" customWidth="1"/>
    <col min="2563" max="2563" width="11.5" style="136" customWidth="1"/>
    <col min="2564" max="2564" width="2.33203125" style="136" customWidth="1"/>
    <col min="2565" max="2565" width="29.6640625" style="136" customWidth="1"/>
    <col min="2566" max="2566" width="10.1640625" style="136" customWidth="1"/>
    <col min="2567" max="2567" width="8" style="136" customWidth="1"/>
    <col min="2568" max="2568" width="8.6640625" style="136" customWidth="1"/>
    <col min="2569" max="2569" width="8.33203125" style="136" customWidth="1"/>
    <col min="2570" max="2570" width="8" style="136" customWidth="1"/>
    <col min="2571" max="2571" width="9.33203125" style="136" customWidth="1"/>
    <col min="2572" max="2572" width="9.1640625" style="136" customWidth="1"/>
    <col min="2573" max="2573" width="10.5" style="136" customWidth="1"/>
    <col min="2574" max="2574" width="22.1640625" style="136" customWidth="1"/>
    <col min="2575" max="2815" width="9.1640625" style="136" customWidth="1"/>
    <col min="2816" max="2816" width="6.33203125" style="136" customWidth="1"/>
    <col min="2817" max="2818" width="5.5" style="136" customWidth="1"/>
    <col min="2819" max="2819" width="11.5" style="136" customWidth="1"/>
    <col min="2820" max="2820" width="2.33203125" style="136" customWidth="1"/>
    <col min="2821" max="2821" width="29.6640625" style="136" customWidth="1"/>
    <col min="2822" max="2822" width="10.1640625" style="136" customWidth="1"/>
    <col min="2823" max="2823" width="8" style="136" customWidth="1"/>
    <col min="2824" max="2824" width="8.6640625" style="136" customWidth="1"/>
    <col min="2825" max="2825" width="8.33203125" style="136" customWidth="1"/>
    <col min="2826" max="2826" width="8" style="136" customWidth="1"/>
    <col min="2827" max="2827" width="9.33203125" style="136" customWidth="1"/>
    <col min="2828" max="2828" width="9.1640625" style="136" customWidth="1"/>
    <col min="2829" max="2829" width="10.5" style="136" customWidth="1"/>
    <col min="2830" max="2830" width="22.1640625" style="136" customWidth="1"/>
    <col min="2831" max="3071" width="9.1640625" style="136" customWidth="1"/>
    <col min="3072" max="3072" width="6.33203125" style="136" customWidth="1"/>
    <col min="3073" max="3074" width="5.5" style="136" customWidth="1"/>
    <col min="3075" max="3075" width="11.5" style="136" customWidth="1"/>
    <col min="3076" max="3076" width="2.33203125" style="136" customWidth="1"/>
    <col min="3077" max="3077" width="29.6640625" style="136" customWidth="1"/>
    <col min="3078" max="3078" width="10.1640625" style="136" customWidth="1"/>
    <col min="3079" max="3079" width="8" style="136" customWidth="1"/>
    <col min="3080" max="3080" width="8.6640625" style="136" customWidth="1"/>
    <col min="3081" max="3081" width="8.33203125" style="136" customWidth="1"/>
    <col min="3082" max="3082" width="8" style="136" customWidth="1"/>
    <col min="3083" max="3083" width="9.33203125" style="136" customWidth="1"/>
    <col min="3084" max="3084" width="9.1640625" style="136" customWidth="1"/>
    <col min="3085" max="3085" width="10.5" style="136" customWidth="1"/>
    <col min="3086" max="3086" width="22.1640625" style="136" customWidth="1"/>
    <col min="3087" max="3327" width="9.1640625" style="136" customWidth="1"/>
    <col min="3328" max="3328" width="6.33203125" style="136" customWidth="1"/>
    <col min="3329" max="3330" width="5.5" style="136" customWidth="1"/>
    <col min="3331" max="3331" width="11.5" style="136" customWidth="1"/>
    <col min="3332" max="3332" width="2.33203125" style="136" customWidth="1"/>
    <col min="3333" max="3333" width="29.6640625" style="136" customWidth="1"/>
    <col min="3334" max="3334" width="10.1640625" style="136" customWidth="1"/>
    <col min="3335" max="3335" width="8" style="136" customWidth="1"/>
    <col min="3336" max="3336" width="8.6640625" style="136" customWidth="1"/>
    <col min="3337" max="3337" width="8.33203125" style="136" customWidth="1"/>
    <col min="3338" max="3338" width="8" style="136" customWidth="1"/>
    <col min="3339" max="3339" width="9.33203125" style="136" customWidth="1"/>
    <col min="3340" max="3340" width="9.1640625" style="136" customWidth="1"/>
    <col min="3341" max="3341" width="10.5" style="136" customWidth="1"/>
    <col min="3342" max="3342" width="22.1640625" style="136" customWidth="1"/>
    <col min="3343" max="3583" width="9.1640625" style="136" customWidth="1"/>
    <col min="3584" max="3584" width="6.33203125" style="136" customWidth="1"/>
    <col min="3585" max="3586" width="5.5" style="136" customWidth="1"/>
    <col min="3587" max="3587" width="11.5" style="136" customWidth="1"/>
    <col min="3588" max="3588" width="2.33203125" style="136" customWidth="1"/>
    <col min="3589" max="3589" width="29.6640625" style="136" customWidth="1"/>
    <col min="3590" max="3590" width="10.1640625" style="136" customWidth="1"/>
    <col min="3591" max="3591" width="8" style="136" customWidth="1"/>
    <col min="3592" max="3592" width="8.6640625" style="136" customWidth="1"/>
    <col min="3593" max="3593" width="8.33203125" style="136" customWidth="1"/>
    <col min="3594" max="3594" width="8" style="136" customWidth="1"/>
    <col min="3595" max="3595" width="9.33203125" style="136" customWidth="1"/>
    <col min="3596" max="3596" width="9.1640625" style="136" customWidth="1"/>
    <col min="3597" max="3597" width="10.5" style="136" customWidth="1"/>
    <col min="3598" max="3598" width="22.1640625" style="136" customWidth="1"/>
    <col min="3599" max="3839" width="9.1640625" style="136" customWidth="1"/>
    <col min="3840" max="3840" width="6.33203125" style="136" customWidth="1"/>
    <col min="3841" max="3842" width="5.5" style="136" customWidth="1"/>
    <col min="3843" max="3843" width="11.5" style="136" customWidth="1"/>
    <col min="3844" max="3844" width="2.33203125" style="136" customWidth="1"/>
    <col min="3845" max="3845" width="29.6640625" style="136" customWidth="1"/>
    <col min="3846" max="3846" width="10.1640625" style="136" customWidth="1"/>
    <col min="3847" max="3847" width="8" style="136" customWidth="1"/>
    <col min="3848" max="3848" width="8.6640625" style="136" customWidth="1"/>
    <col min="3849" max="3849" width="8.33203125" style="136" customWidth="1"/>
    <col min="3850" max="3850" width="8" style="136" customWidth="1"/>
    <col min="3851" max="3851" width="9.33203125" style="136" customWidth="1"/>
    <col min="3852" max="3852" width="9.1640625" style="136" customWidth="1"/>
    <col min="3853" max="3853" width="10.5" style="136" customWidth="1"/>
    <col min="3854" max="3854" width="22.1640625" style="136" customWidth="1"/>
    <col min="3855" max="4095" width="9.1640625" style="136" customWidth="1"/>
    <col min="4096" max="4096" width="6.33203125" style="136" customWidth="1"/>
    <col min="4097" max="4098" width="5.5" style="136" customWidth="1"/>
    <col min="4099" max="4099" width="11.5" style="136" customWidth="1"/>
    <col min="4100" max="4100" width="2.33203125" style="136" customWidth="1"/>
    <col min="4101" max="4101" width="29.6640625" style="136" customWidth="1"/>
    <col min="4102" max="4102" width="10.1640625" style="136" customWidth="1"/>
    <col min="4103" max="4103" width="8" style="136" customWidth="1"/>
    <col min="4104" max="4104" width="8.6640625" style="136" customWidth="1"/>
    <col min="4105" max="4105" width="8.33203125" style="136" customWidth="1"/>
    <col min="4106" max="4106" width="8" style="136" customWidth="1"/>
    <col min="4107" max="4107" width="9.33203125" style="136" customWidth="1"/>
    <col min="4108" max="4108" width="9.1640625" style="136" customWidth="1"/>
    <col min="4109" max="4109" width="10.5" style="136" customWidth="1"/>
    <col min="4110" max="4110" width="22.1640625" style="136" customWidth="1"/>
    <col min="4111" max="4351" width="9.1640625" style="136" customWidth="1"/>
    <col min="4352" max="4352" width="6.33203125" style="136" customWidth="1"/>
    <col min="4353" max="4354" width="5.5" style="136" customWidth="1"/>
    <col min="4355" max="4355" width="11.5" style="136" customWidth="1"/>
    <col min="4356" max="4356" width="2.33203125" style="136" customWidth="1"/>
    <col min="4357" max="4357" width="29.6640625" style="136" customWidth="1"/>
    <col min="4358" max="4358" width="10.1640625" style="136" customWidth="1"/>
    <col min="4359" max="4359" width="8" style="136" customWidth="1"/>
    <col min="4360" max="4360" width="8.6640625" style="136" customWidth="1"/>
    <col min="4361" max="4361" width="8.33203125" style="136" customWidth="1"/>
    <col min="4362" max="4362" width="8" style="136" customWidth="1"/>
    <col min="4363" max="4363" width="9.33203125" style="136" customWidth="1"/>
    <col min="4364" max="4364" width="9.1640625" style="136" customWidth="1"/>
    <col min="4365" max="4365" width="10.5" style="136" customWidth="1"/>
    <col min="4366" max="4366" width="22.1640625" style="136" customWidth="1"/>
    <col min="4367" max="4607" width="9.1640625" style="136" customWidth="1"/>
    <col min="4608" max="4608" width="6.33203125" style="136" customWidth="1"/>
    <col min="4609" max="4610" width="5.5" style="136" customWidth="1"/>
    <col min="4611" max="4611" width="11.5" style="136" customWidth="1"/>
    <col min="4612" max="4612" width="2.33203125" style="136" customWidth="1"/>
    <col min="4613" max="4613" width="29.6640625" style="136" customWidth="1"/>
    <col min="4614" max="4614" width="10.1640625" style="136" customWidth="1"/>
    <col min="4615" max="4615" width="8" style="136" customWidth="1"/>
    <col min="4616" max="4616" width="8.6640625" style="136" customWidth="1"/>
    <col min="4617" max="4617" width="8.33203125" style="136" customWidth="1"/>
    <col min="4618" max="4618" width="8" style="136" customWidth="1"/>
    <col min="4619" max="4619" width="9.33203125" style="136" customWidth="1"/>
    <col min="4620" max="4620" width="9.1640625" style="136" customWidth="1"/>
    <col min="4621" max="4621" width="10.5" style="136" customWidth="1"/>
    <col min="4622" max="4622" width="22.1640625" style="136" customWidth="1"/>
    <col min="4623" max="4863" width="9.1640625" style="136" customWidth="1"/>
    <col min="4864" max="4864" width="6.33203125" style="136" customWidth="1"/>
    <col min="4865" max="4866" width="5.5" style="136" customWidth="1"/>
    <col min="4867" max="4867" width="11.5" style="136" customWidth="1"/>
    <col min="4868" max="4868" width="2.33203125" style="136" customWidth="1"/>
    <col min="4869" max="4869" width="29.6640625" style="136" customWidth="1"/>
    <col min="4870" max="4870" width="10.1640625" style="136" customWidth="1"/>
    <col min="4871" max="4871" width="8" style="136" customWidth="1"/>
    <col min="4872" max="4872" width="8.6640625" style="136" customWidth="1"/>
    <col min="4873" max="4873" width="8.33203125" style="136" customWidth="1"/>
    <col min="4874" max="4874" width="8" style="136" customWidth="1"/>
    <col min="4875" max="4875" width="9.33203125" style="136" customWidth="1"/>
    <col min="4876" max="4876" width="9.1640625" style="136" customWidth="1"/>
    <col min="4877" max="4877" width="10.5" style="136" customWidth="1"/>
    <col min="4878" max="4878" width="22.1640625" style="136" customWidth="1"/>
    <col min="4879" max="5119" width="9.1640625" style="136" customWidth="1"/>
    <col min="5120" max="5120" width="6.33203125" style="136" customWidth="1"/>
    <col min="5121" max="5122" width="5.5" style="136" customWidth="1"/>
    <col min="5123" max="5123" width="11.5" style="136" customWidth="1"/>
    <col min="5124" max="5124" width="2.33203125" style="136" customWidth="1"/>
    <col min="5125" max="5125" width="29.6640625" style="136" customWidth="1"/>
    <col min="5126" max="5126" width="10.1640625" style="136" customWidth="1"/>
    <col min="5127" max="5127" width="8" style="136" customWidth="1"/>
    <col min="5128" max="5128" width="8.6640625" style="136" customWidth="1"/>
    <col min="5129" max="5129" width="8.33203125" style="136" customWidth="1"/>
    <col min="5130" max="5130" width="8" style="136" customWidth="1"/>
    <col min="5131" max="5131" width="9.33203125" style="136" customWidth="1"/>
    <col min="5132" max="5132" width="9.1640625" style="136" customWidth="1"/>
    <col min="5133" max="5133" width="10.5" style="136" customWidth="1"/>
    <col min="5134" max="5134" width="22.1640625" style="136" customWidth="1"/>
    <col min="5135" max="5375" width="9.1640625" style="136" customWidth="1"/>
    <col min="5376" max="5376" width="6.33203125" style="136" customWidth="1"/>
    <col min="5377" max="5378" width="5.5" style="136" customWidth="1"/>
    <col min="5379" max="5379" width="11.5" style="136" customWidth="1"/>
    <col min="5380" max="5380" width="2.33203125" style="136" customWidth="1"/>
    <col min="5381" max="5381" width="29.6640625" style="136" customWidth="1"/>
    <col min="5382" max="5382" width="10.1640625" style="136" customWidth="1"/>
    <col min="5383" max="5383" width="8" style="136" customWidth="1"/>
    <col min="5384" max="5384" width="8.6640625" style="136" customWidth="1"/>
    <col min="5385" max="5385" width="8.33203125" style="136" customWidth="1"/>
    <col min="5386" max="5386" width="8" style="136" customWidth="1"/>
    <col min="5387" max="5387" width="9.33203125" style="136" customWidth="1"/>
    <col min="5388" max="5388" width="9.1640625" style="136" customWidth="1"/>
    <col min="5389" max="5389" width="10.5" style="136" customWidth="1"/>
    <col min="5390" max="5390" width="22.1640625" style="136" customWidth="1"/>
    <col min="5391" max="5631" width="9.1640625" style="136" customWidth="1"/>
    <col min="5632" max="5632" width="6.33203125" style="136" customWidth="1"/>
    <col min="5633" max="5634" width="5.5" style="136" customWidth="1"/>
    <col min="5635" max="5635" width="11.5" style="136" customWidth="1"/>
    <col min="5636" max="5636" width="2.33203125" style="136" customWidth="1"/>
    <col min="5637" max="5637" width="29.6640625" style="136" customWidth="1"/>
    <col min="5638" max="5638" width="10.1640625" style="136" customWidth="1"/>
    <col min="5639" max="5639" width="8" style="136" customWidth="1"/>
    <col min="5640" max="5640" width="8.6640625" style="136" customWidth="1"/>
    <col min="5641" max="5641" width="8.33203125" style="136" customWidth="1"/>
    <col min="5642" max="5642" width="8" style="136" customWidth="1"/>
    <col min="5643" max="5643" width="9.33203125" style="136" customWidth="1"/>
    <col min="5644" max="5644" width="9.1640625" style="136" customWidth="1"/>
    <col min="5645" max="5645" width="10.5" style="136" customWidth="1"/>
    <col min="5646" max="5646" width="22.1640625" style="136" customWidth="1"/>
    <col min="5647" max="5887" width="9.1640625" style="136" customWidth="1"/>
    <col min="5888" max="5888" width="6.33203125" style="136" customWidth="1"/>
    <col min="5889" max="5890" width="5.5" style="136" customWidth="1"/>
    <col min="5891" max="5891" width="11.5" style="136" customWidth="1"/>
    <col min="5892" max="5892" width="2.33203125" style="136" customWidth="1"/>
    <col min="5893" max="5893" width="29.6640625" style="136" customWidth="1"/>
    <col min="5894" max="5894" width="10.1640625" style="136" customWidth="1"/>
    <col min="5895" max="5895" width="8" style="136" customWidth="1"/>
    <col min="5896" max="5896" width="8.6640625" style="136" customWidth="1"/>
    <col min="5897" max="5897" width="8.33203125" style="136" customWidth="1"/>
    <col min="5898" max="5898" width="8" style="136" customWidth="1"/>
    <col min="5899" max="5899" width="9.33203125" style="136" customWidth="1"/>
    <col min="5900" max="5900" width="9.1640625" style="136" customWidth="1"/>
    <col min="5901" max="5901" width="10.5" style="136" customWidth="1"/>
    <col min="5902" max="5902" width="22.1640625" style="136" customWidth="1"/>
    <col min="5903" max="6143" width="9.1640625" style="136" customWidth="1"/>
    <col min="6144" max="6144" width="6.33203125" style="136" customWidth="1"/>
    <col min="6145" max="6146" width="5.5" style="136" customWidth="1"/>
    <col min="6147" max="6147" width="11.5" style="136" customWidth="1"/>
    <col min="6148" max="6148" width="2.33203125" style="136" customWidth="1"/>
    <col min="6149" max="6149" width="29.6640625" style="136" customWidth="1"/>
    <col min="6150" max="6150" width="10.1640625" style="136" customWidth="1"/>
    <col min="6151" max="6151" width="8" style="136" customWidth="1"/>
    <col min="6152" max="6152" width="8.6640625" style="136" customWidth="1"/>
    <col min="6153" max="6153" width="8.33203125" style="136" customWidth="1"/>
    <col min="6154" max="6154" width="8" style="136" customWidth="1"/>
    <col min="6155" max="6155" width="9.33203125" style="136" customWidth="1"/>
    <col min="6156" max="6156" width="9.1640625" style="136" customWidth="1"/>
    <col min="6157" max="6157" width="10.5" style="136" customWidth="1"/>
    <col min="6158" max="6158" width="22.1640625" style="136" customWidth="1"/>
    <col min="6159" max="6399" width="9.1640625" style="136" customWidth="1"/>
    <col min="6400" max="6400" width="6.33203125" style="136" customWidth="1"/>
    <col min="6401" max="6402" width="5.5" style="136" customWidth="1"/>
    <col min="6403" max="6403" width="11.5" style="136" customWidth="1"/>
    <col min="6404" max="6404" width="2.33203125" style="136" customWidth="1"/>
    <col min="6405" max="6405" width="29.6640625" style="136" customWidth="1"/>
    <col min="6406" max="6406" width="10.1640625" style="136" customWidth="1"/>
    <col min="6407" max="6407" width="8" style="136" customWidth="1"/>
    <col min="6408" max="6408" width="8.6640625" style="136" customWidth="1"/>
    <col min="6409" max="6409" width="8.33203125" style="136" customWidth="1"/>
    <col min="6410" max="6410" width="8" style="136" customWidth="1"/>
    <col min="6411" max="6411" width="9.33203125" style="136" customWidth="1"/>
    <col min="6412" max="6412" width="9.1640625" style="136" customWidth="1"/>
    <col min="6413" max="6413" width="10.5" style="136" customWidth="1"/>
    <col min="6414" max="6414" width="22.1640625" style="136" customWidth="1"/>
    <col min="6415" max="6655" width="9.1640625" style="136" customWidth="1"/>
    <col min="6656" max="6656" width="6.33203125" style="136" customWidth="1"/>
    <col min="6657" max="6658" width="5.5" style="136" customWidth="1"/>
    <col min="6659" max="6659" width="11.5" style="136" customWidth="1"/>
    <col min="6660" max="6660" width="2.33203125" style="136" customWidth="1"/>
    <col min="6661" max="6661" width="29.6640625" style="136" customWidth="1"/>
    <col min="6662" max="6662" width="10.1640625" style="136" customWidth="1"/>
    <col min="6663" max="6663" width="8" style="136" customWidth="1"/>
    <col min="6664" max="6664" width="8.6640625" style="136" customWidth="1"/>
    <col min="6665" max="6665" width="8.33203125" style="136" customWidth="1"/>
    <col min="6666" max="6666" width="8" style="136" customWidth="1"/>
    <col min="6667" max="6667" width="9.33203125" style="136" customWidth="1"/>
    <col min="6668" max="6668" width="9.1640625" style="136" customWidth="1"/>
    <col min="6669" max="6669" width="10.5" style="136" customWidth="1"/>
    <col min="6670" max="6670" width="22.1640625" style="136" customWidth="1"/>
    <col min="6671" max="6911" width="9.1640625" style="136" customWidth="1"/>
    <col min="6912" max="6912" width="6.33203125" style="136" customWidth="1"/>
    <col min="6913" max="6914" width="5.5" style="136" customWidth="1"/>
    <col min="6915" max="6915" width="11.5" style="136" customWidth="1"/>
    <col min="6916" max="6916" width="2.33203125" style="136" customWidth="1"/>
    <col min="6917" max="6917" width="29.6640625" style="136" customWidth="1"/>
    <col min="6918" max="6918" width="10.1640625" style="136" customWidth="1"/>
    <col min="6919" max="6919" width="8" style="136" customWidth="1"/>
    <col min="6920" max="6920" width="8.6640625" style="136" customWidth="1"/>
    <col min="6921" max="6921" width="8.33203125" style="136" customWidth="1"/>
    <col min="6922" max="6922" width="8" style="136" customWidth="1"/>
    <col min="6923" max="6923" width="9.33203125" style="136" customWidth="1"/>
    <col min="6924" max="6924" width="9.1640625" style="136" customWidth="1"/>
    <col min="6925" max="6925" width="10.5" style="136" customWidth="1"/>
    <col min="6926" max="6926" width="22.1640625" style="136" customWidth="1"/>
    <col min="6927" max="7167" width="9.1640625" style="136" customWidth="1"/>
    <col min="7168" max="7168" width="6.33203125" style="136" customWidth="1"/>
    <col min="7169" max="7170" width="5.5" style="136" customWidth="1"/>
    <col min="7171" max="7171" width="11.5" style="136" customWidth="1"/>
    <col min="7172" max="7172" width="2.33203125" style="136" customWidth="1"/>
    <col min="7173" max="7173" width="29.6640625" style="136" customWidth="1"/>
    <col min="7174" max="7174" width="10.1640625" style="136" customWidth="1"/>
    <col min="7175" max="7175" width="8" style="136" customWidth="1"/>
    <col min="7176" max="7176" width="8.6640625" style="136" customWidth="1"/>
    <col min="7177" max="7177" width="8.33203125" style="136" customWidth="1"/>
    <col min="7178" max="7178" width="8" style="136" customWidth="1"/>
    <col min="7179" max="7179" width="9.33203125" style="136" customWidth="1"/>
    <col min="7180" max="7180" width="9.1640625" style="136" customWidth="1"/>
    <col min="7181" max="7181" width="10.5" style="136" customWidth="1"/>
    <col min="7182" max="7182" width="22.1640625" style="136" customWidth="1"/>
    <col min="7183" max="7423" width="9.1640625" style="136" customWidth="1"/>
    <col min="7424" max="7424" width="6.33203125" style="136" customWidth="1"/>
    <col min="7425" max="7426" width="5.5" style="136" customWidth="1"/>
    <col min="7427" max="7427" width="11.5" style="136" customWidth="1"/>
    <col min="7428" max="7428" width="2.33203125" style="136" customWidth="1"/>
    <col min="7429" max="7429" width="29.6640625" style="136" customWidth="1"/>
    <col min="7430" max="7430" width="10.1640625" style="136" customWidth="1"/>
    <col min="7431" max="7431" width="8" style="136" customWidth="1"/>
    <col min="7432" max="7432" width="8.6640625" style="136" customWidth="1"/>
    <col min="7433" max="7433" width="8.33203125" style="136" customWidth="1"/>
    <col min="7434" max="7434" width="8" style="136" customWidth="1"/>
    <col min="7435" max="7435" width="9.33203125" style="136" customWidth="1"/>
    <col min="7436" max="7436" width="9.1640625" style="136" customWidth="1"/>
    <col min="7437" max="7437" width="10.5" style="136" customWidth="1"/>
    <col min="7438" max="7438" width="22.1640625" style="136" customWidth="1"/>
    <col min="7439" max="7679" width="9.1640625" style="136" customWidth="1"/>
    <col min="7680" max="7680" width="6.33203125" style="136" customWidth="1"/>
    <col min="7681" max="7682" width="5.5" style="136" customWidth="1"/>
    <col min="7683" max="7683" width="11.5" style="136" customWidth="1"/>
    <col min="7684" max="7684" width="2.33203125" style="136" customWidth="1"/>
    <col min="7685" max="7685" width="29.6640625" style="136" customWidth="1"/>
    <col min="7686" max="7686" width="10.1640625" style="136" customWidth="1"/>
    <col min="7687" max="7687" width="8" style="136" customWidth="1"/>
    <col min="7688" max="7688" width="8.6640625" style="136" customWidth="1"/>
    <col min="7689" max="7689" width="8.33203125" style="136" customWidth="1"/>
    <col min="7690" max="7690" width="8" style="136" customWidth="1"/>
    <col min="7691" max="7691" width="9.33203125" style="136" customWidth="1"/>
    <col min="7692" max="7692" width="9.1640625" style="136" customWidth="1"/>
    <col min="7693" max="7693" width="10.5" style="136" customWidth="1"/>
    <col min="7694" max="7694" width="22.1640625" style="136" customWidth="1"/>
    <col min="7695" max="7935" width="9.1640625" style="136" customWidth="1"/>
    <col min="7936" max="7936" width="6.33203125" style="136" customWidth="1"/>
    <col min="7937" max="7938" width="5.5" style="136" customWidth="1"/>
    <col min="7939" max="7939" width="11.5" style="136" customWidth="1"/>
    <col min="7940" max="7940" width="2.33203125" style="136" customWidth="1"/>
    <col min="7941" max="7941" width="29.6640625" style="136" customWidth="1"/>
    <col min="7942" max="7942" width="10.1640625" style="136" customWidth="1"/>
    <col min="7943" max="7943" width="8" style="136" customWidth="1"/>
    <col min="7944" max="7944" width="8.6640625" style="136" customWidth="1"/>
    <col min="7945" max="7945" width="8.33203125" style="136" customWidth="1"/>
    <col min="7946" max="7946" width="8" style="136" customWidth="1"/>
    <col min="7947" max="7947" width="9.33203125" style="136" customWidth="1"/>
    <col min="7948" max="7948" width="9.1640625" style="136" customWidth="1"/>
    <col min="7949" max="7949" width="10.5" style="136" customWidth="1"/>
    <col min="7950" max="7950" width="22.1640625" style="136" customWidth="1"/>
    <col min="7951" max="8191" width="9.1640625" style="136" customWidth="1"/>
    <col min="8192" max="8192" width="6.33203125" style="136" customWidth="1"/>
    <col min="8193" max="8194" width="5.5" style="136" customWidth="1"/>
    <col min="8195" max="8195" width="11.5" style="136" customWidth="1"/>
    <col min="8196" max="8196" width="2.33203125" style="136" customWidth="1"/>
    <col min="8197" max="8197" width="29.6640625" style="136" customWidth="1"/>
    <col min="8198" max="8198" width="10.1640625" style="136" customWidth="1"/>
    <col min="8199" max="8199" width="8" style="136" customWidth="1"/>
    <col min="8200" max="8200" width="8.6640625" style="136" customWidth="1"/>
    <col min="8201" max="8201" width="8.33203125" style="136" customWidth="1"/>
    <col min="8202" max="8202" width="8" style="136" customWidth="1"/>
    <col min="8203" max="8203" width="9.33203125" style="136" customWidth="1"/>
    <col min="8204" max="8204" width="9.1640625" style="136" customWidth="1"/>
    <col min="8205" max="8205" width="10.5" style="136" customWidth="1"/>
    <col min="8206" max="8206" width="22.1640625" style="136" customWidth="1"/>
    <col min="8207" max="8447" width="9.1640625" style="136" customWidth="1"/>
    <col min="8448" max="8448" width="6.33203125" style="136" customWidth="1"/>
    <col min="8449" max="8450" width="5.5" style="136" customWidth="1"/>
    <col min="8451" max="8451" width="11.5" style="136" customWidth="1"/>
    <col min="8452" max="8452" width="2.33203125" style="136" customWidth="1"/>
    <col min="8453" max="8453" width="29.6640625" style="136" customWidth="1"/>
    <col min="8454" max="8454" width="10.1640625" style="136" customWidth="1"/>
    <col min="8455" max="8455" width="8" style="136" customWidth="1"/>
    <col min="8456" max="8456" width="8.6640625" style="136" customWidth="1"/>
    <col min="8457" max="8457" width="8.33203125" style="136" customWidth="1"/>
    <col min="8458" max="8458" width="8" style="136" customWidth="1"/>
    <col min="8459" max="8459" width="9.33203125" style="136" customWidth="1"/>
    <col min="8460" max="8460" width="9.1640625" style="136" customWidth="1"/>
    <col min="8461" max="8461" width="10.5" style="136" customWidth="1"/>
    <col min="8462" max="8462" width="22.1640625" style="136" customWidth="1"/>
    <col min="8463" max="8703" width="9.1640625" style="136" customWidth="1"/>
    <col min="8704" max="8704" width="6.33203125" style="136" customWidth="1"/>
    <col min="8705" max="8706" width="5.5" style="136" customWidth="1"/>
    <col min="8707" max="8707" width="11.5" style="136" customWidth="1"/>
    <col min="8708" max="8708" width="2.33203125" style="136" customWidth="1"/>
    <col min="8709" max="8709" width="29.6640625" style="136" customWidth="1"/>
    <col min="8710" max="8710" width="10.1640625" style="136" customWidth="1"/>
    <col min="8711" max="8711" width="8" style="136" customWidth="1"/>
    <col min="8712" max="8712" width="8.6640625" style="136" customWidth="1"/>
    <col min="8713" max="8713" width="8.33203125" style="136" customWidth="1"/>
    <col min="8714" max="8714" width="8" style="136" customWidth="1"/>
    <col min="8715" max="8715" width="9.33203125" style="136" customWidth="1"/>
    <col min="8716" max="8716" width="9.1640625" style="136" customWidth="1"/>
    <col min="8717" max="8717" width="10.5" style="136" customWidth="1"/>
    <col min="8718" max="8718" width="22.1640625" style="136" customWidth="1"/>
    <col min="8719" max="8959" width="9.1640625" style="136" customWidth="1"/>
    <col min="8960" max="8960" width="6.33203125" style="136" customWidth="1"/>
    <col min="8961" max="8962" width="5.5" style="136" customWidth="1"/>
    <col min="8963" max="8963" width="11.5" style="136" customWidth="1"/>
    <col min="8964" max="8964" width="2.33203125" style="136" customWidth="1"/>
    <col min="8965" max="8965" width="29.6640625" style="136" customWidth="1"/>
    <col min="8966" max="8966" width="10.1640625" style="136" customWidth="1"/>
    <col min="8967" max="8967" width="8" style="136" customWidth="1"/>
    <col min="8968" max="8968" width="8.6640625" style="136" customWidth="1"/>
    <col min="8969" max="8969" width="8.33203125" style="136" customWidth="1"/>
    <col min="8970" max="8970" width="8" style="136" customWidth="1"/>
    <col min="8971" max="8971" width="9.33203125" style="136" customWidth="1"/>
    <col min="8972" max="8972" width="9.1640625" style="136" customWidth="1"/>
    <col min="8973" max="8973" width="10.5" style="136" customWidth="1"/>
    <col min="8974" max="8974" width="22.1640625" style="136" customWidth="1"/>
    <col min="8975" max="9215" width="9.1640625" style="136" customWidth="1"/>
    <col min="9216" max="9216" width="6.33203125" style="136" customWidth="1"/>
    <col min="9217" max="9218" width="5.5" style="136" customWidth="1"/>
    <col min="9219" max="9219" width="11.5" style="136" customWidth="1"/>
    <col min="9220" max="9220" width="2.33203125" style="136" customWidth="1"/>
    <col min="9221" max="9221" width="29.6640625" style="136" customWidth="1"/>
    <col min="9222" max="9222" width="10.1640625" style="136" customWidth="1"/>
    <col min="9223" max="9223" width="8" style="136" customWidth="1"/>
    <col min="9224" max="9224" width="8.6640625" style="136" customWidth="1"/>
    <col min="9225" max="9225" width="8.33203125" style="136" customWidth="1"/>
    <col min="9226" max="9226" width="8" style="136" customWidth="1"/>
    <col min="9227" max="9227" width="9.33203125" style="136" customWidth="1"/>
    <col min="9228" max="9228" width="9.1640625" style="136" customWidth="1"/>
    <col min="9229" max="9229" width="10.5" style="136" customWidth="1"/>
    <col min="9230" max="9230" width="22.1640625" style="136" customWidth="1"/>
    <col min="9231" max="9471" width="9.1640625" style="136" customWidth="1"/>
    <col min="9472" max="9472" width="6.33203125" style="136" customWidth="1"/>
    <col min="9473" max="9474" width="5.5" style="136" customWidth="1"/>
    <col min="9475" max="9475" width="11.5" style="136" customWidth="1"/>
    <col min="9476" max="9476" width="2.33203125" style="136" customWidth="1"/>
    <col min="9477" max="9477" width="29.6640625" style="136" customWidth="1"/>
    <col min="9478" max="9478" width="10.1640625" style="136" customWidth="1"/>
    <col min="9479" max="9479" width="8" style="136" customWidth="1"/>
    <col min="9480" max="9480" width="8.6640625" style="136" customWidth="1"/>
    <col min="9481" max="9481" width="8.33203125" style="136" customWidth="1"/>
    <col min="9482" max="9482" width="8" style="136" customWidth="1"/>
    <col min="9483" max="9483" width="9.33203125" style="136" customWidth="1"/>
    <col min="9484" max="9484" width="9.1640625" style="136" customWidth="1"/>
    <col min="9485" max="9485" width="10.5" style="136" customWidth="1"/>
    <col min="9486" max="9486" width="22.1640625" style="136" customWidth="1"/>
    <col min="9487" max="9727" width="9.1640625" style="136" customWidth="1"/>
    <col min="9728" max="9728" width="6.33203125" style="136" customWidth="1"/>
    <col min="9729" max="9730" width="5.5" style="136" customWidth="1"/>
    <col min="9731" max="9731" width="11.5" style="136" customWidth="1"/>
    <col min="9732" max="9732" width="2.33203125" style="136" customWidth="1"/>
    <col min="9733" max="9733" width="29.6640625" style="136" customWidth="1"/>
    <col min="9734" max="9734" width="10.1640625" style="136" customWidth="1"/>
    <col min="9735" max="9735" width="8" style="136" customWidth="1"/>
    <col min="9736" max="9736" width="8.6640625" style="136" customWidth="1"/>
    <col min="9737" max="9737" width="8.33203125" style="136" customWidth="1"/>
    <col min="9738" max="9738" width="8" style="136" customWidth="1"/>
    <col min="9739" max="9739" width="9.33203125" style="136" customWidth="1"/>
    <col min="9740" max="9740" width="9.1640625" style="136" customWidth="1"/>
    <col min="9741" max="9741" width="10.5" style="136" customWidth="1"/>
    <col min="9742" max="9742" width="22.1640625" style="136" customWidth="1"/>
    <col min="9743" max="9983" width="9.1640625" style="136" customWidth="1"/>
    <col min="9984" max="9984" width="6.33203125" style="136" customWidth="1"/>
    <col min="9985" max="9986" width="5.5" style="136" customWidth="1"/>
    <col min="9987" max="9987" width="11.5" style="136" customWidth="1"/>
    <col min="9988" max="9988" width="2.33203125" style="136" customWidth="1"/>
    <col min="9989" max="9989" width="29.6640625" style="136" customWidth="1"/>
    <col min="9990" max="9990" width="10.1640625" style="136" customWidth="1"/>
    <col min="9991" max="9991" width="8" style="136" customWidth="1"/>
    <col min="9992" max="9992" width="8.6640625" style="136" customWidth="1"/>
    <col min="9993" max="9993" width="8.33203125" style="136" customWidth="1"/>
    <col min="9994" max="9994" width="8" style="136" customWidth="1"/>
    <col min="9995" max="9995" width="9.33203125" style="136" customWidth="1"/>
    <col min="9996" max="9996" width="9.1640625" style="136" customWidth="1"/>
    <col min="9997" max="9997" width="10.5" style="136" customWidth="1"/>
    <col min="9998" max="9998" width="22.1640625" style="136" customWidth="1"/>
    <col min="9999" max="10239" width="9.1640625" style="136" customWidth="1"/>
    <col min="10240" max="10240" width="6.33203125" style="136" customWidth="1"/>
    <col min="10241" max="10242" width="5.5" style="136" customWidth="1"/>
    <col min="10243" max="10243" width="11.5" style="136" customWidth="1"/>
    <col min="10244" max="10244" width="2.33203125" style="136" customWidth="1"/>
    <col min="10245" max="10245" width="29.6640625" style="136" customWidth="1"/>
    <col min="10246" max="10246" width="10.1640625" style="136" customWidth="1"/>
    <col min="10247" max="10247" width="8" style="136" customWidth="1"/>
    <col min="10248" max="10248" width="8.6640625" style="136" customWidth="1"/>
    <col min="10249" max="10249" width="8.33203125" style="136" customWidth="1"/>
    <col min="10250" max="10250" width="8" style="136" customWidth="1"/>
    <col min="10251" max="10251" width="9.33203125" style="136" customWidth="1"/>
    <col min="10252" max="10252" width="9.1640625" style="136" customWidth="1"/>
    <col min="10253" max="10253" width="10.5" style="136" customWidth="1"/>
    <col min="10254" max="10254" width="22.1640625" style="136" customWidth="1"/>
    <col min="10255" max="10495" width="9.1640625" style="136" customWidth="1"/>
    <col min="10496" max="10496" width="6.33203125" style="136" customWidth="1"/>
    <col min="10497" max="10498" width="5.5" style="136" customWidth="1"/>
    <col min="10499" max="10499" width="11.5" style="136" customWidth="1"/>
    <col min="10500" max="10500" width="2.33203125" style="136" customWidth="1"/>
    <col min="10501" max="10501" width="29.6640625" style="136" customWidth="1"/>
    <col min="10502" max="10502" width="10.1640625" style="136" customWidth="1"/>
    <col min="10503" max="10503" width="8" style="136" customWidth="1"/>
    <col min="10504" max="10504" width="8.6640625" style="136" customWidth="1"/>
    <col min="10505" max="10505" width="8.33203125" style="136" customWidth="1"/>
    <col min="10506" max="10506" width="8" style="136" customWidth="1"/>
    <col min="10507" max="10507" width="9.33203125" style="136" customWidth="1"/>
    <col min="10508" max="10508" width="9.1640625" style="136" customWidth="1"/>
    <col min="10509" max="10509" width="10.5" style="136" customWidth="1"/>
    <col min="10510" max="10510" width="22.1640625" style="136" customWidth="1"/>
    <col min="10511" max="10751" width="9.1640625" style="136" customWidth="1"/>
    <col min="10752" max="10752" width="6.33203125" style="136" customWidth="1"/>
    <col min="10753" max="10754" width="5.5" style="136" customWidth="1"/>
    <col min="10755" max="10755" width="11.5" style="136" customWidth="1"/>
    <col min="10756" max="10756" width="2.33203125" style="136" customWidth="1"/>
    <col min="10757" max="10757" width="29.6640625" style="136" customWidth="1"/>
    <col min="10758" max="10758" width="10.1640625" style="136" customWidth="1"/>
    <col min="10759" max="10759" width="8" style="136" customWidth="1"/>
    <col min="10760" max="10760" width="8.6640625" style="136" customWidth="1"/>
    <col min="10761" max="10761" width="8.33203125" style="136" customWidth="1"/>
    <col min="10762" max="10762" width="8" style="136" customWidth="1"/>
    <col min="10763" max="10763" width="9.33203125" style="136" customWidth="1"/>
    <col min="10764" max="10764" width="9.1640625" style="136" customWidth="1"/>
    <col min="10765" max="10765" width="10.5" style="136" customWidth="1"/>
    <col min="10766" max="10766" width="22.1640625" style="136" customWidth="1"/>
    <col min="10767" max="11007" width="9.1640625" style="136" customWidth="1"/>
    <col min="11008" max="11008" width="6.33203125" style="136" customWidth="1"/>
    <col min="11009" max="11010" width="5.5" style="136" customWidth="1"/>
    <col min="11011" max="11011" width="11.5" style="136" customWidth="1"/>
    <col min="11012" max="11012" width="2.33203125" style="136" customWidth="1"/>
    <col min="11013" max="11013" width="29.6640625" style="136" customWidth="1"/>
    <col min="11014" max="11014" width="10.1640625" style="136" customWidth="1"/>
    <col min="11015" max="11015" width="8" style="136" customWidth="1"/>
    <col min="11016" max="11016" width="8.6640625" style="136" customWidth="1"/>
    <col min="11017" max="11017" width="8.33203125" style="136" customWidth="1"/>
    <col min="11018" max="11018" width="8" style="136" customWidth="1"/>
    <col min="11019" max="11019" width="9.33203125" style="136" customWidth="1"/>
    <col min="11020" max="11020" width="9.1640625" style="136" customWidth="1"/>
    <col min="11021" max="11021" width="10.5" style="136" customWidth="1"/>
    <col min="11022" max="11022" width="22.1640625" style="136" customWidth="1"/>
    <col min="11023" max="11263" width="9.1640625" style="136" customWidth="1"/>
    <col min="11264" max="11264" width="6.33203125" style="136" customWidth="1"/>
    <col min="11265" max="11266" width="5.5" style="136" customWidth="1"/>
    <col min="11267" max="11267" width="11.5" style="136" customWidth="1"/>
    <col min="11268" max="11268" width="2.33203125" style="136" customWidth="1"/>
    <col min="11269" max="11269" width="29.6640625" style="136" customWidth="1"/>
    <col min="11270" max="11270" width="10.1640625" style="136" customWidth="1"/>
    <col min="11271" max="11271" width="8" style="136" customWidth="1"/>
    <col min="11272" max="11272" width="8.6640625" style="136" customWidth="1"/>
    <col min="11273" max="11273" width="8.33203125" style="136" customWidth="1"/>
    <col min="11274" max="11274" width="8" style="136" customWidth="1"/>
    <col min="11275" max="11275" width="9.33203125" style="136" customWidth="1"/>
    <col min="11276" max="11276" width="9.1640625" style="136" customWidth="1"/>
    <col min="11277" max="11277" width="10.5" style="136" customWidth="1"/>
    <col min="11278" max="11278" width="22.1640625" style="136" customWidth="1"/>
    <col min="11279" max="11519" width="9.1640625" style="136" customWidth="1"/>
    <col min="11520" max="11520" width="6.33203125" style="136" customWidth="1"/>
    <col min="11521" max="11522" width="5.5" style="136" customWidth="1"/>
    <col min="11523" max="11523" width="11.5" style="136" customWidth="1"/>
    <col min="11524" max="11524" width="2.33203125" style="136" customWidth="1"/>
    <col min="11525" max="11525" width="29.6640625" style="136" customWidth="1"/>
    <col min="11526" max="11526" width="10.1640625" style="136" customWidth="1"/>
    <col min="11527" max="11527" width="8" style="136" customWidth="1"/>
    <col min="11528" max="11528" width="8.6640625" style="136" customWidth="1"/>
    <col min="11529" max="11529" width="8.33203125" style="136" customWidth="1"/>
    <col min="11530" max="11530" width="8" style="136" customWidth="1"/>
    <col min="11531" max="11531" width="9.33203125" style="136" customWidth="1"/>
    <col min="11532" max="11532" width="9.1640625" style="136" customWidth="1"/>
    <col min="11533" max="11533" width="10.5" style="136" customWidth="1"/>
    <col min="11534" max="11534" width="22.1640625" style="136" customWidth="1"/>
    <col min="11535" max="11775" width="9.1640625" style="136" customWidth="1"/>
    <col min="11776" max="11776" width="6.33203125" style="136" customWidth="1"/>
    <col min="11777" max="11778" width="5.5" style="136" customWidth="1"/>
    <col min="11779" max="11779" width="11.5" style="136" customWidth="1"/>
    <col min="11780" max="11780" width="2.33203125" style="136" customWidth="1"/>
    <col min="11781" max="11781" width="29.6640625" style="136" customWidth="1"/>
    <col min="11782" max="11782" width="10.1640625" style="136" customWidth="1"/>
    <col min="11783" max="11783" width="8" style="136" customWidth="1"/>
    <col min="11784" max="11784" width="8.6640625" style="136" customWidth="1"/>
    <col min="11785" max="11785" width="8.33203125" style="136" customWidth="1"/>
    <col min="11786" max="11786" width="8" style="136" customWidth="1"/>
    <col min="11787" max="11787" width="9.33203125" style="136" customWidth="1"/>
    <col min="11788" max="11788" width="9.1640625" style="136" customWidth="1"/>
    <col min="11789" max="11789" width="10.5" style="136" customWidth="1"/>
    <col min="11790" max="11790" width="22.1640625" style="136" customWidth="1"/>
    <col min="11791" max="12031" width="9.1640625" style="136" customWidth="1"/>
    <col min="12032" max="12032" width="6.33203125" style="136" customWidth="1"/>
    <col min="12033" max="12034" width="5.5" style="136" customWidth="1"/>
    <col min="12035" max="12035" width="11.5" style="136" customWidth="1"/>
    <col min="12036" max="12036" width="2.33203125" style="136" customWidth="1"/>
    <col min="12037" max="12037" width="29.6640625" style="136" customWidth="1"/>
    <col min="12038" max="12038" width="10.1640625" style="136" customWidth="1"/>
    <col min="12039" max="12039" width="8" style="136" customWidth="1"/>
    <col min="12040" max="12040" width="8.6640625" style="136" customWidth="1"/>
    <col min="12041" max="12041" width="8.33203125" style="136" customWidth="1"/>
    <col min="12042" max="12042" width="8" style="136" customWidth="1"/>
    <col min="12043" max="12043" width="9.33203125" style="136" customWidth="1"/>
    <col min="12044" max="12044" width="9.1640625" style="136" customWidth="1"/>
    <col min="12045" max="12045" width="10.5" style="136" customWidth="1"/>
    <col min="12046" max="12046" width="22.1640625" style="136" customWidth="1"/>
    <col min="12047" max="12287" width="9.1640625" style="136" customWidth="1"/>
    <col min="12288" max="12288" width="6.33203125" style="136" customWidth="1"/>
    <col min="12289" max="12290" width="5.5" style="136" customWidth="1"/>
    <col min="12291" max="12291" width="11.5" style="136" customWidth="1"/>
    <col min="12292" max="12292" width="2.33203125" style="136" customWidth="1"/>
    <col min="12293" max="12293" width="29.6640625" style="136" customWidth="1"/>
    <col min="12294" max="12294" width="10.1640625" style="136" customWidth="1"/>
    <col min="12295" max="12295" width="8" style="136" customWidth="1"/>
    <col min="12296" max="12296" width="8.6640625" style="136" customWidth="1"/>
    <col min="12297" max="12297" width="8.33203125" style="136" customWidth="1"/>
    <col min="12298" max="12298" width="8" style="136" customWidth="1"/>
    <col min="12299" max="12299" width="9.33203125" style="136" customWidth="1"/>
    <col min="12300" max="12300" width="9.1640625" style="136" customWidth="1"/>
    <col min="12301" max="12301" width="10.5" style="136" customWidth="1"/>
    <col min="12302" max="12302" width="22.1640625" style="136" customWidth="1"/>
    <col min="12303" max="12543" width="9.1640625" style="136" customWidth="1"/>
    <col min="12544" max="12544" width="6.33203125" style="136" customWidth="1"/>
    <col min="12545" max="12546" width="5.5" style="136" customWidth="1"/>
    <col min="12547" max="12547" width="11.5" style="136" customWidth="1"/>
    <col min="12548" max="12548" width="2.33203125" style="136" customWidth="1"/>
    <col min="12549" max="12549" width="29.6640625" style="136" customWidth="1"/>
    <col min="12550" max="12550" width="10.1640625" style="136" customWidth="1"/>
    <col min="12551" max="12551" width="8" style="136" customWidth="1"/>
    <col min="12552" max="12552" width="8.6640625" style="136" customWidth="1"/>
    <col min="12553" max="12553" width="8.33203125" style="136" customWidth="1"/>
    <col min="12554" max="12554" width="8" style="136" customWidth="1"/>
    <col min="12555" max="12555" width="9.33203125" style="136" customWidth="1"/>
    <col min="12556" max="12556" width="9.1640625" style="136" customWidth="1"/>
    <col min="12557" max="12557" width="10.5" style="136" customWidth="1"/>
    <col min="12558" max="12558" width="22.1640625" style="136" customWidth="1"/>
    <col min="12559" max="12799" width="9.1640625" style="136" customWidth="1"/>
    <col min="12800" max="12800" width="6.33203125" style="136" customWidth="1"/>
    <col min="12801" max="12802" width="5.5" style="136" customWidth="1"/>
    <col min="12803" max="12803" width="11.5" style="136" customWidth="1"/>
    <col min="12804" max="12804" width="2.33203125" style="136" customWidth="1"/>
    <col min="12805" max="12805" width="29.6640625" style="136" customWidth="1"/>
    <col min="12806" max="12806" width="10.1640625" style="136" customWidth="1"/>
    <col min="12807" max="12807" width="8" style="136" customWidth="1"/>
    <col min="12808" max="12808" width="8.6640625" style="136" customWidth="1"/>
    <col min="12809" max="12809" width="8.33203125" style="136" customWidth="1"/>
    <col min="12810" max="12810" width="8" style="136" customWidth="1"/>
    <col min="12811" max="12811" width="9.33203125" style="136" customWidth="1"/>
    <col min="12812" max="12812" width="9.1640625" style="136" customWidth="1"/>
    <col min="12813" max="12813" width="10.5" style="136" customWidth="1"/>
    <col min="12814" max="12814" width="22.1640625" style="136" customWidth="1"/>
    <col min="12815" max="13055" width="9.1640625" style="136" customWidth="1"/>
    <col min="13056" max="13056" width="6.33203125" style="136" customWidth="1"/>
    <col min="13057" max="13058" width="5.5" style="136" customWidth="1"/>
    <col min="13059" max="13059" width="11.5" style="136" customWidth="1"/>
    <col min="13060" max="13060" width="2.33203125" style="136" customWidth="1"/>
    <col min="13061" max="13061" width="29.6640625" style="136" customWidth="1"/>
    <col min="13062" max="13062" width="10.1640625" style="136" customWidth="1"/>
    <col min="13063" max="13063" width="8" style="136" customWidth="1"/>
    <col min="13064" max="13064" width="8.6640625" style="136" customWidth="1"/>
    <col min="13065" max="13065" width="8.33203125" style="136" customWidth="1"/>
    <col min="13066" max="13066" width="8" style="136" customWidth="1"/>
    <col min="13067" max="13067" width="9.33203125" style="136" customWidth="1"/>
    <col min="13068" max="13068" width="9.1640625" style="136" customWidth="1"/>
    <col min="13069" max="13069" width="10.5" style="136" customWidth="1"/>
    <col min="13070" max="13070" width="22.1640625" style="136" customWidth="1"/>
    <col min="13071" max="13311" width="9.1640625" style="136" customWidth="1"/>
    <col min="13312" max="13312" width="6.33203125" style="136" customWidth="1"/>
    <col min="13313" max="13314" width="5.5" style="136" customWidth="1"/>
    <col min="13315" max="13315" width="11.5" style="136" customWidth="1"/>
    <col min="13316" max="13316" width="2.33203125" style="136" customWidth="1"/>
    <col min="13317" max="13317" width="29.6640625" style="136" customWidth="1"/>
    <col min="13318" max="13318" width="10.1640625" style="136" customWidth="1"/>
    <col min="13319" max="13319" width="8" style="136" customWidth="1"/>
    <col min="13320" max="13320" width="8.6640625" style="136" customWidth="1"/>
    <col min="13321" max="13321" width="8.33203125" style="136" customWidth="1"/>
    <col min="13322" max="13322" width="8" style="136" customWidth="1"/>
    <col min="13323" max="13323" width="9.33203125" style="136" customWidth="1"/>
    <col min="13324" max="13324" width="9.1640625" style="136" customWidth="1"/>
    <col min="13325" max="13325" width="10.5" style="136" customWidth="1"/>
    <col min="13326" max="13326" width="22.1640625" style="136" customWidth="1"/>
    <col min="13327" max="13567" width="9.1640625" style="136" customWidth="1"/>
    <col min="13568" max="13568" width="6.33203125" style="136" customWidth="1"/>
    <col min="13569" max="13570" width="5.5" style="136" customWidth="1"/>
    <col min="13571" max="13571" width="11.5" style="136" customWidth="1"/>
    <col min="13572" max="13572" width="2.33203125" style="136" customWidth="1"/>
    <col min="13573" max="13573" width="29.6640625" style="136" customWidth="1"/>
    <col min="13574" max="13574" width="10.1640625" style="136" customWidth="1"/>
    <col min="13575" max="13575" width="8" style="136" customWidth="1"/>
    <col min="13576" max="13576" width="8.6640625" style="136" customWidth="1"/>
    <col min="13577" max="13577" width="8.33203125" style="136" customWidth="1"/>
    <col min="13578" max="13578" width="8" style="136" customWidth="1"/>
    <col min="13579" max="13579" width="9.33203125" style="136" customWidth="1"/>
    <col min="13580" max="13580" width="9.1640625" style="136" customWidth="1"/>
    <col min="13581" max="13581" width="10.5" style="136" customWidth="1"/>
    <col min="13582" max="13582" width="22.1640625" style="136" customWidth="1"/>
    <col min="13583" max="13823" width="9.1640625" style="136" customWidth="1"/>
    <col min="13824" max="13824" width="6.33203125" style="136" customWidth="1"/>
    <col min="13825" max="13826" width="5.5" style="136" customWidth="1"/>
    <col min="13827" max="13827" width="11.5" style="136" customWidth="1"/>
    <col min="13828" max="13828" width="2.33203125" style="136" customWidth="1"/>
    <col min="13829" max="13829" width="29.6640625" style="136" customWidth="1"/>
    <col min="13830" max="13830" width="10.1640625" style="136" customWidth="1"/>
    <col min="13831" max="13831" width="8" style="136" customWidth="1"/>
    <col min="13832" max="13832" width="8.6640625" style="136" customWidth="1"/>
    <col min="13833" max="13833" width="8.33203125" style="136" customWidth="1"/>
    <col min="13834" max="13834" width="8" style="136" customWidth="1"/>
    <col min="13835" max="13835" width="9.33203125" style="136" customWidth="1"/>
    <col min="13836" max="13836" width="9.1640625" style="136" customWidth="1"/>
    <col min="13837" max="13837" width="10.5" style="136" customWidth="1"/>
    <col min="13838" max="13838" width="22.1640625" style="136" customWidth="1"/>
    <col min="13839" max="14079" width="9.1640625" style="136" customWidth="1"/>
    <col min="14080" max="14080" width="6.33203125" style="136" customWidth="1"/>
    <col min="14081" max="14082" width="5.5" style="136" customWidth="1"/>
    <col min="14083" max="14083" width="11.5" style="136" customWidth="1"/>
    <col min="14084" max="14084" width="2.33203125" style="136" customWidth="1"/>
    <col min="14085" max="14085" width="29.6640625" style="136" customWidth="1"/>
    <col min="14086" max="14086" width="10.1640625" style="136" customWidth="1"/>
    <col min="14087" max="14087" width="8" style="136" customWidth="1"/>
    <col min="14088" max="14088" width="8.6640625" style="136" customWidth="1"/>
    <col min="14089" max="14089" width="8.33203125" style="136" customWidth="1"/>
    <col min="14090" max="14090" width="8" style="136" customWidth="1"/>
    <col min="14091" max="14091" width="9.33203125" style="136" customWidth="1"/>
    <col min="14092" max="14092" width="9.1640625" style="136" customWidth="1"/>
    <col min="14093" max="14093" width="10.5" style="136" customWidth="1"/>
    <col min="14094" max="14094" width="22.1640625" style="136" customWidth="1"/>
    <col min="14095" max="14335" width="9.1640625" style="136" customWidth="1"/>
    <col min="14336" max="14336" width="6.33203125" style="136" customWidth="1"/>
    <col min="14337" max="14338" width="5.5" style="136" customWidth="1"/>
    <col min="14339" max="14339" width="11.5" style="136" customWidth="1"/>
    <col min="14340" max="14340" width="2.33203125" style="136" customWidth="1"/>
    <col min="14341" max="14341" width="29.6640625" style="136" customWidth="1"/>
    <col min="14342" max="14342" width="10.1640625" style="136" customWidth="1"/>
    <col min="14343" max="14343" width="8" style="136" customWidth="1"/>
    <col min="14344" max="14344" width="8.6640625" style="136" customWidth="1"/>
    <col min="14345" max="14345" width="8.33203125" style="136" customWidth="1"/>
    <col min="14346" max="14346" width="8" style="136" customWidth="1"/>
    <col min="14347" max="14347" width="9.33203125" style="136" customWidth="1"/>
    <col min="14348" max="14348" width="9.1640625" style="136" customWidth="1"/>
    <col min="14349" max="14349" width="10.5" style="136" customWidth="1"/>
    <col min="14350" max="14350" width="22.1640625" style="136" customWidth="1"/>
    <col min="14351" max="14591" width="9.1640625" style="136" customWidth="1"/>
    <col min="14592" max="14592" width="6.33203125" style="136" customWidth="1"/>
    <col min="14593" max="14594" width="5.5" style="136" customWidth="1"/>
    <col min="14595" max="14595" width="11.5" style="136" customWidth="1"/>
    <col min="14596" max="14596" width="2.33203125" style="136" customWidth="1"/>
    <col min="14597" max="14597" width="29.6640625" style="136" customWidth="1"/>
    <col min="14598" max="14598" width="10.1640625" style="136" customWidth="1"/>
    <col min="14599" max="14599" width="8" style="136" customWidth="1"/>
    <col min="14600" max="14600" width="8.6640625" style="136" customWidth="1"/>
    <col min="14601" max="14601" width="8.33203125" style="136" customWidth="1"/>
    <col min="14602" max="14602" width="8" style="136" customWidth="1"/>
    <col min="14603" max="14603" width="9.33203125" style="136" customWidth="1"/>
    <col min="14604" max="14604" width="9.1640625" style="136" customWidth="1"/>
    <col min="14605" max="14605" width="10.5" style="136" customWidth="1"/>
    <col min="14606" max="14606" width="22.1640625" style="136" customWidth="1"/>
    <col min="14607" max="14847" width="9.1640625" style="136" customWidth="1"/>
    <col min="14848" max="14848" width="6.33203125" style="136" customWidth="1"/>
    <col min="14849" max="14850" width="5.5" style="136" customWidth="1"/>
    <col min="14851" max="14851" width="11.5" style="136" customWidth="1"/>
    <col min="14852" max="14852" width="2.33203125" style="136" customWidth="1"/>
    <col min="14853" max="14853" width="29.6640625" style="136" customWidth="1"/>
    <col min="14854" max="14854" width="10.1640625" style="136" customWidth="1"/>
    <col min="14855" max="14855" width="8" style="136" customWidth="1"/>
    <col min="14856" max="14856" width="8.6640625" style="136" customWidth="1"/>
    <col min="14857" max="14857" width="8.33203125" style="136" customWidth="1"/>
    <col min="14858" max="14858" width="8" style="136" customWidth="1"/>
    <col min="14859" max="14859" width="9.33203125" style="136" customWidth="1"/>
    <col min="14860" max="14860" width="9.1640625" style="136" customWidth="1"/>
    <col min="14861" max="14861" width="10.5" style="136" customWidth="1"/>
    <col min="14862" max="14862" width="22.1640625" style="136" customWidth="1"/>
    <col min="14863" max="15103" width="9.1640625" style="136" customWidth="1"/>
    <col min="15104" max="15104" width="6.33203125" style="136" customWidth="1"/>
    <col min="15105" max="15106" width="5.5" style="136" customWidth="1"/>
    <col min="15107" max="15107" width="11.5" style="136" customWidth="1"/>
    <col min="15108" max="15108" width="2.33203125" style="136" customWidth="1"/>
    <col min="15109" max="15109" width="29.6640625" style="136" customWidth="1"/>
    <col min="15110" max="15110" width="10.1640625" style="136" customWidth="1"/>
    <col min="15111" max="15111" width="8" style="136" customWidth="1"/>
    <col min="15112" max="15112" width="8.6640625" style="136" customWidth="1"/>
    <col min="15113" max="15113" width="8.33203125" style="136" customWidth="1"/>
    <col min="15114" max="15114" width="8" style="136" customWidth="1"/>
    <col min="15115" max="15115" width="9.33203125" style="136" customWidth="1"/>
    <col min="15116" max="15116" width="9.1640625" style="136" customWidth="1"/>
    <col min="15117" max="15117" width="10.5" style="136" customWidth="1"/>
    <col min="15118" max="15118" width="22.1640625" style="136" customWidth="1"/>
    <col min="15119" max="15359" width="9.1640625" style="136" customWidth="1"/>
    <col min="15360" max="15360" width="6.33203125" style="136" customWidth="1"/>
    <col min="15361" max="15362" width="5.5" style="136" customWidth="1"/>
    <col min="15363" max="15363" width="11.5" style="136" customWidth="1"/>
    <col min="15364" max="15364" width="2.33203125" style="136" customWidth="1"/>
    <col min="15365" max="15365" width="29.6640625" style="136" customWidth="1"/>
    <col min="15366" max="15366" width="10.1640625" style="136" customWidth="1"/>
    <col min="15367" max="15367" width="8" style="136" customWidth="1"/>
    <col min="15368" max="15368" width="8.6640625" style="136" customWidth="1"/>
    <col min="15369" max="15369" width="8.33203125" style="136" customWidth="1"/>
    <col min="15370" max="15370" width="8" style="136" customWidth="1"/>
    <col min="15371" max="15371" width="9.33203125" style="136" customWidth="1"/>
    <col min="15372" max="15372" width="9.1640625" style="136" customWidth="1"/>
    <col min="15373" max="15373" width="10.5" style="136" customWidth="1"/>
    <col min="15374" max="15374" width="22.1640625" style="136" customWidth="1"/>
    <col min="15375" max="15615" width="9.1640625" style="136" customWidth="1"/>
    <col min="15616" max="15616" width="6.33203125" style="136" customWidth="1"/>
    <col min="15617" max="15618" width="5.5" style="136" customWidth="1"/>
    <col min="15619" max="15619" width="11.5" style="136" customWidth="1"/>
    <col min="15620" max="15620" width="2.33203125" style="136" customWidth="1"/>
    <col min="15621" max="15621" width="29.6640625" style="136" customWidth="1"/>
    <col min="15622" max="15622" width="10.1640625" style="136" customWidth="1"/>
    <col min="15623" max="15623" width="8" style="136" customWidth="1"/>
    <col min="15624" max="15624" width="8.6640625" style="136" customWidth="1"/>
    <col min="15625" max="15625" width="8.33203125" style="136" customWidth="1"/>
    <col min="15626" max="15626" width="8" style="136" customWidth="1"/>
    <col min="15627" max="15627" width="9.33203125" style="136" customWidth="1"/>
    <col min="15628" max="15628" width="9.1640625" style="136" customWidth="1"/>
    <col min="15629" max="15629" width="10.5" style="136" customWidth="1"/>
    <col min="15630" max="15630" width="22.1640625" style="136" customWidth="1"/>
    <col min="15631" max="15871" width="9.1640625" style="136" customWidth="1"/>
    <col min="15872" max="15872" width="6.33203125" style="136" customWidth="1"/>
    <col min="15873" max="15874" width="5.5" style="136" customWidth="1"/>
    <col min="15875" max="15875" width="11.5" style="136" customWidth="1"/>
    <col min="15876" max="15876" width="2.33203125" style="136" customWidth="1"/>
    <col min="15877" max="15877" width="29.6640625" style="136" customWidth="1"/>
    <col min="15878" max="15878" width="10.1640625" style="136" customWidth="1"/>
    <col min="15879" max="15879" width="8" style="136" customWidth="1"/>
    <col min="15880" max="15880" width="8.6640625" style="136" customWidth="1"/>
    <col min="15881" max="15881" width="8.33203125" style="136" customWidth="1"/>
    <col min="15882" max="15882" width="8" style="136" customWidth="1"/>
    <col min="15883" max="15883" width="9.33203125" style="136" customWidth="1"/>
    <col min="15884" max="15884" width="9.1640625" style="136" customWidth="1"/>
    <col min="15885" max="15885" width="10.5" style="136" customWidth="1"/>
    <col min="15886" max="15886" width="22.1640625" style="136" customWidth="1"/>
    <col min="15887" max="16127" width="9.1640625" style="136" customWidth="1"/>
    <col min="16128" max="16128" width="6.33203125" style="136" customWidth="1"/>
    <col min="16129" max="16130" width="5.5" style="136" customWidth="1"/>
    <col min="16131" max="16131" width="11.5" style="136" customWidth="1"/>
    <col min="16132" max="16132" width="2.33203125" style="136" customWidth="1"/>
    <col min="16133" max="16133" width="29.6640625" style="136" customWidth="1"/>
    <col min="16134" max="16134" width="10.1640625" style="136" customWidth="1"/>
    <col min="16135" max="16135" width="8" style="136" customWidth="1"/>
    <col min="16136" max="16136" width="8.6640625" style="136" customWidth="1"/>
    <col min="16137" max="16137" width="8.33203125" style="136" customWidth="1"/>
    <col min="16138" max="16138" width="8" style="136" customWidth="1"/>
    <col min="16139" max="16139" width="9.33203125" style="136" customWidth="1"/>
    <col min="16140" max="16140" width="9.1640625" style="136" customWidth="1"/>
    <col min="16141" max="16141" width="10.5" style="136" customWidth="1"/>
    <col min="16142" max="16142" width="22.1640625" style="136" customWidth="1"/>
    <col min="16143" max="16384" width="9.1640625" style="136" customWidth="1"/>
  </cols>
  <sheetData>
    <row r="1" spans="1:11" x14ac:dyDescent="0.25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</row>
    <row r="2" spans="1:11" x14ac:dyDescent="0.25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</row>
    <row r="3" ht="13.5" customHeight="1" spans="1:11" x14ac:dyDescent="0.25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</row>
    <row r="4" ht="9" customHeight="1" spans="1:11" x14ac:dyDescent="0.25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</row>
    <row r="5" ht="15.75" customHeight="1" spans="1:15" s="139" customFormat="1" x14ac:dyDescent="0.25">
      <c r="A5" s="141" t="s">
        <v>445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39"/>
      <c r="M5" s="139"/>
      <c r="N5" s="139"/>
      <c r="O5" s="142"/>
    </row>
    <row r="6" ht="24" customHeight="1" spans="1:20" s="139" customFormat="1" x14ac:dyDescent="0.25">
      <c r="A6" s="141" t="s">
        <v>446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39"/>
      <c r="M6" s="139"/>
      <c r="N6" s="139"/>
      <c r="O6" s="142"/>
      <c r="P6" s="139"/>
      <c r="Q6" s="139"/>
      <c r="R6" s="143"/>
      <c r="S6" s="143"/>
      <c r="T6" s="143"/>
    </row>
    <row r="7" ht="17.25" customHeight="1" spans="1:20" s="139" customFormat="1" x14ac:dyDescent="0.25">
      <c r="A7" s="139"/>
      <c r="B7" s="139" t="s">
        <v>447</v>
      </c>
      <c r="C7" s="139"/>
      <c r="D7" s="139"/>
      <c r="E7" s="139"/>
      <c r="F7" s="239"/>
      <c r="G7" s="239"/>
      <c r="H7" s="239"/>
      <c r="I7" s="239"/>
      <c r="J7" s="139"/>
      <c r="K7" s="139"/>
      <c r="L7" s="139"/>
      <c r="M7" s="139"/>
      <c r="N7" s="139"/>
      <c r="O7" s="142"/>
      <c r="P7" s="139"/>
      <c r="Q7" s="139"/>
      <c r="R7" s="143"/>
      <c r="S7" s="143"/>
      <c r="T7" s="143"/>
    </row>
    <row r="8" ht="17.25" customHeight="1" spans="1:20" s="139" customFormat="1" x14ac:dyDescent="0.25">
      <c r="A8" s="139"/>
      <c r="B8" s="139" t="s">
        <v>448</v>
      </c>
      <c r="C8" s="139"/>
      <c r="D8" s="139"/>
      <c r="E8" s="139"/>
      <c r="F8" s="139" t="s">
        <v>378</v>
      </c>
      <c r="G8" s="139"/>
      <c r="H8" s="139"/>
      <c r="I8" s="152" t="s">
        <v>449</v>
      </c>
      <c r="J8" s="152"/>
      <c r="K8" s="152"/>
      <c r="L8" s="139"/>
      <c r="M8" s="139"/>
      <c r="N8" s="139"/>
      <c r="O8" s="142"/>
      <c r="P8" s="139"/>
      <c r="Q8" s="139"/>
      <c r="R8" s="143"/>
      <c r="S8" s="143"/>
      <c r="T8" s="143"/>
    </row>
    <row r="9" ht="27.75" customHeight="1" spans="1:20" s="147" customFormat="1" x14ac:dyDescent="0.25">
      <c r="A9" s="148" t="s">
        <v>450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7"/>
      <c r="M9" s="147"/>
      <c r="N9" s="149"/>
      <c r="O9" s="150"/>
      <c r="P9" s="147"/>
      <c r="Q9" s="147"/>
      <c r="R9" s="143"/>
      <c r="S9" s="143"/>
      <c r="T9" s="143"/>
    </row>
    <row r="10" ht="27.75" customHeight="1" spans="1:20" x14ac:dyDescent="0.25">
      <c r="A10" s="230" t="s">
        <v>451</v>
      </c>
      <c r="B10" s="230"/>
      <c r="C10" s="230"/>
      <c r="D10" s="158" t="s">
        <v>382</v>
      </c>
      <c r="E10" s="163" t="str">
        <f>VLOOKUP($E$12,'Sem1-2'!$B$7:$BX$37,5,FALSE)&amp;" "&amp;VLOOKUP($E$12,'Sem1-2'!$B$7:$BX$37,6,FALSE)</f>
        <v>Ms.Vilatda PHIAKHAM</v>
      </c>
      <c r="F10" s="163">
        <f>VLOOKUP($F$12,'Sem1-2'!$B$7:$ZZ$37,5,FALSE)&amp;" "&amp;VLOOKUP($F$12,'Sem1-2'!$B$7:$ZZ$37,6,FALSE)</f>
      </c>
      <c r="G10" s="163"/>
      <c r="H10" s="163" t="s">
        <v>452</v>
      </c>
      <c r="I10" s="163" t="s">
        <v>453</v>
      </c>
      <c r="J10" s="136"/>
      <c r="K10" s="163"/>
      <c r="L10" s="136"/>
      <c r="M10" s="136"/>
      <c r="N10" s="180"/>
      <c r="O10" s="137"/>
      <c r="P10" s="136"/>
      <c r="Q10" s="136"/>
      <c r="R10" s="181"/>
      <c r="S10" s="181"/>
      <c r="T10" s="181"/>
    </row>
    <row r="11" ht="24.75" customHeight="1" spans="1:20" x14ac:dyDescent="0.25">
      <c r="A11" s="230" t="s">
        <v>454</v>
      </c>
      <c r="B11" s="230"/>
      <c r="C11" s="230"/>
      <c r="D11" s="158" t="s">
        <v>382</v>
      </c>
      <c r="E11" s="159">
        <f>VLOOKUP($E$12,'Sem1-2'!$B$7:$BX$37,7,FALSE)</f>
        <v>NaN</v>
      </c>
      <c r="F11" s="159"/>
      <c r="G11" s="159"/>
      <c r="H11" s="163" t="s">
        <v>455</v>
      </c>
      <c r="I11" s="163" t="s">
        <v>456</v>
      </c>
      <c r="J11" s="136"/>
      <c r="K11" s="163"/>
      <c r="L11" s="136"/>
      <c r="M11" s="136"/>
      <c r="N11" s="180"/>
      <c r="O11" s="137"/>
      <c r="P11" s="136"/>
      <c r="Q11" s="136"/>
      <c r="R11" s="181"/>
      <c r="S11" s="181"/>
      <c r="T11" s="181"/>
    </row>
    <row r="12" ht="32.25" customHeight="1" spans="1:20" s="161" customFormat="1" x14ac:dyDescent="0.25">
      <c r="A12" s="158" t="s">
        <v>457</v>
      </c>
      <c r="B12" s="158"/>
      <c r="C12" s="158"/>
      <c r="D12" s="158" t="s">
        <v>382</v>
      </c>
      <c r="E12" s="163" t="s">
        <v>79</v>
      </c>
      <c r="F12" s="163" t="s">
        <v>349</v>
      </c>
      <c r="G12" s="163"/>
      <c r="H12" s="240" t="s">
        <v>458</v>
      </c>
      <c r="I12" s="163">
        <f>F73</f>
        <v>100</v>
      </c>
      <c r="J12" s="161"/>
      <c r="K12" s="163"/>
      <c r="L12" s="161"/>
      <c r="M12" s="161"/>
      <c r="N12" s="163"/>
      <c r="O12" s="201"/>
      <c r="P12" s="161"/>
      <c r="Q12" s="161"/>
      <c r="R12" s="181"/>
      <c r="S12" s="181"/>
      <c r="T12" s="181"/>
    </row>
    <row r="13" ht="32.25" customHeight="1" spans="1:20" s="161" customFormat="1" x14ac:dyDescent="0.25">
      <c r="A13" s="241" t="s">
        <v>459</v>
      </c>
      <c r="B13" s="242"/>
      <c r="C13" s="242"/>
      <c r="D13" s="241" t="s">
        <v>382</v>
      </c>
      <c r="E13" s="169" t="s">
        <v>460</v>
      </c>
      <c r="F13" s="169"/>
      <c r="G13" s="169"/>
      <c r="H13" s="243" t="s">
        <v>461</v>
      </c>
      <c r="I13" s="244" t="s">
        <v>563</v>
      </c>
      <c r="J13" s="161"/>
      <c r="K13" s="244"/>
      <c r="L13" s="161"/>
      <c r="M13" s="161"/>
      <c r="N13" s="163"/>
      <c r="O13" s="201"/>
      <c r="P13" s="161"/>
      <c r="Q13" s="161"/>
      <c r="R13" s="181"/>
      <c r="S13" s="181"/>
      <c r="T13" s="181"/>
    </row>
    <row r="14" ht="30" customHeight="1" spans="1:20" s="161" customFormat="1" x14ac:dyDescent="0.25">
      <c r="A14" s="308" t="s">
        <v>462</v>
      </c>
      <c r="B14" s="309"/>
      <c r="C14" s="310">
        <v>1</v>
      </c>
      <c r="D14" s="310" t="s">
        <v>679</v>
      </c>
      <c r="E14" s="311"/>
      <c r="F14" s="312" t="s">
        <v>565</v>
      </c>
      <c r="G14" s="313">
        <v>3</v>
      </c>
      <c r="H14" s="312">
        <f>'Lao_transcript(year3)'!H15</f>
      </c>
      <c r="I14" s="314">
        <f>'Lao_transcript(year3)'!I15</f>
      </c>
      <c r="J14" s="314">
        <f>'Lao_transcript(year3)'!J15</f>
      </c>
      <c r="K14" s="314" t="s">
        <v>19</v>
      </c>
      <c r="L14" s="161"/>
      <c r="M14" s="161"/>
      <c r="N14" s="163"/>
      <c r="O14" s="201"/>
      <c r="P14" s="161"/>
      <c r="Q14" s="161"/>
      <c r="R14" s="181"/>
      <c r="S14" s="181"/>
      <c r="T14" s="181"/>
    </row>
    <row r="15" ht="19" customHeight="1" spans="1:42" s="315" customFormat="1" x14ac:dyDescent="0.25">
      <c r="A15" s="316"/>
      <c r="B15" s="317"/>
      <c r="C15" s="318"/>
      <c r="D15" s="318"/>
      <c r="E15" s="319"/>
      <c r="F15" s="320"/>
      <c r="G15" s="321"/>
      <c r="H15" s="320"/>
      <c r="I15" s="322"/>
      <c r="J15" s="323"/>
      <c r="K15" s="323"/>
      <c r="L15" s="161"/>
      <c r="M15" s="161"/>
      <c r="N15" s="163"/>
      <c r="O15" s="201"/>
      <c r="P15" s="161"/>
      <c r="Q15" s="161"/>
      <c r="R15" s="181"/>
      <c r="S15" s="181"/>
      <c r="T15" s="181"/>
      <c r="U15" s="161"/>
      <c r="V15" s="161"/>
      <c r="W15" s="161"/>
      <c r="X15" s="161"/>
      <c r="Y15" s="161"/>
      <c r="Z15" s="161"/>
      <c r="AA15" s="161"/>
      <c r="AB15" s="161"/>
      <c r="AC15" s="161"/>
      <c r="AD15" s="161"/>
      <c r="AE15" s="161"/>
      <c r="AF15" s="161"/>
      <c r="AG15" s="161"/>
      <c r="AH15" s="161"/>
      <c r="AI15" s="161"/>
      <c r="AJ15" s="161"/>
      <c r="AK15" s="161"/>
      <c r="AL15" s="161"/>
      <c r="AM15" s="161"/>
      <c r="AN15" s="161"/>
      <c r="AO15" s="161"/>
      <c r="AP15" s="161"/>
    </row>
    <row r="16" ht="19" customHeight="1" spans="1:15" x14ac:dyDescent="0.25">
      <c r="A16" s="316"/>
      <c r="B16" s="317"/>
      <c r="C16" s="318">
        <v>2</v>
      </c>
      <c r="D16" s="318" t="s">
        <v>602</v>
      </c>
      <c r="E16" s="319" t="s">
        <v>680</v>
      </c>
      <c r="F16" s="320"/>
      <c r="G16" s="321">
        <v>2</v>
      </c>
      <c r="H16" s="320">
        <f>'Lao_transcript(year3)'!H16</f>
      </c>
      <c r="I16" s="322">
        <f>'Lao_transcript(year3)'!I16</f>
      </c>
      <c r="J16" s="323">
        <f>'Lao_transcript(year3)'!J16</f>
      </c>
      <c r="K16" s="323"/>
      <c r="L16" s="161"/>
      <c r="M16" s="161"/>
      <c r="N16" s="163"/>
      <c r="O16" s="201"/>
    </row>
    <row r="17" ht="19" customHeight="1" spans="1:15" x14ac:dyDescent="0.25">
      <c r="A17" s="316"/>
      <c r="B17" s="317"/>
      <c r="C17" s="318">
        <v>3</v>
      </c>
      <c r="D17" s="318" t="s">
        <v>604</v>
      </c>
      <c r="E17" s="319" t="s">
        <v>681</v>
      </c>
      <c r="F17" s="320"/>
      <c r="G17" s="321">
        <v>1</v>
      </c>
      <c r="H17" s="320">
        <f>'Lao_transcript(year3)'!H17</f>
      </c>
      <c r="I17" s="322">
        <f>'Lao_transcript(year3)'!I17</f>
      </c>
      <c r="J17" s="323">
        <f>'Lao_transcript(year3)'!J17</f>
      </c>
      <c r="K17" s="323"/>
      <c r="L17" s="161"/>
      <c r="M17" s="161"/>
      <c r="N17" s="163"/>
      <c r="O17" s="201"/>
    </row>
    <row r="18" ht="19" customHeight="1" spans="1:15" x14ac:dyDescent="0.25">
      <c r="A18" s="316"/>
      <c r="B18" s="317"/>
      <c r="C18" s="318">
        <v>4</v>
      </c>
      <c r="D18" s="318" t="s">
        <v>606</v>
      </c>
      <c r="E18" s="319" t="s">
        <v>682</v>
      </c>
      <c r="F18" s="320"/>
      <c r="G18" s="321">
        <v>1</v>
      </c>
      <c r="H18" s="320">
        <f>'Lao_transcript(year3)'!H18</f>
      </c>
      <c r="I18" s="322">
        <f>'Lao_transcript(year3)'!I18</f>
      </c>
      <c r="J18" s="323">
        <f>'Lao_transcript(year3)'!J18</f>
      </c>
      <c r="K18" s="323"/>
      <c r="L18" s="161"/>
      <c r="M18" s="161"/>
      <c r="N18" s="163"/>
      <c r="O18" s="201"/>
    </row>
    <row r="19" ht="19" customHeight="1" spans="1:15" x14ac:dyDescent="0.25">
      <c r="A19" s="316"/>
      <c r="B19" s="317"/>
      <c r="C19" s="318">
        <v>5</v>
      </c>
      <c r="D19" s="318" t="s">
        <v>608</v>
      </c>
      <c r="E19" s="319" t="s">
        <v>683</v>
      </c>
      <c r="F19" s="320"/>
      <c r="G19" s="321">
        <v>1</v>
      </c>
      <c r="H19" s="320">
        <f>'Lao_transcript(year3)'!H19</f>
      </c>
      <c r="I19" s="322">
        <f>'Lao_transcript(year3)'!I19</f>
      </c>
      <c r="J19" s="323">
        <f>'Lao_transcript(year3)'!J19</f>
      </c>
      <c r="K19" s="323"/>
      <c r="L19" s="161"/>
      <c r="M19" s="161"/>
      <c r="N19" s="163"/>
      <c r="O19" s="201"/>
    </row>
    <row r="20" ht="19" customHeight="1" spans="1:15" x14ac:dyDescent="0.25">
      <c r="A20" s="316"/>
      <c r="B20" s="317"/>
      <c r="C20" s="318">
        <v>6</v>
      </c>
      <c r="D20" s="318" t="s">
        <v>610</v>
      </c>
      <c r="E20" s="319" t="s">
        <v>684</v>
      </c>
      <c r="F20" s="320"/>
      <c r="G20" s="321">
        <v>2</v>
      </c>
      <c r="H20" s="320">
        <f>'Lao_transcript(year3)'!H20</f>
      </c>
      <c r="I20" s="322">
        <f>'Lao_transcript(year3)'!I20</f>
      </c>
      <c r="J20" s="323">
        <f>'Lao_transcript(year3)'!J20</f>
      </c>
      <c r="K20" s="323"/>
      <c r="L20" s="161"/>
      <c r="M20" s="161"/>
      <c r="N20" s="163"/>
      <c r="O20" s="201"/>
    </row>
    <row r="21" ht="19" customHeight="1" spans="1:15" x14ac:dyDescent="0.25">
      <c r="A21" s="316"/>
      <c r="B21" s="317"/>
      <c r="C21" s="318">
        <v>7</v>
      </c>
      <c r="D21" s="318" t="s">
        <v>612</v>
      </c>
      <c r="E21" s="319" t="s">
        <v>685</v>
      </c>
      <c r="F21" s="320"/>
      <c r="G21" s="321">
        <v>2</v>
      </c>
      <c r="H21" s="320">
        <f>'Lao_transcript(year3)'!H21</f>
      </c>
      <c r="I21" s="322">
        <f>'Lao_transcript(year3)'!I21</f>
      </c>
      <c r="J21" s="323">
        <f>'Lao_transcript(year3)'!J21</f>
      </c>
      <c r="K21" s="323"/>
      <c r="L21" s="161"/>
      <c r="M21" s="161"/>
      <c r="N21" s="163"/>
      <c r="O21" s="201"/>
    </row>
    <row r="22" ht="19" customHeight="1" spans="1:15" x14ac:dyDescent="0.25">
      <c r="A22" s="316"/>
      <c r="B22" s="317"/>
      <c r="C22" s="318">
        <v>8</v>
      </c>
      <c r="D22" s="318" t="s">
        <v>614</v>
      </c>
      <c r="E22" s="319" t="s">
        <v>686</v>
      </c>
      <c r="F22" s="320"/>
      <c r="G22" s="321">
        <v>2</v>
      </c>
      <c r="H22" s="320">
        <f>'Lao_transcript(year3)'!H22</f>
      </c>
      <c r="I22" s="322">
        <f>'Lao_transcript(year3)'!I22</f>
      </c>
      <c r="J22" s="323">
        <f>'Lao_transcript(year3)'!J22</f>
      </c>
      <c r="K22" s="323"/>
      <c r="L22" s="161"/>
      <c r="M22" s="161"/>
      <c r="N22" s="163"/>
      <c r="O22" s="201"/>
    </row>
    <row r="23" ht="19" customHeight="1" spans="1:15" x14ac:dyDescent="0.25">
      <c r="A23" s="316"/>
      <c r="B23" s="317"/>
      <c r="C23" s="318">
        <v>9</v>
      </c>
      <c r="D23" s="318" t="s">
        <v>616</v>
      </c>
      <c r="E23" s="319" t="s">
        <v>687</v>
      </c>
      <c r="F23" s="320"/>
      <c r="G23" s="321">
        <v>1</v>
      </c>
      <c r="H23" s="320">
        <f>'Lao_transcript(year3)'!H23</f>
      </c>
      <c r="I23" s="322">
        <f>'Lao_transcript(year3)'!I23</f>
      </c>
      <c r="J23" s="323">
        <f>'Lao_transcript(year3)'!J23</f>
      </c>
      <c r="K23" s="323"/>
      <c r="L23" s="161"/>
      <c r="M23" s="161"/>
      <c r="N23" s="163"/>
      <c r="O23" s="201"/>
    </row>
    <row r="24" ht="19" customHeight="1" spans="1:15" x14ac:dyDescent="0.25">
      <c r="A24" s="316"/>
      <c r="B24" s="317"/>
      <c r="C24" s="318">
        <v>10</v>
      </c>
      <c r="D24" s="318" t="s">
        <v>618</v>
      </c>
      <c r="E24" s="319" t="s">
        <v>688</v>
      </c>
      <c r="F24" s="320"/>
      <c r="G24" s="321">
        <v>2</v>
      </c>
      <c r="H24" s="320">
        <f>'Lao_transcript(year3)'!H24</f>
      </c>
      <c r="I24" s="322">
        <f>'Lao_transcript(year3)'!I24</f>
      </c>
      <c r="J24" s="323">
        <f>'Lao_transcript(year3)'!J24</f>
      </c>
      <c r="K24" s="323"/>
      <c r="L24" s="161"/>
      <c r="M24" s="161"/>
      <c r="N24" s="163"/>
      <c r="O24" s="201"/>
    </row>
    <row r="25" ht="19" customHeight="1" spans="1:15" x14ac:dyDescent="0.25">
      <c r="A25" s="316"/>
      <c r="B25" s="317"/>
      <c r="C25" s="318">
        <v>11</v>
      </c>
      <c r="D25" s="318" t="s">
        <v>620</v>
      </c>
      <c r="E25" s="319" t="s">
        <v>689</v>
      </c>
      <c r="F25" s="320"/>
      <c r="G25" s="321">
        <v>2</v>
      </c>
      <c r="H25" s="320">
        <f>'Lao_transcript(year3)'!H25</f>
      </c>
      <c r="I25" s="322">
        <f>'Lao_transcript(year3)'!I25</f>
      </c>
      <c r="J25" s="323">
        <f>'Lao_transcript(year3)'!J25</f>
      </c>
      <c r="K25" s="323"/>
      <c r="L25" s="161"/>
      <c r="M25" s="161"/>
      <c r="N25" s="163"/>
      <c r="O25" s="201"/>
    </row>
    <row r="26" ht="19" customHeight="1" spans="1:42" s="192" customFormat="1" x14ac:dyDescent="0.25">
      <c r="A26" s="261" t="s">
        <v>574</v>
      </c>
      <c r="B26" s="326" t="s">
        <v>473</v>
      </c>
      <c r="C26" s="194">
        <v>1</v>
      </c>
      <c r="D26" s="327" t="s">
        <v>622</v>
      </c>
      <c r="E26" s="328" t="s">
        <v>690</v>
      </c>
      <c r="F26" s="194">
        <v>3</v>
      </c>
      <c r="G26" s="287">
        <f>'Lao_transcript(year3)'!G26</f>
      </c>
      <c r="H26" s="194">
        <f>'Lao_transcript(year3)'!H26</f>
      </c>
      <c r="I26" s="194">
        <f>'Lao_transcript(year3)'!I26</f>
      </c>
      <c r="J26" s="329">
        <f>'Lao_transcript(year3)'!J26</f>
      </c>
      <c r="K26" s="264" t="e">
        <f>(J16+J23)/2</f>
        <v>#REF!</v>
      </c>
      <c r="L26" s="181"/>
      <c r="M26" s="161"/>
      <c r="N26" s="163"/>
      <c r="O26" s="201"/>
      <c r="P26" s="161"/>
      <c r="Q26" s="161"/>
      <c r="R26" s="161"/>
      <c r="S26" s="161"/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</row>
    <row r="27" ht="19" customHeight="1" spans="1:42" s="202" customFormat="1" x14ac:dyDescent="0.25">
      <c r="A27" s="265" t="s">
        <v>574</v>
      </c>
      <c r="B27" s="330" t="s">
        <v>473</v>
      </c>
      <c r="C27" s="204">
        <v>2</v>
      </c>
      <c r="D27" s="331" t="s">
        <v>624</v>
      </c>
      <c r="E27" s="332" t="s">
        <v>691</v>
      </c>
      <c r="F27" s="204">
        <v>2</v>
      </c>
      <c r="G27" s="282">
        <v>2</v>
      </c>
      <c r="H27" s="208">
        <f>'Lao_transcript(year3)'!H27</f>
      </c>
      <c r="I27" s="204">
        <f>'Lao_transcript(year3)'!I27</f>
      </c>
      <c r="J27" s="333">
        <f>'Lao_transcript(year3)'!J27</f>
      </c>
      <c r="K27" s="266" t="e">
        <f>(J16+J23)/2</f>
        <v>#REF!</v>
      </c>
      <c r="L27" s="181"/>
      <c r="M27" s="161"/>
      <c r="N27" s="163"/>
      <c r="O27" s="201"/>
      <c r="P27" s="161"/>
      <c r="Q27" s="161"/>
      <c r="R27" s="161"/>
      <c r="S27" s="161"/>
      <c r="T27" s="161"/>
      <c r="U27" s="161"/>
      <c r="V27" s="161"/>
      <c r="W27" s="161"/>
      <c r="X27" s="161"/>
      <c r="Y27" s="161"/>
      <c r="Z27" s="161"/>
      <c r="AA27" s="161"/>
      <c r="AB27" s="161"/>
      <c r="AC27" s="161"/>
      <c r="AD27" s="161"/>
      <c r="AE27" s="161"/>
      <c r="AF27" s="161"/>
      <c r="AG27" s="161"/>
      <c r="AH27" s="161"/>
      <c r="AI27" s="161"/>
      <c r="AJ27" s="161"/>
      <c r="AK27" s="161"/>
      <c r="AL27" s="161"/>
      <c r="AM27" s="161"/>
      <c r="AN27" s="161"/>
      <c r="AO27" s="161"/>
      <c r="AP27" s="161"/>
    </row>
    <row r="28" ht="19" customHeight="1" spans="1:42" s="202" customFormat="1" x14ac:dyDescent="0.25">
      <c r="A28" s="265" t="s">
        <v>574</v>
      </c>
      <c r="B28" s="330" t="s">
        <v>473</v>
      </c>
      <c r="C28" s="204">
        <v>3</v>
      </c>
      <c r="D28" s="331" t="s">
        <v>626</v>
      </c>
      <c r="E28" s="332" t="s">
        <v>692</v>
      </c>
      <c r="F28" s="204">
        <v>1</v>
      </c>
      <c r="G28" s="282">
        <v>1</v>
      </c>
      <c r="H28" s="208">
        <f>'Lao_transcript(year3)'!H28</f>
      </c>
      <c r="I28" s="204">
        <f>'Lao_transcript(year3)'!I28</f>
      </c>
      <c r="J28" s="333">
        <f>'Lao_transcript(year3)'!J28</f>
      </c>
      <c r="K28" s="266" t="e">
        <f>(J16+J23)/2</f>
        <v>#REF!</v>
      </c>
      <c r="L28" s="181"/>
      <c r="M28" s="161"/>
      <c r="N28" s="163"/>
      <c r="O28" s="20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</row>
    <row r="29" ht="19" customHeight="1" spans="1:42" s="202" customFormat="1" x14ac:dyDescent="0.25">
      <c r="A29" s="265" t="s">
        <v>574</v>
      </c>
      <c r="B29" s="330" t="s">
        <v>473</v>
      </c>
      <c r="C29" s="204">
        <v>4</v>
      </c>
      <c r="D29" s="334" t="s">
        <v>628</v>
      </c>
      <c r="E29" s="335" t="s">
        <v>693</v>
      </c>
      <c r="F29" s="204">
        <v>1</v>
      </c>
      <c r="G29" s="282">
        <v>1</v>
      </c>
      <c r="H29" s="208">
        <f>'Lao_transcript(year3)'!H29</f>
      </c>
      <c r="I29" s="204">
        <f>'Lao_transcript(year3)'!I29</f>
      </c>
      <c r="J29" s="333">
        <f>'Lao_transcript(year3)'!J29</f>
      </c>
      <c r="K29" s="266" t="e">
        <f>(J16+J23)/2</f>
        <v>#REF!</v>
      </c>
      <c r="L29" s="181"/>
      <c r="M29" s="161"/>
      <c r="N29" s="163"/>
      <c r="O29" s="20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161"/>
      <c r="AM29" s="161"/>
      <c r="AN29" s="161"/>
      <c r="AO29" s="161"/>
      <c r="AP29" s="161"/>
    </row>
    <row r="30" ht="19" customHeight="1" spans="1:42" s="202" customFormat="1" x14ac:dyDescent="0.25">
      <c r="A30" s="265" t="s">
        <v>574</v>
      </c>
      <c r="B30" s="330" t="s">
        <v>473</v>
      </c>
      <c r="C30" s="204">
        <v>5</v>
      </c>
      <c r="D30" s="334" t="s">
        <v>630</v>
      </c>
      <c r="E30" s="335" t="s">
        <v>694</v>
      </c>
      <c r="F30" s="204">
        <v>2</v>
      </c>
      <c r="G30" s="282">
        <v>1</v>
      </c>
      <c r="H30" s="208">
        <f>'Lao_transcript(year3)'!H30</f>
      </c>
      <c r="I30" s="204">
        <f>'Lao_transcript(year3)'!I30</f>
      </c>
      <c r="J30" s="336">
        <f>'Lao_transcript(year3)'!J30</f>
      </c>
      <c r="K30" s="266" t="e">
        <f>(J16+J23)/2</f>
        <v>#REF!</v>
      </c>
      <c r="L30" s="181"/>
      <c r="M30" s="161"/>
      <c r="N30" s="163"/>
      <c r="O30" s="20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161"/>
      <c r="AM30" s="161"/>
      <c r="AN30" s="161"/>
      <c r="AO30" s="161"/>
      <c r="AP30" s="161"/>
    </row>
    <row r="31" ht="19" customHeight="1" spans="1:42" s="202" customFormat="1" x14ac:dyDescent="0.25">
      <c r="A31" s="265" t="s">
        <v>574</v>
      </c>
      <c r="B31" s="330" t="s">
        <v>473</v>
      </c>
      <c r="C31" s="204">
        <v>6</v>
      </c>
      <c r="D31" s="331" t="s">
        <v>632</v>
      </c>
      <c r="E31" s="332" t="s">
        <v>695</v>
      </c>
      <c r="F31" s="204">
        <v>2</v>
      </c>
      <c r="G31" s="282">
        <v>2</v>
      </c>
      <c r="H31" s="208">
        <f>'Lao_transcript(year3)'!H31</f>
      </c>
      <c r="I31" s="204">
        <f>'Lao_transcript(year3)'!I31</f>
      </c>
      <c r="J31" s="336">
        <f>'Lao_transcript(year3)'!J31</f>
      </c>
      <c r="K31" s="266" t="e">
        <f>(J16+J23)/2</f>
        <v>#REF!</v>
      </c>
      <c r="L31" s="181"/>
      <c r="M31" s="161"/>
      <c r="N31" s="163"/>
      <c r="O31" s="20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161"/>
      <c r="AM31" s="161"/>
      <c r="AN31" s="161"/>
      <c r="AO31" s="161"/>
      <c r="AP31" s="161"/>
    </row>
    <row r="32" ht="19" customHeight="1" spans="1:42" s="202" customFormat="1" x14ac:dyDescent="0.25">
      <c r="A32" s="265" t="s">
        <v>574</v>
      </c>
      <c r="B32" s="330" t="s">
        <v>473</v>
      </c>
      <c r="C32" s="284">
        <v>7</v>
      </c>
      <c r="D32" s="337" t="s">
        <v>634</v>
      </c>
      <c r="E32" s="338" t="s">
        <v>696</v>
      </c>
      <c r="F32" s="284">
        <v>2</v>
      </c>
      <c r="G32" s="285">
        <v>2</v>
      </c>
      <c r="H32" s="285">
        <f>'Lao_transcript(year3)'!H32</f>
      </c>
      <c r="I32" s="284">
        <f>'Lao_transcript(year3)'!I32</f>
      </c>
      <c r="J32" s="339">
        <f>'Lao_transcript(year3)'!J32</f>
      </c>
      <c r="K32" s="266" t="e">
        <f>(J16+J23)/2</f>
        <v>#REF!</v>
      </c>
      <c r="L32" s="181"/>
      <c r="M32" s="161"/>
      <c r="N32" s="163"/>
      <c r="O32" s="20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161"/>
      <c r="AM32" s="161"/>
      <c r="AN32" s="161"/>
      <c r="AO32" s="161"/>
      <c r="AP32" s="161"/>
    </row>
    <row r="33" ht="19" customHeight="1" spans="1:42" s="192" customFormat="1" x14ac:dyDescent="0.25">
      <c r="A33" s="265" t="s">
        <v>574</v>
      </c>
      <c r="B33" s="326" t="s">
        <v>487</v>
      </c>
      <c r="C33" s="194">
        <v>8</v>
      </c>
      <c r="D33" s="327" t="s">
        <v>636</v>
      </c>
      <c r="E33" s="328" t="s">
        <v>697</v>
      </c>
      <c r="F33" s="299">
        <v>3</v>
      </c>
      <c r="G33" s="287">
        <v>1</v>
      </c>
      <c r="H33" s="340">
        <f>'Lao_transcript(year3)'!H33</f>
      </c>
      <c r="I33" s="194">
        <f>'Lao_transcript(year3)'!I33</f>
      </c>
      <c r="J33" s="341">
        <f>'Lao_transcript(year3)'!J33</f>
      </c>
      <c r="K33" s="266" t="e">
        <f>(J16+J23)/2</f>
        <v>#REF!</v>
      </c>
      <c r="L33" s="181"/>
      <c r="M33" s="161"/>
      <c r="N33" s="161"/>
      <c r="O33" s="20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161"/>
      <c r="AM33" s="161"/>
      <c r="AN33" s="161"/>
      <c r="AO33" s="161"/>
      <c r="AP33" s="161"/>
    </row>
    <row r="34" ht="19" customHeight="1" spans="1:42" s="202" customFormat="1" x14ac:dyDescent="0.25">
      <c r="A34" s="265" t="s">
        <v>574</v>
      </c>
      <c r="B34" s="330" t="s">
        <v>487</v>
      </c>
      <c r="C34" s="204">
        <v>9</v>
      </c>
      <c r="D34" s="331" t="s">
        <v>638</v>
      </c>
      <c r="E34" s="332" t="s">
        <v>698</v>
      </c>
      <c r="F34" s="205">
        <v>2</v>
      </c>
      <c r="G34" s="282">
        <v>2</v>
      </c>
      <c r="H34" s="208">
        <f>'Lao_transcript(year3)'!H34</f>
      </c>
      <c r="I34" s="204">
        <f>'Lao_transcript(year3)'!I34</f>
      </c>
      <c r="J34" s="333">
        <f>'Lao_transcript(year3)'!J34</f>
      </c>
      <c r="K34" s="266" t="e">
        <f>(J16+J23)/2</f>
        <v>#REF!</v>
      </c>
      <c r="L34" s="181"/>
      <c r="M34" s="161"/>
      <c r="N34" s="161"/>
      <c r="O34" s="20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161"/>
      <c r="AM34" s="161"/>
      <c r="AN34" s="161"/>
      <c r="AO34" s="161"/>
      <c r="AP34" s="161"/>
    </row>
    <row r="35" ht="19" customHeight="1" spans="1:42" s="202" customFormat="1" x14ac:dyDescent="0.25">
      <c r="A35" s="265" t="s">
        <v>574</v>
      </c>
      <c r="B35" s="330" t="s">
        <v>487</v>
      </c>
      <c r="C35" s="204">
        <v>10</v>
      </c>
      <c r="D35" s="334" t="s">
        <v>640</v>
      </c>
      <c r="E35" s="335" t="s">
        <v>699</v>
      </c>
      <c r="F35" s="205">
        <v>1</v>
      </c>
      <c r="G35" s="282">
        <v>3</v>
      </c>
      <c r="H35" s="208">
        <f>'Lao_transcript(year3)'!H35</f>
      </c>
      <c r="I35" s="204">
        <f>'Lao_transcript(year3)'!I35</f>
      </c>
      <c r="J35" s="333">
        <f>'Lao_transcript(year3)'!J35</f>
      </c>
      <c r="K35" s="266" t="e">
        <f>(J16+J23)/2</f>
        <v>#REF!</v>
      </c>
      <c r="L35" s="181"/>
      <c r="M35" s="161"/>
      <c r="N35" s="161"/>
      <c r="O35" s="20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161"/>
      <c r="AM35" s="161"/>
      <c r="AN35" s="161"/>
      <c r="AO35" s="161"/>
      <c r="AP35" s="161"/>
    </row>
    <row r="36" ht="17.25" customHeight="1" spans="1:16" s="161" customFormat="1" x14ac:dyDescent="0.25">
      <c r="A36" s="365" t="s">
        <v>700</v>
      </c>
      <c r="B36" s="330" t="s">
        <v>701</v>
      </c>
      <c r="C36" s="204">
        <v>10</v>
      </c>
      <c r="D36" s="334" t="s">
        <v>702</v>
      </c>
      <c r="E36" s="335" t="s">
        <v>702</v>
      </c>
      <c r="F36" s="205">
        <v>2</v>
      </c>
      <c r="G36" s="282">
        <f>'Lao_transcript(year3)'!G36</f>
      </c>
      <c r="H36" s="208" t="e">
        <f>IF(G61&gt;90,"4.00",IF(G61&gt;80,"3.50",IF(G61&gt;69,"3.00",IF(G61&gt;64,"2.50",IF(G61&gt;59,"2.00",IF(G61&gt;54,"1.50",IF(G61&gt;49,"1.00","0.00")))))))</f>
        <v>#REF!</v>
      </c>
      <c r="I36" s="204">
        <f>'Lao_transcript(year3)'!I36</f>
      </c>
      <c r="J36" s="353" t="e">
        <f>(H52*F52+H53*F53+H54*F54+H55*F55+H56*F56+H57*F57+H58*F58+H59*F59+H60*F60+H61*F61+H62*F62)/(F52+F53+F54+F55+F56+F57+F58+F59+F60+F61+F62)</f>
        <v>#REF!</v>
      </c>
      <c r="K36" s="266" t="e">
        <f>(J52+J63)/2</f>
        <v>#REF!</v>
      </c>
      <c r="L36" s="181"/>
      <c r="M36" s="161"/>
      <c r="N36" s="161"/>
      <c r="O36" s="366"/>
      <c r="P36" s="366"/>
    </row>
    <row r="37" ht="17.25" customHeight="1" spans="1:14" s="161" customFormat="1" x14ac:dyDescent="0.25">
      <c r="A37" s="365" t="s">
        <v>700</v>
      </c>
      <c r="B37" s="330" t="s">
        <v>701</v>
      </c>
      <c r="C37" s="284">
        <v>11</v>
      </c>
      <c r="D37" s="347" t="s">
        <v>582</v>
      </c>
      <c r="E37" s="348" t="s">
        <v>582</v>
      </c>
      <c r="F37" s="302">
        <v>2</v>
      </c>
      <c r="G37" s="285" t="e">
        <f>VLOOKUP($E$12,#REF!,56,FALSE)</f>
        <v>#REF!</v>
      </c>
      <c r="H37" s="285" t="e">
        <f>IF(G62&gt;90,"4.00",IF(G62&gt;80,"3.50",IF(G62&gt;69,"3.00",IF(G62&gt;64,"2.50",IF(G62&gt;59,"2.00",IF(G62&gt;54,"1.50",IF(G62&gt;49,"1.00","0.00")))))))</f>
        <v>#REF!</v>
      </c>
      <c r="I37" s="284" t="e">
        <f>IF(G62&gt;=90,"A",IF(G62&gt;=80,"B+",IF(G62&gt;=70,"B",IF(G62&gt;=65,"C+",IF(G62&gt;=60,"C",IF(G62&gt;=55,"D+",IF(G62&gt;=50,"D",IF(G62&gt;=0,"F"))))))))</f>
        <v>#REF!</v>
      </c>
      <c r="J37" s="356" t="e">
        <f>(H52*F52+H53*F53+H54*F54+H55*F55+H56*F56+H57*F57+H58*F58+H59*F59+H60*F60+H61*F61+H62*F62)/(F52+F53+F54+F55+F56+F57+F58+F59+F60+F61+F62)</f>
        <v>#REF!</v>
      </c>
      <c r="K37" s="266" t="e">
        <f>(J52+J63)/2</f>
        <v>#REF!</v>
      </c>
      <c r="L37" s="181"/>
      <c r="M37" s="357"/>
      <c r="N37" s="357"/>
    </row>
    <row r="38" ht="17.25" customHeight="1" spans="1:15" s="161" customFormat="1" x14ac:dyDescent="0.25">
      <c r="A38" s="365" t="s">
        <v>700</v>
      </c>
      <c r="B38" s="326" t="s">
        <v>703</v>
      </c>
      <c r="C38" s="194">
        <v>1</v>
      </c>
      <c r="D38" s="327" t="s">
        <v>690</v>
      </c>
      <c r="E38" s="328" t="s">
        <v>690</v>
      </c>
      <c r="F38" s="299">
        <v>3</v>
      </c>
      <c r="G38" s="287" t="e">
        <f>VLOOKUP($E$12,#REF!,57,FALSE)</f>
        <v>#REF!</v>
      </c>
      <c r="H38" s="340" t="e">
        <f>IF(G63&gt;90,"4.00",IF(G63&gt;80,"3.50",IF(G63&gt;69,"3.00",IF(G63&gt;64,"2.50",IF(G63&gt;59,"2.00",IF(G63&gt;54,"1.50",IF(G63&gt;49,"1.00","0.00")))))))</f>
        <v>#REF!</v>
      </c>
      <c r="I38" s="194">
        <f>'Lao_transcript(year3)'!I38</f>
      </c>
      <c r="J38" s="341" t="e">
        <f>(H63*F63+H64*F64+H65*F65+H66*F66+H67*F67+H68*F68+H69*F69+H70*F70+F71*H71+H72*F72)/(F63+F64+F65+F66+F67+F68+F69+F70+F71+F72)</f>
        <v>#REF!</v>
      </c>
      <c r="K38" s="266" t="e">
        <f>(J52+J63)/2</f>
        <v>#REF!</v>
      </c>
      <c r="L38" s="181"/>
      <c r="M38" s="357"/>
      <c r="N38" s="357"/>
      <c r="O38" s="201"/>
    </row>
    <row r="39" ht="17.25" customHeight="1" spans="1:15" s="161" customFormat="1" x14ac:dyDescent="0.25">
      <c r="A39" s="365" t="s">
        <v>700</v>
      </c>
      <c r="B39" s="330" t="s">
        <v>703</v>
      </c>
      <c r="C39" s="204">
        <v>2</v>
      </c>
      <c r="D39" s="334" t="s">
        <v>692</v>
      </c>
      <c r="E39" s="335" t="s">
        <v>692</v>
      </c>
      <c r="F39" s="205">
        <v>1</v>
      </c>
      <c r="G39" s="282" t="e">
        <f>VLOOKUP($E$12,#REF!,58,FALSE)</f>
        <v>#REF!</v>
      </c>
      <c r="H39" s="208" t="e">
        <f>IF(G64&gt;90,"4.00",IF(G64&gt;80,"3.50",IF(G64&gt;69,"3.00",IF(G64&gt;64,"2.50",IF(G64&gt;59,"2.00",IF(G64&gt;54,"1.50",IF(G64&gt;49,"1.00","0.00")))))))</f>
        <v>#REF!</v>
      </c>
      <c r="I39" s="204" t="e">
        <f>IF(G64&gt;=90,"A",IF(G64&gt;=80,"B+",IF(G64&gt;=70,"B",IF(G64&gt;=65,"C+",IF(G64&gt;=60,"C",IF(G64&gt;=55,"D+",IF(G64&gt;=50,"D",IF(G64&gt;=0,"F"))))))))</f>
        <v>#REF!</v>
      </c>
      <c r="J39" s="333" t="e">
        <f>(H63*F63+H64*F64+H65*F65+H66*F66+H67*F67+H68*F68+H69*F69+H70*F70+F71*H71+H72*F72)/(F63+F64+F65+F66+F67+F68+F69+F70+F71+F72)</f>
        <v>#REF!</v>
      </c>
      <c r="K39" s="266" t="e">
        <f>(J52+J63)/2</f>
        <v>#REF!</v>
      </c>
      <c r="L39" s="181"/>
      <c r="M39" s="357"/>
      <c r="N39" s="357"/>
      <c r="O39" s="201"/>
    </row>
    <row r="40" ht="17.25" customHeight="1" spans="1:15" s="161" customFormat="1" x14ac:dyDescent="0.25">
      <c r="A40" s="365" t="s">
        <v>700</v>
      </c>
      <c r="B40" s="330" t="s">
        <v>703</v>
      </c>
      <c r="C40" s="204">
        <v>3</v>
      </c>
      <c r="D40" s="334" t="s">
        <v>704</v>
      </c>
      <c r="E40" s="335" t="s">
        <v>704</v>
      </c>
      <c r="F40" s="205">
        <v>2</v>
      </c>
      <c r="G40" s="282" t="e">
        <f>VLOOKUP($E$12,#REF!,59,FALSE)</f>
        <v>#REF!</v>
      </c>
      <c r="H40" s="208" t="e">
        <f>IF(G65&gt;90,"4.00",IF(G65&gt;80,"3.50",IF(G65&gt;69,"3.00",IF(G65&gt;64,"2.50",IF(G65&gt;59,"2.00",IF(G65&gt;54,"1.50",IF(G65&gt;49,"1.00","0.00")))))))</f>
        <v>#REF!</v>
      </c>
      <c r="I40" s="204" t="e">
        <f>IF(G65&gt;=90,"A",IF(G65&gt;=80,"B+",IF(G65&gt;=70,"B",IF(G65&gt;=65,"C+",IF(G65&gt;=60,"C",IF(G65&gt;=55,"D+",IF(G65&gt;=50,"D",IF(G65&gt;=0,"F"))))))))</f>
        <v>#REF!</v>
      </c>
      <c r="J40" s="333" t="e">
        <f>(H63*F63+H64*F64+H65*F65+H66*F66+H67*F67+H68*F68+H69*F69+H70*F70+F71*H71+H72*F72)/(F63+F64+F65+F66+F67+F68+F69+F70+F71+F72)</f>
        <v>#REF!</v>
      </c>
      <c r="K40" s="266" t="e">
        <f>(J52+J63)/2</f>
        <v>#REF!</v>
      </c>
      <c r="L40" s="181"/>
      <c r="M40" s="357"/>
      <c r="N40" s="357"/>
      <c r="O40" s="201"/>
    </row>
    <row r="41" ht="17.25" customHeight="1" spans="1:15" s="161" customFormat="1" x14ac:dyDescent="0.25">
      <c r="A41" s="365" t="s">
        <v>700</v>
      </c>
      <c r="B41" s="330" t="s">
        <v>703</v>
      </c>
      <c r="C41" s="204">
        <v>4</v>
      </c>
      <c r="D41" s="334" t="s">
        <v>705</v>
      </c>
      <c r="E41" s="335" t="s">
        <v>705</v>
      </c>
      <c r="F41" s="205">
        <v>1</v>
      </c>
      <c r="G41" s="282" t="e">
        <f>VLOOKUP($E$12,#REF!,60,FALSE)</f>
        <v>#REF!</v>
      </c>
      <c r="H41" s="208" t="e">
        <f>IF(G66&gt;90,"4.00",IF(G66&gt;80,"3.50",IF(G66&gt;69,"3.00",IF(G66&gt;64,"2.50",IF(G66&gt;59,"2.00",IF(G66&gt;54,"1.50",IF(G66&gt;49,"1.00","0.00")))))))</f>
        <v>#REF!</v>
      </c>
      <c r="I41" s="204" t="e">
        <f>IF(G66&gt;=90,"A",IF(G66&gt;=80,"B+",IF(G66&gt;=70,"B",IF(G66&gt;=65,"C+",IF(G66&gt;=60,"C",IF(G66&gt;=55,"D+",IF(G66&gt;=50,"D",IF(G66&gt;=0,"F"))))))))</f>
        <v>#REF!</v>
      </c>
      <c r="J41" s="333" t="e">
        <f>(H63*F63+H64*F64+H65*F65+H66*F66+H67*F67+H68*F68+H69*F69+H70*F70+F71*H71+H72*F72)/(F63+F64+F65+F66+F67+F68+F69+F70+F71+F72)</f>
        <v>#REF!</v>
      </c>
      <c r="K41" s="266" t="e">
        <f>(J52+J63)/2</f>
        <v>#REF!</v>
      </c>
      <c r="L41" s="181"/>
      <c r="M41" s="357"/>
      <c r="N41" s="357"/>
      <c r="O41" s="201"/>
    </row>
    <row r="42" ht="17.25" customHeight="1" spans="1:15" s="161" customFormat="1" x14ac:dyDescent="0.25">
      <c r="A42" s="365" t="s">
        <v>700</v>
      </c>
      <c r="B42" s="330" t="s">
        <v>703</v>
      </c>
      <c r="C42" s="204">
        <v>5</v>
      </c>
      <c r="D42" s="334" t="s">
        <v>693</v>
      </c>
      <c r="E42" s="335" t="s">
        <v>693</v>
      </c>
      <c r="F42" s="205">
        <v>1</v>
      </c>
      <c r="G42" s="282" t="e">
        <f>VLOOKUP($E$12,#REF!,61,FALSE)</f>
        <v>#REF!</v>
      </c>
      <c r="H42" s="208" t="e">
        <f>IF(G67&gt;90,"4.00",IF(G67&gt;80,"3.50",IF(G67&gt;69,"3.00",IF(G67&gt;64,"2.50",IF(G67&gt;59,"2.00",IF(G67&gt;54,"1.50",IF(G67&gt;49,"1.00","0.00")))))))</f>
        <v>#REF!</v>
      </c>
      <c r="I42" s="204" t="e">
        <f>IF(G67&gt;=90,"A",IF(G67&gt;=80,"B+",IF(G67&gt;=70,"B",IF(G67&gt;=65,"C+",IF(G67&gt;=60,"C",IF(G67&gt;=55,"D+",IF(G67&gt;=50,"D",IF(G67&gt;=0,"F"))))))))</f>
        <v>#REF!</v>
      </c>
      <c r="J42" s="333" t="e">
        <f>(H63*F63+H64*F64+H65*F65+H66*F66+H67*F67+H68*F68+H69*F69+H70*F70+F71*H71+H72*F72)/(F63+F64+F65+F66+F67+F68+F69+F70+F71+F72)</f>
        <v>#REF!</v>
      </c>
      <c r="K42" s="266" t="e">
        <f>(J52+J63)/2</f>
        <v>#REF!</v>
      </c>
      <c r="L42" s="181"/>
      <c r="M42" s="357"/>
      <c r="N42" s="357"/>
      <c r="O42" s="201"/>
    </row>
    <row r="43" ht="27" customHeight="1" spans="1:16" s="161" customFormat="1" x14ac:dyDescent="0.25">
      <c r="A43" s="365" t="s">
        <v>700</v>
      </c>
      <c r="B43" s="330" t="s">
        <v>703</v>
      </c>
      <c r="C43" s="204">
        <v>6</v>
      </c>
      <c r="D43" s="334" t="s">
        <v>706</v>
      </c>
      <c r="E43" s="335" t="s">
        <v>706</v>
      </c>
      <c r="F43" s="205">
        <v>1</v>
      </c>
      <c r="G43" s="282" t="e">
        <f>VLOOKUP($E$12,#REF!,62,FALSE)</f>
        <v>#REF!</v>
      </c>
      <c r="H43" s="208" t="e">
        <f>IF(G68&gt;90,"4.00",IF(G68&gt;80,"3.50",IF(G68&gt;69,"3.00",IF(G68&gt;64,"2.50",IF(G68&gt;59,"2.00",IF(G68&gt;54,"1.50",IF(G68&gt;49,"1.00","0.00")))))))</f>
        <v>#REF!</v>
      </c>
      <c r="I43" s="204" t="e">
        <f>IF(G68&gt;=90,"A",IF(G68&gt;=80,"B+",IF(G68&gt;=70,"B",IF(G68&gt;=65,"C+",IF(G68&gt;=60,"C",IF(G68&gt;=55,"D+",IF(G68&gt;=50,"D",IF(G68&gt;=0,"F"))))))))</f>
        <v>#REF!</v>
      </c>
      <c r="J43" s="333" t="e">
        <f>(H63*F63+H64*F64+H65*F65+H66*F66+H67*F67+H68*F68+H69*F69+H70*F70+F71*H71+H72*F72)/(F63+F64+F65+F66+F67+F68+F69+F70+F71+F72)</f>
        <v>#REF!</v>
      </c>
      <c r="K43" s="266" t="e">
        <f>(J52+J63)/2</f>
        <v>#REF!</v>
      </c>
      <c r="L43" s="181"/>
      <c r="M43" s="161"/>
      <c r="N43" s="161"/>
      <c r="O43" s="357"/>
      <c r="P43" s="357"/>
    </row>
    <row r="44" ht="17.25" customHeight="1" spans="1:16" s="161" customFormat="1" x14ac:dyDescent="0.25">
      <c r="A44" s="365" t="s">
        <v>700</v>
      </c>
      <c r="B44" s="330" t="s">
        <v>703</v>
      </c>
      <c r="C44" s="204">
        <v>7</v>
      </c>
      <c r="D44" s="334" t="s">
        <v>707</v>
      </c>
      <c r="E44" s="335" t="s">
        <v>707</v>
      </c>
      <c r="F44" s="205">
        <v>1</v>
      </c>
      <c r="G44" s="282" t="e">
        <f>VLOOKUP($E$12,#REF!,63,FALSE)</f>
        <v>#REF!</v>
      </c>
      <c r="H44" s="208" t="e">
        <f>IF(G69&gt;90,"4.00",IF(G69&gt;80,"3.50",IF(G69&gt;69,"3.00",IF(G69&gt;64,"2.50",IF(G69&gt;59,"2.00",IF(G69&gt;54,"1.50",IF(G69&gt;49,"1.00","0.00")))))))</f>
        <v>#REF!</v>
      </c>
      <c r="I44" s="204" t="e">
        <f>IF(G69&gt;=90,"A",IF(G69&gt;=80,"B+",IF(G69&gt;=70,"B",IF(G69&gt;=65,"C+",IF(G69&gt;=60,"C",IF(G69&gt;=55,"D+",IF(G69&gt;=50,"D",IF(G69&gt;=0,"F"))))))))</f>
        <v>#REF!</v>
      </c>
      <c r="J44" s="333" t="e">
        <f>(H63*F63+H64*F64+H65*F65+H66*F66+H67*F67+H68*F68+H69*F69+H70*F70+F71*H71+H72*F72)/(F63+F64+F65+F66+F67+F68+F69+F70+F71+F72)</f>
        <v>#REF!</v>
      </c>
      <c r="K44" s="266" t="e">
        <f>(J52+J63)/2</f>
        <v>#REF!</v>
      </c>
      <c r="L44" s="181"/>
      <c r="M44" s="161"/>
      <c r="N44" s="161"/>
      <c r="O44" s="357"/>
      <c r="P44" s="357"/>
    </row>
    <row r="45" ht="28.5" customHeight="1" spans="1:16" s="161" customFormat="1" x14ac:dyDescent="0.25">
      <c r="A45" s="365" t="s">
        <v>700</v>
      </c>
      <c r="B45" s="330" t="s">
        <v>703</v>
      </c>
      <c r="C45" s="204">
        <v>8</v>
      </c>
      <c r="D45" s="334" t="s">
        <v>708</v>
      </c>
      <c r="E45" s="335" t="s">
        <v>708</v>
      </c>
      <c r="F45" s="205">
        <v>2</v>
      </c>
      <c r="G45" s="282" t="e">
        <f>VLOOKUP($E$12,#REF!,64,FALSE)</f>
        <v>#REF!</v>
      </c>
      <c r="H45" s="208" t="e">
        <f>IF(G70&gt;90,"4.00",IF(G70&gt;80,"3.50",IF(G70&gt;69,"3.00",IF(G70&gt;64,"2.50",IF(G70&gt;59,"2.00",IF(G70&gt;54,"1.50",IF(G70&gt;49,"1.00","0.00")))))))</f>
        <v>#REF!</v>
      </c>
      <c r="I45" s="204" t="e">
        <f>IF(G70&gt;=90,"A",IF(G70&gt;=80,"B+",IF(G70&gt;=70,"B",IF(G70&gt;=65,"C+",IF(G70&gt;=60,"C",IF(G70&gt;=55,"D+",IF(G70&gt;=50,"D",IF(G70&gt;=0,"F"))))))))</f>
        <v>#REF!</v>
      </c>
      <c r="J45" s="333" t="e">
        <f>(H63*F63+H64*F64+H65*F65+H66*F66+H67*F67+H68*F68+H69*F69+H70*F70+F71*H71+H72*F72)/(F63+F64+F65+F66+F67+F68+F69+F70+F71+F72)</f>
        <v>#REF!</v>
      </c>
      <c r="K45" s="266" t="e">
        <f>(J52+J63)/2</f>
        <v>#REF!</v>
      </c>
      <c r="L45" s="181"/>
      <c r="M45" s="161"/>
      <c r="N45" s="161"/>
      <c r="O45" s="357"/>
      <c r="P45" s="357"/>
    </row>
    <row r="46" ht="28.5" customHeight="1" spans="1:15" s="161" customFormat="1" x14ac:dyDescent="0.25">
      <c r="A46" s="365" t="s">
        <v>700</v>
      </c>
      <c r="B46" s="330" t="s">
        <v>703</v>
      </c>
      <c r="C46" s="204">
        <v>9</v>
      </c>
      <c r="D46" s="334" t="s">
        <v>709</v>
      </c>
      <c r="E46" s="335" t="s">
        <v>709</v>
      </c>
      <c r="F46" s="205">
        <v>2</v>
      </c>
      <c r="G46" s="282" t="e">
        <f>VLOOKUP($E$12,#REF!,65,FALSE)</f>
        <v>#REF!</v>
      </c>
      <c r="H46" s="208" t="e">
        <f>IF(G71&gt;90,"4.00",IF(G71&gt;80,"3.50",IF(G71&gt;69,"3.00",IF(G71&gt;64,"2.50",IF(G71&gt;59,"2.00",IF(G71&gt;54,"1.50",IF(G71&gt;49,"1.00","0.00")))))))</f>
        <v>#REF!</v>
      </c>
      <c r="I46" s="204" t="e">
        <f>IF(G71&gt;=90,"A",IF(G71&gt;=80,"B+",IF(G71&gt;=70,"B",IF(G71&gt;=65,"C+",IF(G71&gt;=60,"C",IF(G71&gt;=55,"D+",IF(G71&gt;=50,"D",IF(G71&gt;=0,"F"))))))))</f>
        <v>#REF!</v>
      </c>
      <c r="J46" s="333" t="e">
        <f>(H63*F63+H64*F64+H65*F65+H66*F66+H67*F67+H68*F68+H69*F69+H70*F70+F71*H71+H72*F72)/(F63+F64+F65+F66+F67+F68+F69+F70+F71+F72)</f>
        <v>#REF!</v>
      </c>
      <c r="K46" s="266" t="e">
        <f>(J52+J63)/2</f>
        <v>#REF!</v>
      </c>
      <c r="L46" s="181"/>
      <c r="M46" s="357"/>
      <c r="N46" s="357"/>
      <c r="O46" s="201"/>
    </row>
    <row r="47" ht="17.25" customHeight="1" spans="1:15" s="161" customFormat="1" x14ac:dyDescent="0.25">
      <c r="A47" s="365" t="s">
        <v>700</v>
      </c>
      <c r="B47" s="330" t="s">
        <v>703</v>
      </c>
      <c r="C47" s="284">
        <v>10</v>
      </c>
      <c r="D47" s="347" t="s">
        <v>687</v>
      </c>
      <c r="E47" s="348" t="s">
        <v>687</v>
      </c>
      <c r="F47" s="302">
        <v>2</v>
      </c>
      <c r="G47" s="285" t="e">
        <f>VLOOKUP($E$12,#REF!,66,FALSE)</f>
        <v>#REF!</v>
      </c>
      <c r="H47" s="285" t="e">
        <f>IF(G72&gt;90,"4.00",IF(G72&gt;80,"3.50",IF(G72&gt;69,"3.00",IF(G72&gt;64,"2.50",IF(G72&gt;59,"2.00",IF(G72&gt;54,"1.50",IF(G72&gt;49,"1.00","0.00")))))))</f>
        <v>#REF!</v>
      </c>
      <c r="I47" s="284" t="e">
        <f>IF(G72&gt;=90,"A",IF(G72&gt;=80,"B+",IF(G72&gt;=70,"B",IF(G72&gt;=65,"C+",IF(G72&gt;=60,"C",IF(G72&gt;=55,"D+",IF(G72&gt;=50,"D",IF(G72&gt;=0,"F"))))))))</f>
        <v>#REF!</v>
      </c>
      <c r="J47" s="339" t="e">
        <f>(H63*F63+H64*F64+H65*F65+H66*F66+H67*F67+H68*F68+H69*F69+H70*F70+F71*H71+H72*F72)/(F63+F64+F65+F66+F67+F68+F69+F70+F71+F72)</f>
        <v>#REF!</v>
      </c>
      <c r="K47" s="286" t="e">
        <f>(J52+J63)/2</f>
        <v>#REF!</v>
      </c>
      <c r="L47" s="181"/>
      <c r="M47" s="357"/>
      <c r="N47" s="357"/>
      <c r="O47" s="201"/>
    </row>
    <row r="48" ht="21.75" customHeight="1" spans="1:15" s="161" customFormat="1" x14ac:dyDescent="0.25">
      <c r="A48" s="349" t="s">
        <v>599</v>
      </c>
      <c r="B48" s="350" t="s">
        <v>599</v>
      </c>
      <c r="C48" s="350" t="s">
        <v>599</v>
      </c>
      <c r="D48" s="350" t="s">
        <v>599</v>
      </c>
      <c r="E48" s="351" t="s">
        <v>599</v>
      </c>
      <c r="F48" s="291">
        <f>SUM(F16:F72)</f>
        <v>100</v>
      </c>
      <c r="G48" s="292"/>
      <c r="H48" s="293"/>
      <c r="I48" s="292" t="e">
        <f>IF(J73&gt;4,"A",IF(J73&gt;3.5,"B+",IF(J73&gt;3,"B",IF(J73&gt;2.5,"C+",IF(J73&gt;2,"C",IF(J73&gt;1.5,"D+",IF(J73&gt;1,"D",IF(J73&gt;0.5,"F"))))))))</f>
        <v>#REF!</v>
      </c>
      <c r="J48" s="294" t="e">
        <f>AVERAGE(K15:K72)</f>
        <v>#REF!</v>
      </c>
      <c r="K48" s="295" t="e">
        <f>AVERAGE(K15:K72)</f>
        <v>#REF!</v>
      </c>
      <c r="L48" s="161"/>
      <c r="M48" s="161"/>
      <c r="N48" s="161"/>
      <c r="O48" s="201"/>
    </row>
    <row r="49" ht="15.75" customHeight="1" spans="1:15" s="161" customFormat="1" x14ac:dyDescent="0.25">
      <c r="A49" s="47"/>
      <c r="B49" s="47"/>
      <c r="C49" s="47"/>
      <c r="D49" s="47"/>
      <c r="E49" s="47"/>
      <c r="F49" s="47"/>
      <c r="G49" s="181"/>
      <c r="H49" s="342"/>
      <c r="I49" s="181"/>
      <c r="J49" s="343"/>
      <c r="K49" s="343"/>
      <c r="L49" s="161"/>
      <c r="M49" s="161"/>
      <c r="N49" s="161"/>
      <c r="O49" s="201"/>
    </row>
    <row r="50" ht="16" customHeight="1" spans="1:8" x14ac:dyDescent="0.25">
      <c r="A50" s="136" t="s">
        <v>491</v>
      </c>
      <c r="B50" s="149"/>
      <c r="C50" s="149"/>
      <c r="D50" s="149"/>
      <c r="E50" s="136"/>
      <c r="F50" s="136"/>
      <c r="G50" s="136"/>
      <c r="H50" s="136" t="s">
        <v>584</v>
      </c>
    </row>
    <row r="51" spans="1:8" x14ac:dyDescent="0.25">
      <c r="A51" s="136" t="s">
        <v>493</v>
      </c>
      <c r="B51" s="136"/>
      <c r="C51" s="136"/>
      <c r="D51" s="136"/>
      <c r="E51" s="136"/>
      <c r="F51" s="136"/>
      <c r="G51" s="136"/>
      <c r="H51" s="136" t="s">
        <v>585</v>
      </c>
    </row>
    <row r="52" ht="18" customHeight="1" spans="1:42" s="202" customFormat="1" x14ac:dyDescent="0.25">
      <c r="A52" s="265" t="s">
        <v>586</v>
      </c>
      <c r="B52" s="346" t="s">
        <v>587</v>
      </c>
      <c r="C52" s="284">
        <v>10</v>
      </c>
      <c r="D52" s="347" t="s">
        <v>593</v>
      </c>
      <c r="E52" s="348" t="s">
        <v>593</v>
      </c>
      <c r="F52" s="284">
        <v>3</v>
      </c>
      <c r="G52" s="285" t="e">
        <f>VLOOKUP($E$12,#REF!,36,FALSE)</f>
        <v>#REF!</v>
      </c>
      <c r="H52" s="285" t="e">
        <f>IF(G42&gt;90,"4.00",IF(G42&gt;80,"3.50",IF(G42&gt;69,"3.00",IF(G42&gt;64,"2.50",IF(G42&gt;59,"2.00",IF(G42&gt;54,"1.50",IF(G42&gt;49,"1.00","0.00")))))))</f>
        <v>#REF!</v>
      </c>
      <c r="I52" s="284" t="e">
        <f>IF(G42&gt;=90,"A",IF(G42&gt;=80,"B+",IF(G42&gt;=70,"B",IF(G42&gt;=65,"C+",IF(G42&gt;=60,"C",IF(G42&gt;=55,"D+",IF(G42&gt;=50,"D",IF(G42&gt;=0,"F"))))))))</f>
        <v>#REF!</v>
      </c>
      <c r="J52" s="339" t="e">
        <f>(H33*F33+H34*F34+H35*F35+H36*F36+H37*F37+H38*F38+H40*F40+H41*F41+H42*F42)/(F33+F34+F35+F36+F37+F38+F40+F41+F42)</f>
        <v>#REF!</v>
      </c>
      <c r="K52" s="266" t="e">
        <f>(J33+J43)/2</f>
        <v>#REF!</v>
      </c>
      <c r="L52" s="181"/>
      <c r="M52" s="161"/>
      <c r="N52" s="161"/>
      <c r="O52" s="20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</row>
    <row r="53" ht="17.25" customHeight="1" spans="1:42" s="192" customFormat="1" x14ac:dyDescent="0.25">
      <c r="A53" s="265" t="s">
        <v>586</v>
      </c>
      <c r="B53" s="261" t="s">
        <v>594</v>
      </c>
      <c r="C53" s="194">
        <v>1</v>
      </c>
      <c r="D53" s="327" t="s">
        <v>575</v>
      </c>
      <c r="E53" s="328" t="s">
        <v>575</v>
      </c>
      <c r="F53" s="194">
        <v>3</v>
      </c>
      <c r="G53" s="287" t="e">
        <f>VLOOKUP($E$12,#REF!,37,FALSE)</f>
        <v>#REF!</v>
      </c>
      <c r="H53" s="340" t="e">
        <f>IF(G43&gt;90,"4.00",IF(G43&gt;80,"3.50",IF(G43&gt;69,"3.00",IF(G43&gt;64,"2.50",IF(G43&gt;59,"2.00",IF(G43&gt;54,"1.50",IF(G43&gt;49,"1.00","0.00")))))))</f>
        <v>#REF!</v>
      </c>
      <c r="I53" s="194" t="e">
        <f>IF(G43&gt;=90,"A",IF(G43&gt;=80,"B+",IF(G43&gt;=70,"B",IF(G43&gt;=65,"C+",IF(G43&gt;=60,"C",IF(G43&gt;=55,"D+",IF(G43&gt;=50,"D",IF(G43&gt;=0,"F"))))))))</f>
        <v>#REF!</v>
      </c>
      <c r="J53" s="341" t="e">
        <f>(H43*F43+H44*F44+H45*F45+H46*F46+H47*F47+H48*F48+H49*F49+H50*F50+H51*F51)/(F43+F44+F45+F46+F47+F48+F49+F50+F51)</f>
        <v>#REF!</v>
      </c>
      <c r="K53" s="266" t="e">
        <f>(J33+J43)/2</f>
        <v>#REF!</v>
      </c>
      <c r="L53" s="181"/>
      <c r="M53" s="161"/>
      <c r="N53" s="161"/>
      <c r="O53" s="20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</row>
    <row r="54" ht="17.25" customHeight="1" spans="1:42" s="202" customFormat="1" x14ac:dyDescent="0.25">
      <c r="A54" s="265" t="s">
        <v>586</v>
      </c>
      <c r="B54" s="265" t="s">
        <v>594</v>
      </c>
      <c r="C54" s="204">
        <v>2</v>
      </c>
      <c r="D54" s="331" t="s">
        <v>595</v>
      </c>
      <c r="E54" s="332" t="s">
        <v>595</v>
      </c>
      <c r="F54" s="204">
        <v>2</v>
      </c>
      <c r="G54" s="282" t="e">
        <f>VLOOKUP($E$12,#REF!,38,FALSE)</f>
        <v>#REF!</v>
      </c>
      <c r="H54" s="208" t="e">
        <f>IF(G44&gt;90,"4.00",IF(G44&gt;80,"3.50",IF(G44&gt;69,"3.00",IF(G44&gt;64,"2.50",IF(G44&gt;59,"2.00",IF(G44&gt;54,"1.50",IF(G44&gt;49,"1.00","0.00")))))))</f>
        <v>#REF!</v>
      </c>
      <c r="I54" s="204" t="e">
        <f>IF(G44&gt;=90,"A",IF(G44&gt;=80,"B+",IF(G44&gt;=70,"B",IF(G44&gt;=65,"C+",IF(G44&gt;=60,"C",IF(G44&gt;=55,"D+",IF(G44&gt;=50,"D",IF(G44&gt;=0,"F"))))))))</f>
        <v>#REF!</v>
      </c>
      <c r="J54" s="333" t="e">
        <f>(H43*F43+H44*F44+H45*F45+H46*F46+H47*F47+H48*F48+H49*F49+H50*F50+H51*F51)/(F43+F44+F45+F46+F47+F48+F49+F50+F51)</f>
        <v>#REF!</v>
      </c>
      <c r="K54" s="266" t="e">
        <f>(J33+J43)/2</f>
        <v>#REF!</v>
      </c>
      <c r="L54" s="181"/>
      <c r="M54" s="161"/>
      <c r="N54" s="161"/>
      <c r="O54" s="20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</row>
    <row r="55" ht="17.25" customHeight="1" spans="1:42" s="202" customFormat="1" x14ac:dyDescent="0.25">
      <c r="A55" s="265" t="s">
        <v>586</v>
      </c>
      <c r="B55" s="265" t="s">
        <v>594</v>
      </c>
      <c r="C55" s="204">
        <v>3</v>
      </c>
      <c r="D55" s="334" t="s">
        <v>577</v>
      </c>
      <c r="E55" s="335" t="s">
        <v>577</v>
      </c>
      <c r="F55" s="204">
        <v>1</v>
      </c>
      <c r="G55" s="282" t="e">
        <f>VLOOKUP($E$12,#REF!,39,FALSE)</f>
        <v>#REF!</v>
      </c>
      <c r="H55" s="208" t="e">
        <f>IF(G45&gt;90,"4.00",IF(G45&gt;80,"3.50",IF(G45&gt;69,"3.00",IF(G45&gt;64,"2.50",IF(G45&gt;59,"2.00",IF(G45&gt;54,"1.50",IF(G45&gt;49,"1.00","0.00")))))))</f>
        <v>#REF!</v>
      </c>
      <c r="I55" s="204" t="e">
        <f>IF(G45&gt;=90,"A",IF(G45&gt;=80,"B+",IF(G45&gt;=70,"B",IF(G45&gt;=65,"C+",IF(G45&gt;=60,"C",IF(G45&gt;=55,"D+",IF(G45&gt;=50,"D",IF(G45&gt;=0,"F"))))))))</f>
        <v>#REF!</v>
      </c>
      <c r="J55" s="333" t="e">
        <f>(H43*F43+H44*F44+H45*F45+H46*F46+H47*F47+H48*F48+H49*F49+H50*F50+H51*F51)/(F43+F44+F45+F46+F47+F48+F49+F50+F51)</f>
        <v>#REF!</v>
      </c>
      <c r="K55" s="266" t="e">
        <f>(J33+J43)/2</f>
        <v>#REF!</v>
      </c>
      <c r="L55" s="181"/>
      <c r="M55" s="161"/>
      <c r="N55" s="161"/>
      <c r="O55" s="20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</row>
    <row r="56" ht="17.25" customHeight="1" spans="1:42" s="202" customFormat="1" x14ac:dyDescent="0.25">
      <c r="A56" s="265" t="s">
        <v>586</v>
      </c>
      <c r="B56" s="265" t="s">
        <v>594</v>
      </c>
      <c r="C56" s="204">
        <v>4</v>
      </c>
      <c r="D56" s="334" t="s">
        <v>596</v>
      </c>
      <c r="E56" s="335" t="s">
        <v>596</v>
      </c>
      <c r="F56" s="204">
        <v>2</v>
      </c>
      <c r="G56" s="282" t="e">
        <f>VLOOKUP($E$12,#REF!,40,FALSE)</f>
        <v>#REF!</v>
      </c>
      <c r="H56" s="208" t="e">
        <f>IF(G46&gt;90,"4.00",IF(G46&gt;80,"3.50",IF(G46&gt;69,"3.00",IF(G46&gt;64,"2.50",IF(G46&gt;59,"2.00",IF(G46&gt;54,"1.50",IF(G46&gt;49,"1.00","0.00")))))))</f>
        <v>#REF!</v>
      </c>
      <c r="I56" s="204" t="e">
        <f>IF(G46&gt;=90,"A",IF(G46&gt;=80,"B+",IF(G46&gt;=70,"B",IF(G46&gt;=65,"C+",IF(G46&gt;=60,"C",IF(G46&gt;=55,"D+",IF(G46&gt;=50,"D",IF(G46&gt;=0,"F"))))))))</f>
        <v>#REF!</v>
      </c>
      <c r="J56" s="333" t="e">
        <f>(H43*F43+H44*F44+H45*F45+H46*F46+H47*F47+H48*F48+H49*F49+H50*F50+H51*F51)/(F43+F44+F45+F46+F47+F48+F49+F50+F51)</f>
        <v>#REF!</v>
      </c>
      <c r="K56" s="266" t="e">
        <f>(J33+J43)/2</f>
        <v>#REF!</v>
      </c>
      <c r="L56" s="181"/>
      <c r="M56" s="161"/>
      <c r="N56" s="161"/>
      <c r="O56" s="20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</row>
    <row r="57" ht="17.25" customHeight="1" spans="1:42" s="202" customFormat="1" x14ac:dyDescent="0.25">
      <c r="A57" s="265" t="s">
        <v>586</v>
      </c>
      <c r="B57" s="265" t="s">
        <v>594</v>
      </c>
      <c r="C57" s="204">
        <v>5</v>
      </c>
      <c r="D57" s="334" t="s">
        <v>597</v>
      </c>
      <c r="E57" s="335" t="s">
        <v>597</v>
      </c>
      <c r="F57" s="204">
        <v>1</v>
      </c>
      <c r="G57" s="282" t="e">
        <f>VLOOKUP($E$12,#REF!,41,FALSE)</f>
        <v>#REF!</v>
      </c>
      <c r="H57" s="208" t="e">
        <f>IF(G47&gt;90,"4.00",IF(G47&gt;80,"3.50",IF(G47&gt;69,"3.00",IF(G47&gt;64,"2.50",IF(G47&gt;59,"2.00",IF(G47&gt;54,"1.50",IF(G47&gt;49,"1.00","0.00")))))))</f>
        <v>#REF!</v>
      </c>
      <c r="I57" s="204" t="e">
        <f>IF(G47&gt;=90,"A",IF(G47&gt;=80,"B+",IF(G47&gt;=70,"B",IF(G47&gt;=65,"C+",IF(G47&gt;=60,"C",IF(G47&gt;=55,"D+",IF(G47&gt;=50,"D",IF(G47&gt;=0,"F"))))))))</f>
        <v>#REF!</v>
      </c>
      <c r="J57" s="333" t="e">
        <f>(H43*F43+H44*F44+H45*F45+H46*F46+H47*F47+H48*F48+H49*F49+H50*F50+H51*F51)/(F43+F44+F45+F46+F47+F48+F49+F50+F51)</f>
        <v>#REF!</v>
      </c>
      <c r="K57" s="266" t="e">
        <f>(J33+J43)/2</f>
        <v>#REF!</v>
      </c>
      <c r="L57" s="181"/>
      <c r="M57" s="161"/>
      <c r="N57" s="344"/>
      <c r="O57" s="345"/>
      <c r="P57" s="345"/>
      <c r="Q57" s="344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</row>
    <row r="58" ht="17.25" customHeight="1" spans="1:42" s="202" customFormat="1" x14ac:dyDescent="0.25">
      <c r="A58" s="265" t="s">
        <v>586</v>
      </c>
      <c r="B58" s="265" t="s">
        <v>594</v>
      </c>
      <c r="C58" s="204">
        <v>6</v>
      </c>
      <c r="D58" s="334" t="s">
        <v>578</v>
      </c>
      <c r="E58" s="335" t="s">
        <v>578</v>
      </c>
      <c r="F58" s="204">
        <v>1</v>
      </c>
      <c r="G58" s="282" t="e">
        <f>VLOOKUP($E$12,#REF!,42,FALSE)</f>
        <v>#REF!</v>
      </c>
      <c r="H58" s="208" t="e">
        <f>IF(G48&gt;90,"4.00",IF(G48&gt;80,"3.50",IF(G48&gt;69,"3.00",IF(G48&gt;64,"2.50",IF(G48&gt;59,"2.00",IF(G48&gt;54,"1.50",IF(G48&gt;49,"1.00","0.00")))))))</f>
        <v>#REF!</v>
      </c>
      <c r="I58" s="204" t="e">
        <f>IF(G48&gt;=90,"A",IF(G48&gt;=80,"B+",IF(G48&gt;=70,"B",IF(G48&gt;=65,"C+",IF(G48&gt;=60,"C",IF(G48&gt;=55,"D+",IF(G48&gt;=50,"D",IF(G48&gt;=0,"F"))))))))</f>
        <v>#REF!</v>
      </c>
      <c r="J58" s="333" t="e">
        <f>(H43*F43+H44*F44+H45*F45+H46*F46+H47*F47+H48*F48+H49*F49+H50*F50+H51*F51)/(F43+F44+F45+F46+F47+F48+F49+F50+F51)</f>
        <v>#REF!</v>
      </c>
      <c r="K58" s="266" t="e">
        <f>(J33+J43)/2</f>
        <v>#REF!</v>
      </c>
      <c r="L58" s="181"/>
      <c r="M58" s="161"/>
      <c r="N58" s="161"/>
      <c r="O58" s="20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</row>
    <row r="59" ht="17.25" customHeight="1" spans="1:42" s="202" customFormat="1" x14ac:dyDescent="0.25">
      <c r="A59" s="265" t="s">
        <v>586</v>
      </c>
      <c r="B59" s="265" t="s">
        <v>594</v>
      </c>
      <c r="C59" s="204">
        <v>7</v>
      </c>
      <c r="D59" s="334" t="s">
        <v>571</v>
      </c>
      <c r="E59" s="335" t="s">
        <v>571</v>
      </c>
      <c r="F59" s="205">
        <v>2</v>
      </c>
      <c r="G59" s="282" t="e">
        <f>VLOOKUP($E$12,#REF!,43,FALSE)</f>
        <v>#REF!</v>
      </c>
      <c r="H59" s="208" t="e">
        <f>IF(G49&gt;90,"4.00",IF(G49&gt;80,"3.50",IF(G49&gt;69,"3.00",IF(G49&gt;64,"2.50",IF(G49&gt;59,"2.00",IF(G49&gt;54,"1.50",IF(G49&gt;49,"1.00","0.00")))))))</f>
        <v>#REF!</v>
      </c>
      <c r="I59" s="204" t="e">
        <f>IF(G49&gt;=90,"A",IF(G49&gt;=80,"B+",IF(G49&gt;=70,"B",IF(G49&gt;=65,"C+",IF(G49&gt;=60,"C",IF(G49&gt;=55,"D+",IF(G49&gt;=50,"D",IF(G49&gt;=0,"F"))))))))</f>
        <v>#REF!</v>
      </c>
      <c r="J59" s="336" t="e">
        <f>(H43*F43+H44*F44+H45*F45+H46*F46+H47*F47+H48*F48+H49*F49+H50*F50+H51*F51)/(F43+F44+F45+F46+F47+F48+F49+F50+F51)</f>
        <v>#REF!</v>
      </c>
      <c r="K59" s="283" t="e">
        <f>(J33+J43)/2</f>
        <v>#REF!</v>
      </c>
      <c r="L59" s="181"/>
      <c r="M59" s="344"/>
      <c r="N59" s="161"/>
      <c r="O59" s="344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</row>
    <row r="60" ht="17.25" customHeight="1" spans="1:42" s="202" customFormat="1" x14ac:dyDescent="0.25">
      <c r="A60" s="265" t="s">
        <v>586</v>
      </c>
      <c r="B60" s="265" t="s">
        <v>594</v>
      </c>
      <c r="C60" s="204">
        <v>8</v>
      </c>
      <c r="D60" s="334" t="s">
        <v>572</v>
      </c>
      <c r="E60" s="335" t="s">
        <v>572</v>
      </c>
      <c r="F60" s="204">
        <v>2</v>
      </c>
      <c r="G60" s="282" t="e">
        <f>VLOOKUP($E$12,#REF!,44,FALSE)</f>
        <v>#REF!</v>
      </c>
      <c r="H60" s="208" t="e">
        <f>IF(G50&gt;90,"4.00",IF(G50&gt;80,"3.50",IF(G50&gt;69,"3.00",IF(G50&gt;64,"2.50",IF(G50&gt;59,"2.00",IF(G50&gt;54,"1.50",IF(G50&gt;49,"1.00","0.00")))))))</f>
        <v>#REF!</v>
      </c>
      <c r="I60" s="204" t="e">
        <f>IF(G50&gt;=90,"A",IF(G50&gt;=80,"B+",IF(G50&gt;=70,"B",IF(G50&gt;=65,"C+",IF(G50&gt;=60,"C",IF(G50&gt;=55,"D+",IF(G50&gt;=50,"D",IF(G50&gt;=0,"F"))))))))</f>
        <v>#REF!</v>
      </c>
      <c r="J60" s="336" t="e">
        <f>(H43*F43+H44*F44+H45*F45+H46*F46+H47*F47+H48*F48+H49*F49+H50*F50+H51*F51)/(F43+F44+F45+F46+F47+F48+F49+F50+F51)</f>
        <v>#REF!</v>
      </c>
      <c r="K60" s="283" t="e">
        <f>(J33+J43)/2</f>
        <v>#REF!</v>
      </c>
      <c r="L60" s="181"/>
      <c r="M60" s="161"/>
      <c r="N60" s="161"/>
      <c r="O60" s="20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</row>
    <row r="61" ht="17.25" customHeight="1" spans="1:42" s="202" customFormat="1" x14ac:dyDescent="0.25">
      <c r="A61" s="268" t="s">
        <v>586</v>
      </c>
      <c r="B61" s="268" t="s">
        <v>594</v>
      </c>
      <c r="C61" s="284">
        <v>9</v>
      </c>
      <c r="D61" s="347" t="s">
        <v>598</v>
      </c>
      <c r="E61" s="348" t="s">
        <v>598</v>
      </c>
      <c r="F61" s="284">
        <v>2</v>
      </c>
      <c r="G61" s="285" t="e">
        <f>VLOOKUP($E$12,#REF!,45,FALSE)</f>
        <v>#REF!</v>
      </c>
      <c r="H61" s="285" t="e">
        <f>IF(G51&gt;90,"4.00",IF(G51&gt;80,"3.50",IF(G51&gt;69,"3.00",IF(G51&gt;64,"2.50",IF(G51&gt;59,"2.00",IF(G51&gt;54,"1.50",IF(G51&gt;49,"1.00","0.00")))))))</f>
        <v>#REF!</v>
      </c>
      <c r="I61" s="284" t="e">
        <f>IF(G51&gt;=90,"A",IF(G51&gt;=80,"B+",IF(G51&gt;=70,"B",IF(G51&gt;=65,"C+",IF(G51&gt;=60,"C",IF(G51&gt;=55,"D+",IF(G51&gt;=50,"D",IF(G51&gt;=0,"F"))))))))</f>
        <v>#REF!</v>
      </c>
      <c r="J61" s="339" t="e">
        <f>(H43*F43+H44*F44+H45*F45+H46*F46+H47*F47+H48*F48+H49*F49+H50*F50+H51*F51)/(F43+F44+F45+F46+F47+F48+F49+F50+F51)</f>
        <v>#REF!</v>
      </c>
      <c r="K61" s="286" t="e">
        <f>(J33+J43)/2</f>
        <v>#REF!</v>
      </c>
      <c r="L61" s="181"/>
      <c r="M61" s="161"/>
      <c r="N61" s="161"/>
      <c r="O61" s="20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</row>
    <row r="62" ht="17.25" customHeight="1" spans="1:15" s="161" customFormat="1" x14ac:dyDescent="0.25">
      <c r="A62" s="367" t="s">
        <v>700</v>
      </c>
      <c r="B62" s="326" t="s">
        <v>701</v>
      </c>
      <c r="C62" s="194">
        <v>1</v>
      </c>
      <c r="D62" s="327" t="s">
        <v>679</v>
      </c>
      <c r="E62" s="328" t="s">
        <v>679</v>
      </c>
      <c r="F62" s="299">
        <v>3</v>
      </c>
      <c r="G62" s="287" t="e">
        <f>VLOOKUP($E$12,#REF!,46,FALSE)</f>
        <v>#REF!</v>
      </c>
      <c r="H62" s="340" t="e">
        <f>IF(G52&gt;90,"4.00",IF(G52&gt;80,"3.50",IF(G52&gt;69,"3.00",IF(G52&gt;64,"2.50",IF(G52&gt;59,"2.00",IF(G52&gt;54,"1.50",IF(G52&gt;49,"1.00","0.00")))))))</f>
        <v>#REF!</v>
      </c>
      <c r="I62" s="194" t="e">
        <f>IF(G52&gt;=90,"A",IF(G52&gt;=80,"B+",IF(G52&gt;=70,"B",IF(G52&gt;=65,"C+",IF(G52&gt;=60,"C",IF(G52&gt;=55,"D+",IF(G52&gt;=50,"D",IF(G52&gt;=0,"F"))))))))</f>
        <v>#REF!</v>
      </c>
      <c r="J62" s="363" t="e">
        <f>(H52*F52+H53*F53+H54*F54+H55*F55+H56*F56+H57*F57+H58*F58+H59*F59+H60*F60+H61*F61+H62*F62)/(F52+F53+F54+F55+F56+F57+F58+F59+F60+F61+F62)</f>
        <v>#REF!</v>
      </c>
      <c r="K62" s="264" t="e">
        <f>(J52+J63)/2</f>
        <v>#REF!</v>
      </c>
      <c r="L62" s="181"/>
      <c r="M62" s="161"/>
      <c r="N62" s="161"/>
      <c r="O62" s="201"/>
    </row>
    <row r="63" ht="17.25" customHeight="1" spans="1:14" s="161" customFormat="1" x14ac:dyDescent="0.25">
      <c r="A63" s="365" t="s">
        <v>700</v>
      </c>
      <c r="B63" s="330" t="s">
        <v>701</v>
      </c>
      <c r="C63" s="204">
        <v>2</v>
      </c>
      <c r="D63" s="334" t="s">
        <v>681</v>
      </c>
      <c r="E63" s="335" t="s">
        <v>681</v>
      </c>
      <c r="F63" s="205">
        <v>1</v>
      </c>
      <c r="G63" s="282" t="e">
        <f>VLOOKUP($E$12,#REF!,47,FALSE)</f>
        <v>#REF!</v>
      </c>
      <c r="H63" s="208" t="e">
        <f>IF(G53&gt;90,"4.00",IF(G53&gt;80,"3.50",IF(G53&gt;69,"3.00",IF(G53&gt;64,"2.50",IF(G53&gt;59,"2.00",IF(G53&gt;54,"1.50",IF(G53&gt;49,"1.00","0.00")))))))</f>
        <v>#REF!</v>
      </c>
      <c r="I63" s="204" t="e">
        <f>IF(G53&gt;=90,"A",IF(G53&gt;=80,"B+",IF(G53&gt;=70,"B",IF(G53&gt;=65,"C+",IF(G53&gt;=60,"C",IF(G53&gt;=55,"D+",IF(G53&gt;=50,"D",IF(G53&gt;=0,"F"))))))))</f>
        <v>#REF!</v>
      </c>
      <c r="J63" s="353" t="e">
        <f>(H52*F52+H53*F53+H54*F54+H55*F55+H56*F56+H57*F57+H58*F58+H59*F59+H60*F60+H61*F61+H62*F62)/(F52+F53+F54+F55+F56+F57+F58+F59+F60+F61+F62)</f>
        <v>#REF!</v>
      </c>
      <c r="K63" s="304" t="e">
        <f>(J52+J63)/2</f>
        <v>#REF!</v>
      </c>
      <c r="L63" s="181"/>
      <c r="M63" s="357"/>
      <c r="N63" s="357"/>
    </row>
    <row r="64" ht="17.25" customHeight="1" spans="1:16" s="161" customFormat="1" x14ac:dyDescent="0.25">
      <c r="A64" s="365" t="s">
        <v>700</v>
      </c>
      <c r="B64" s="330" t="s">
        <v>701</v>
      </c>
      <c r="C64" s="204">
        <v>3</v>
      </c>
      <c r="D64" s="334" t="s">
        <v>710</v>
      </c>
      <c r="E64" s="335" t="s">
        <v>710</v>
      </c>
      <c r="F64" s="205">
        <v>2</v>
      </c>
      <c r="G64" s="282" t="e">
        <f>VLOOKUP($E$12,#REF!,48,FALSE)</f>
        <v>#REF!</v>
      </c>
      <c r="H64" s="208" t="e">
        <f>IF(G54&gt;90,"4.00",IF(G54&gt;80,"3.50",IF(G54&gt;69,"3.00",IF(G54&gt;64,"2.50",IF(G54&gt;59,"2.00",IF(G54&gt;54,"1.50",IF(G54&gt;49,"1.00","0.00")))))))</f>
        <v>#REF!</v>
      </c>
      <c r="I64" s="204" t="e">
        <f>IF(G54&gt;=90,"A",IF(G54&gt;=80,"B+",IF(G54&gt;=70,"B",IF(G54&gt;=65,"C+",IF(G54&gt;=60,"C",IF(G54&gt;=55,"D+",IF(G54&gt;=50,"D",IF(G54&gt;=0,"F"))))))))</f>
        <v>#REF!</v>
      </c>
      <c r="J64" s="353" t="e">
        <f>(H52*F52+H53*F53+H54*F54+H55*F55+H56*F56+H57*F57+H58*F58+H59*F59+H60*F60+H61*F61+H62*F62)/(F52+F53+F54+F55+F56+F57+F58+F59+F60+F61+F62)</f>
        <v>#REF!</v>
      </c>
      <c r="K64" s="266" t="e">
        <f>(J52+J63)/2</f>
        <v>#REF!</v>
      </c>
      <c r="L64" s="181"/>
      <c r="M64" s="161"/>
      <c r="N64" s="161"/>
      <c r="O64" s="366"/>
      <c r="P64" s="366"/>
    </row>
    <row r="65" ht="17.25" customHeight="1" spans="1:16" s="161" customFormat="1" x14ac:dyDescent="0.25">
      <c r="A65" s="365" t="s">
        <v>700</v>
      </c>
      <c r="B65" s="330" t="s">
        <v>701</v>
      </c>
      <c r="C65" s="204">
        <v>4</v>
      </c>
      <c r="D65" s="334" t="s">
        <v>711</v>
      </c>
      <c r="E65" s="335" t="s">
        <v>711</v>
      </c>
      <c r="F65" s="205">
        <v>1</v>
      </c>
      <c r="G65" s="282" t="e">
        <f>VLOOKUP($E$12,#REF!,49,FALSE)</f>
        <v>#REF!</v>
      </c>
      <c r="H65" s="208" t="e">
        <f>IF(G55&gt;90,"4.00",IF(G55&gt;80,"3.50",IF(G55&gt;69,"3.00",IF(G55&gt;64,"2.50",IF(G55&gt;59,"2.00",IF(G55&gt;54,"1.50",IF(G55&gt;49,"1.00","0.00")))))))</f>
        <v>#REF!</v>
      </c>
      <c r="I65" s="204" t="e">
        <f>IF(G55&gt;=90,"A",IF(G55&gt;=80,"B+",IF(G55&gt;=70,"B",IF(G55&gt;=65,"C+",IF(G55&gt;=60,"C",IF(G55&gt;=55,"D+",IF(G55&gt;=50,"D",IF(G55&gt;=0,"F"))))))))</f>
        <v>#REF!</v>
      </c>
      <c r="J65" s="353" t="e">
        <f>(H52*F52+H53*F53+H54*F54+H55*F55+H56*F56+H57*F57+H58*F58+H59*F59+H60*F60+H61*F61+H62*F62)/(F52+F53+F54+F55+F56+F57+F58+F59+F60+F61+F62)</f>
        <v>#REF!</v>
      </c>
      <c r="K65" s="266" t="e">
        <f>(J52+J63)/2</f>
        <v>#REF!</v>
      </c>
      <c r="L65" s="181"/>
      <c r="M65" s="161"/>
      <c r="N65" s="161"/>
      <c r="O65" s="366"/>
      <c r="P65" s="366"/>
    </row>
    <row r="66" ht="17.25" customHeight="1" spans="1:16" s="161" customFormat="1" x14ac:dyDescent="0.25">
      <c r="A66" s="365" t="s">
        <v>700</v>
      </c>
      <c r="B66" s="330" t="s">
        <v>701</v>
      </c>
      <c r="C66" s="204">
        <v>5</v>
      </c>
      <c r="D66" s="334" t="s">
        <v>682</v>
      </c>
      <c r="E66" s="335" t="s">
        <v>682</v>
      </c>
      <c r="F66" s="205">
        <v>1</v>
      </c>
      <c r="G66" s="282" t="e">
        <f>VLOOKUP($E$12,#REF!,50,FALSE)</f>
        <v>#REF!</v>
      </c>
      <c r="H66" s="208" t="e">
        <f>IF(G56&gt;90,"4.00",IF(G56&gt;80,"3.50",IF(G56&gt;69,"3.00",IF(G56&gt;64,"2.50",IF(G56&gt;59,"2.00",IF(G56&gt;54,"1.50",IF(G56&gt;49,"1.00","0.00")))))))</f>
        <v>#REF!</v>
      </c>
      <c r="I66" s="204" t="e">
        <f>IF(G56&gt;=90,"A",IF(G56&gt;=80,"B+",IF(G56&gt;=70,"B",IF(G56&gt;=65,"C+",IF(G56&gt;=60,"C",IF(G56&gt;=55,"D+",IF(G56&gt;=50,"D",IF(G56&gt;=0,"F"))))))))</f>
        <v>#REF!</v>
      </c>
      <c r="J66" s="353" t="e">
        <f>(H52*F52+H53*F53+H54*F54+H55*F55+H56*F56+H57*F57+H58*F58+H59*F59+H60*F60+H61*F61+H62*F62)/(F52+F53+F54+F55+F56+F57+F58+F59+F60+F61+F62)</f>
        <v>#REF!</v>
      </c>
      <c r="K66" s="266" t="e">
        <f>(J52+J63)/2</f>
        <v>#REF!</v>
      </c>
      <c r="L66" s="181"/>
      <c r="M66" s="161"/>
      <c r="N66" s="161"/>
      <c r="O66" s="366"/>
      <c r="P66" s="366"/>
    </row>
    <row r="67" ht="27.75" customHeight="1" spans="1:16" s="161" customFormat="1" x14ac:dyDescent="0.25">
      <c r="A67" s="365" t="s">
        <v>700</v>
      </c>
      <c r="B67" s="330" t="s">
        <v>701</v>
      </c>
      <c r="C67" s="204">
        <v>6</v>
      </c>
      <c r="D67" s="334" t="s">
        <v>712</v>
      </c>
      <c r="E67" s="335" t="s">
        <v>712</v>
      </c>
      <c r="F67" s="205">
        <v>1</v>
      </c>
      <c r="G67" s="282" t="e">
        <f>VLOOKUP($E$12,#REF!,51,FALSE)</f>
        <v>#REF!</v>
      </c>
      <c r="H67" s="208" t="e">
        <f>IF(G57&gt;90,"4.00",IF(G57&gt;80,"3.50",IF(G57&gt;69,"3.00",IF(G57&gt;64,"2.50",IF(G57&gt;59,"2.00",IF(G57&gt;54,"1.50",IF(G57&gt;49,"1.00","0.00")))))))</f>
        <v>#REF!</v>
      </c>
      <c r="I67" s="204" t="e">
        <f>IF(G57&gt;=90,"A",IF(G57&gt;=80,"B+",IF(G57&gt;=70,"B",IF(G57&gt;=65,"C+",IF(G57&gt;=60,"C",IF(G57&gt;=55,"D+",IF(G57&gt;=50,"D",IF(G57&gt;=0,"F"))))))))</f>
        <v>#REF!</v>
      </c>
      <c r="J67" s="353" t="e">
        <f>(H52*F52+H53*F53+H54*F54+H55*F55+H56*F56+H57*F57+H58*F58+H59*F59+H60*F60+H61*F61+H62*F62)/(F52+F53+F54+F55+F56+F57+F58+F59+F60+F61+F62)</f>
        <v>#REF!</v>
      </c>
      <c r="K67" s="266" t="e">
        <f>(J52+J63)/2</f>
        <v>#REF!</v>
      </c>
      <c r="L67" s="181"/>
      <c r="M67" s="161"/>
      <c r="N67" s="161"/>
      <c r="O67" s="366"/>
      <c r="P67" s="366"/>
    </row>
    <row r="68" ht="17.25" customHeight="1" spans="1:16" s="161" customFormat="1" x14ac:dyDescent="0.25">
      <c r="A68" s="365" t="s">
        <v>700</v>
      </c>
      <c r="B68" s="330" t="s">
        <v>701</v>
      </c>
      <c r="C68" s="204">
        <v>7</v>
      </c>
      <c r="D68" s="334" t="s">
        <v>713</v>
      </c>
      <c r="E68" s="335" t="s">
        <v>713</v>
      </c>
      <c r="F68" s="205">
        <v>1</v>
      </c>
      <c r="G68" s="282" t="e">
        <f>VLOOKUP($E$12,#REF!,52,FALSE)</f>
        <v>#REF!</v>
      </c>
      <c r="H68" s="208" t="e">
        <f>IF(G58&gt;90,"4.00",IF(G58&gt;80,"3.50",IF(G58&gt;69,"3.00",IF(G58&gt;64,"2.50",IF(G58&gt;59,"2.00",IF(G58&gt;54,"1.50",IF(G58&gt;49,"1.00","0.00")))))))</f>
        <v>#REF!</v>
      </c>
      <c r="I68" s="204" t="e">
        <f>IF(G58&gt;=90,"A",IF(G58&gt;=80,"B+",IF(G58&gt;=70,"B",IF(G58&gt;=65,"C+",IF(G58&gt;=60,"C",IF(G58&gt;=55,"D+",IF(G58&gt;=50,"D",IF(G58&gt;=0,"F"))))))))</f>
        <v>#REF!</v>
      </c>
      <c r="J68" s="353" t="e">
        <f>(H52*F52+H53*F53+H54*F54+H55*F55+H56*F56+H57*F57+H58*F58+H59*F59+H60*F60+H61*F61+H62*F62)/(F52+F53+F54+F55+F56+F57+F58+F59+F60+F61+F62)</f>
        <v>#REF!</v>
      </c>
      <c r="K68" s="266" t="e">
        <f>(J52+J63)/2</f>
        <v>#REF!</v>
      </c>
      <c r="L68" s="181"/>
      <c r="M68" s="161"/>
      <c r="N68" s="161"/>
      <c r="O68" s="366"/>
      <c r="P68" s="366"/>
    </row>
    <row r="69" ht="27" customHeight="1" spans="1:16" s="161" customFormat="1" x14ac:dyDescent="0.25">
      <c r="A69" s="365" t="s">
        <v>700</v>
      </c>
      <c r="B69" s="330" t="s">
        <v>701</v>
      </c>
      <c r="C69" s="204">
        <v>8</v>
      </c>
      <c r="D69" s="334" t="s">
        <v>714</v>
      </c>
      <c r="E69" s="335" t="s">
        <v>714</v>
      </c>
      <c r="F69" s="205">
        <v>2</v>
      </c>
      <c r="G69" s="282" t="e">
        <f>VLOOKUP($E$12,#REF!,53,FALSE)</f>
        <v>#REF!</v>
      </c>
      <c r="H69" s="208" t="e">
        <f>IF(G59&gt;90,"4.00",IF(G59&gt;80,"3.50",IF(G59&gt;69,"3.00",IF(G59&gt;64,"2.50",IF(G59&gt;59,"2.00",IF(G59&gt;54,"1.50",IF(G59&gt;49,"1.00","0.00")))))))</f>
        <v>#REF!</v>
      </c>
      <c r="I69" s="204" t="e">
        <f>IF(G59&gt;=90,"A",IF(G59&gt;=80,"B+",IF(G59&gt;=70,"B",IF(G59&gt;=65,"C+",IF(G59&gt;=60,"C",IF(G59&gt;=55,"D+",IF(G59&gt;=50,"D",IF(G59&gt;=0,"F"))))))))</f>
        <v>#REF!</v>
      </c>
      <c r="J69" s="353" t="e">
        <f>(H52*F52+H53*F53+H54*F54+H55*F55+H56*F56+H57*F57+H58*F58+H59*F59+H60*F60+H61*F61+H62*F62)/(F52+F53+F54+F55+F56+F57+F58+F59+F60+F61+F62)</f>
        <v>#REF!</v>
      </c>
      <c r="K69" s="266" t="e">
        <f>(J52+J63)/2</f>
        <v>#REF!</v>
      </c>
      <c r="L69" s="181"/>
      <c r="M69" s="161"/>
      <c r="N69" s="161"/>
      <c r="O69" s="366"/>
      <c r="P69" s="366"/>
    </row>
    <row r="70" ht="27" customHeight="1" spans="1:16" s="161" customFormat="1" x14ac:dyDescent="0.25">
      <c r="A70" s="365" t="s">
        <v>700</v>
      </c>
      <c r="B70" s="330" t="s">
        <v>701</v>
      </c>
      <c r="C70" s="204">
        <v>9</v>
      </c>
      <c r="D70" s="334" t="s">
        <v>709</v>
      </c>
      <c r="E70" s="335" t="s">
        <v>709</v>
      </c>
      <c r="F70" s="205">
        <v>2</v>
      </c>
      <c r="G70" s="282" t="e">
        <f>VLOOKUP($E$12,#REF!,54,FALSE)</f>
        <v>#REF!</v>
      </c>
      <c r="H70" s="208" t="e">
        <f>IF(G60&gt;90,"4.00",IF(G60&gt;80,"3.50",IF(G60&gt;69,"3.00",IF(G60&gt;64,"2.50",IF(G60&gt;59,"2.00",IF(G60&gt;54,"1.50",IF(G60&gt;49,"1.00","0.00")))))))</f>
        <v>#REF!</v>
      </c>
      <c r="I70" s="204" t="e">
        <f>IF(G60&gt;=90,"A",IF(G60&gt;=80,"B+",IF(G60&gt;=70,"B",IF(G60&gt;=65,"C+",IF(G60&gt;=60,"C",IF(G60&gt;=55,"D+",IF(G60&gt;=50,"D",IF(G60&gt;=0,"F"))))))))</f>
        <v>#REF!</v>
      </c>
      <c r="J70" s="353" t="e">
        <f>(H52*F52+H53*F53+H54*F54+H55*F55+H56*F56+H57*F57+H58*F58+H59*F59+H60*F60+H61*F61+H62*F62)/(F52+F53+F54+F55+F56+F57+F58+F59+F60+F61+F62)</f>
        <v>#REF!</v>
      </c>
      <c r="K70" s="266" t="e">
        <f>(J52+J63)/2</f>
        <v>#REF!</v>
      </c>
      <c r="L70" s="181"/>
      <c r="M70" s="161"/>
      <c r="N70" s="161"/>
      <c r="O70" s="366"/>
      <c r="P70" s="366"/>
    </row>
  </sheetData>
  <mergeCells count="1">
    <mergeCell ref="A1:K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Sem1-2</vt:lpstr>
      <vt:lpstr>CGPA2</vt:lpstr>
      <vt:lpstr>Sem3-4 </vt:lpstr>
      <vt:lpstr>CGPA4</vt:lpstr>
      <vt:lpstr>Sem5-6</vt:lpstr>
      <vt:lpstr>CGPA6</vt:lpstr>
      <vt:lpstr>Sem7-8</vt:lpstr>
      <vt:lpstr>CGPA8</vt:lpstr>
      <vt:lpstr>Lao_transcript(year1)</vt:lpstr>
      <vt:lpstr>Eng_transcript(year1)</vt:lpstr>
      <vt:lpstr>Lao_transcript(year2) </vt:lpstr>
      <vt:lpstr>Eng_transcript(year2)</vt:lpstr>
      <vt:lpstr>Lao_transcript(year3)</vt:lpstr>
      <vt:lpstr>Eng_transcript(year3)</vt:lpstr>
      <vt:lpstr>Lao_transcript(year4)</vt:lpstr>
      <vt:lpstr>Eng_transcript(year4)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2026-10-05T15:01:48Z</dcterms:modified>
</cp:coreProperties>
</file>